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<sst xmlns="http://schemas.openxmlformats.org/spreadsheetml/2006/main" count="106" uniqueCount="41">
  <si>
    <t>(We do this)</t>
  </si>
  <si>
    <t>THESE COLUMNS ARE AUTOMATIC, DO NOT EDIT</t>
  </si>
  <si>
    <t>language max good segments = 30</t>
  </si>
  <si>
    <t>music max good segments = 36</t>
  </si>
  <si>
    <t>Voltage data</t>
  </si>
  <si>
    <t>At least:</t>
  </si>
  <si>
    <t>Student Name</t>
  </si>
  <si>
    <t>Participant ID</t>
  </si>
  <si>
    <t>Lang-Gram</t>
  </si>
  <si>
    <t>Lang-Ungram</t>
  </si>
  <si>
    <t>Music-Gram</t>
  </si>
  <si>
    <t>Music-Ungram</t>
  </si>
  <si>
    <t>uploaded to Drive?</t>
  </si>
  <si>
    <t>Minimum Good Segments</t>
  </si>
  <si>
    <t>segs per category?</t>
  </si>
  <si>
    <t>Tom P, Steven P.</t>
  </si>
  <si>
    <t>Yes</t>
  </si>
  <si>
    <t>Kate</t>
  </si>
  <si>
    <t>Good Subjects</t>
  </si>
  <si>
    <t>Rebecca</t>
  </si>
  <si>
    <t>Excluded Subjects</t>
  </si>
  <si>
    <t>Steven P, Tom P.</t>
  </si>
  <si>
    <t>John, Chrissy</t>
  </si>
  <si>
    <t>Annie, Yunfei</t>
  </si>
  <si>
    <t>Jackie</t>
  </si>
  <si>
    <t>No data</t>
  </si>
  <si>
    <t>NA</t>
  </si>
  <si>
    <t xml:space="preserve">Rena </t>
  </si>
  <si>
    <t>James/Ayela</t>
  </si>
  <si>
    <t>Henry</t>
  </si>
  <si>
    <t>Rena</t>
  </si>
  <si>
    <t>Eileen</t>
  </si>
  <si>
    <t xml:space="preserve">Henry </t>
  </si>
  <si>
    <t>Robert</t>
  </si>
  <si>
    <t>Ria</t>
  </si>
  <si>
    <t>Steven P., Tom P.</t>
  </si>
  <si>
    <t>Hui Xin</t>
  </si>
  <si>
    <t>Tom P., Steven P.</t>
  </si>
  <si>
    <t>red = 32 lang ungram trials</t>
  </si>
  <si>
    <t>blue = 31 lang ungram trials</t>
  </si>
  <si>
    <t>bold = checked, okay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</si>
</sst>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/>
    <font>
      <b/>
    </font>
    <font>
      <color rgb="FFFF0000"/>
    </font>
    <font>
      <color rgb="FF0000FF"/>
    </font>
    <font>
      <strike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5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3" fontId="1" numFmtId="0" xfId="0" applyFont="1"/>
    <xf borderId="0" fillId="4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5.0"/>
    <col customWidth="1" min="3" max="3" width="19.57"/>
    <col customWidth="1" min="4" max="4" width="21.14"/>
    <col customWidth="1" min="5" max="5" width="18.71"/>
    <col customWidth="1" min="6" max="6" width="22.71"/>
    <col customWidth="1" min="7" max="7" width="17.14"/>
    <col customWidth="1" min="8" max="8" width="26.43"/>
    <col customWidth="1" min="9" max="9" width="20.57"/>
    <col customWidth="1" min="10" max="10" width="16.43"/>
    <col customWidth="1" min="11" max="11" width="6.43"/>
  </cols>
  <sheetData>
    <row r="1">
      <c r="C1" s="1"/>
      <c r="E1" s="1"/>
      <c r="G1" s="1" t="s">
        <v>0</v>
      </c>
      <c r="H1" s="2" t="s">
        <v>1</v>
      </c>
      <c r="I1" s="2"/>
    </row>
    <row r="2">
      <c r="C2" s="1" t="s">
        <v>2</v>
      </c>
      <c r="E2" s="1" t="s">
        <v>3</v>
      </c>
      <c r="G2" s="1" t="s">
        <v>4</v>
      </c>
      <c r="H2" s="1"/>
      <c r="I2" s="1" t="s">
        <v>5</v>
      </c>
      <c r="J2" s="1">
        <v>19.0</v>
      </c>
    </row>
    <row r="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1" t="s">
        <v>12</v>
      </c>
      <c r="H3" s="1" t="s">
        <v>13</v>
      </c>
      <c r="I3" s="1" t="s">
        <v>14</v>
      </c>
    </row>
    <row r="4">
      <c r="A4" s="1" t="s">
        <v>15</v>
      </c>
      <c r="B4" s="1">
        <v>1.0</v>
      </c>
      <c r="C4" s="1">
        <v>27.0</v>
      </c>
      <c r="D4" s="2">
        <v>28.0</v>
      </c>
      <c r="E4" s="1">
        <v>34.0</v>
      </c>
      <c r="F4" s="1">
        <v>32.0</v>
      </c>
      <c r="G4" s="1" t="s">
        <v>16</v>
      </c>
      <c r="H4" s="1">
        <f t="shared" ref="H4:H47" si="1">IF(ISBLANK(C4),,MIN(C4:F4))</f>
        <v>27</v>
      </c>
      <c r="I4" s="1" t="str">
        <f t="shared" ref="I4:I47" si="2">IF(ISBLANK(H4),,IF(H4&gt;=$J$2,"Yes","No"))</f>
        <v>Yes</v>
      </c>
    </row>
    <row r="5">
      <c r="A5" s="1" t="s">
        <v>17</v>
      </c>
      <c r="B5" s="1">
        <v>2.0</v>
      </c>
      <c r="C5" s="1">
        <v>26.0</v>
      </c>
      <c r="D5" s="3">
        <v>28.0</v>
      </c>
      <c r="E5" s="1">
        <v>32.0</v>
      </c>
      <c r="F5" s="1">
        <v>32.0</v>
      </c>
      <c r="G5" s="1" t="s">
        <v>16</v>
      </c>
      <c r="H5" s="1">
        <f t="shared" si="1"/>
        <v>26</v>
      </c>
      <c r="I5" s="1" t="str">
        <f t="shared" si="2"/>
        <v>Yes</v>
      </c>
      <c r="J5" s="1" t="s">
        <v>18</v>
      </c>
      <c r="K5">
        <f>COUNTIF(I4:I50,"Yes")</f>
        <v>35</v>
      </c>
    </row>
    <row r="6">
      <c r="A6" s="1" t="s">
        <v>19</v>
      </c>
      <c r="B6" s="1">
        <v>3.0</v>
      </c>
      <c r="C6" s="1">
        <v>27.0</v>
      </c>
      <c r="D6" s="2">
        <v>27.0</v>
      </c>
      <c r="E6" s="1">
        <v>33.0</v>
      </c>
      <c r="F6" s="1">
        <v>36.0</v>
      </c>
      <c r="G6" s="1" t="s">
        <v>16</v>
      </c>
      <c r="H6" s="1">
        <f t="shared" si="1"/>
        <v>27</v>
      </c>
      <c r="I6" s="1" t="str">
        <f t="shared" si="2"/>
        <v>Yes</v>
      </c>
      <c r="J6" s="1" t="s">
        <v>20</v>
      </c>
      <c r="K6">
        <f>COUNTIF(I4:I50,"No")</f>
        <v>4</v>
      </c>
    </row>
    <row r="7">
      <c r="A7" s="1" t="s">
        <v>21</v>
      </c>
      <c r="B7" s="1">
        <v>4.0</v>
      </c>
      <c r="C7" s="1">
        <v>30.0</v>
      </c>
      <c r="D7" s="2">
        <v>30.0</v>
      </c>
      <c r="E7" s="1">
        <v>34.0</v>
      </c>
      <c r="F7" s="1">
        <v>36.0</v>
      </c>
      <c r="G7" s="1" t="s">
        <v>16</v>
      </c>
      <c r="H7" s="1">
        <f t="shared" si="1"/>
        <v>30</v>
      </c>
      <c r="I7" s="1" t="str">
        <f t="shared" si="2"/>
        <v>Yes</v>
      </c>
    </row>
    <row r="8">
      <c r="A8" s="1" t="s">
        <v>22</v>
      </c>
      <c r="B8" s="1">
        <v>5.0</v>
      </c>
      <c r="C8" s="1">
        <v>24.0</v>
      </c>
      <c r="D8" s="2">
        <v>27.0</v>
      </c>
      <c r="E8" s="1">
        <v>29.0</v>
      </c>
      <c r="F8" s="1">
        <v>29.0</v>
      </c>
      <c r="G8" s="1" t="s">
        <v>16</v>
      </c>
      <c r="H8" s="1">
        <f t="shared" si="1"/>
        <v>24</v>
      </c>
      <c r="I8" s="1" t="str">
        <f t="shared" si="2"/>
        <v>Yes</v>
      </c>
      <c r="M8" s="2"/>
      <c r="N8" s="2"/>
      <c r="O8" s="2"/>
      <c r="P8" s="2"/>
      <c r="Q8" s="2"/>
      <c r="R8" s="2"/>
    </row>
    <row r="9">
      <c r="A9" s="1" t="s">
        <v>23</v>
      </c>
      <c r="B9" s="1">
        <v>6.0</v>
      </c>
      <c r="C9" s="1">
        <v>29.0</v>
      </c>
      <c r="D9" s="3">
        <v>30.0</v>
      </c>
      <c r="E9" s="1">
        <v>36.0</v>
      </c>
      <c r="F9" s="1">
        <v>35.0</v>
      </c>
      <c r="G9" s="1" t="s">
        <v>16</v>
      </c>
      <c r="H9" s="1">
        <f t="shared" si="1"/>
        <v>29</v>
      </c>
      <c r="I9" s="1" t="str">
        <f t="shared" si="2"/>
        <v>Yes</v>
      </c>
      <c r="M9" s="1"/>
      <c r="N9" s="1"/>
      <c r="O9" s="1"/>
      <c r="P9" s="1"/>
      <c r="Q9" s="1"/>
      <c r="R9" s="1"/>
    </row>
    <row r="10">
      <c r="A10" s="1" t="s">
        <v>24</v>
      </c>
      <c r="B10" s="1">
        <v>7.0</v>
      </c>
      <c r="C10" s="1">
        <v>24.0</v>
      </c>
      <c r="D10" s="4">
        <v>21.0</v>
      </c>
      <c r="E10" s="1">
        <v>27.0</v>
      </c>
      <c r="F10" s="1">
        <v>22.0</v>
      </c>
      <c r="G10" s="1" t="s">
        <v>16</v>
      </c>
      <c r="H10" s="1">
        <f t="shared" si="1"/>
        <v>21</v>
      </c>
      <c r="I10" s="1" t="str">
        <f t="shared" si="2"/>
        <v>Yes</v>
      </c>
    </row>
    <row r="11">
      <c r="A11" s="5" t="s">
        <v>25</v>
      </c>
      <c r="B11" s="5">
        <v>8.0</v>
      </c>
      <c r="C11" s="6"/>
      <c r="D11" s="6"/>
      <c r="E11" s="6"/>
      <c r="F11" s="6"/>
      <c r="G11" s="5" t="s">
        <v>26</v>
      </c>
      <c r="H11" s="1" t="str">
        <f t="shared" si="1"/>
        <v/>
      </c>
      <c r="I11" s="1" t="str">
        <f t="shared" si="2"/>
        <v/>
      </c>
      <c r="M11" s="1"/>
      <c r="N11" s="7"/>
      <c r="O11" s="1"/>
      <c r="P11" s="1"/>
      <c r="Q11" s="1"/>
      <c r="R11" s="1"/>
    </row>
    <row r="12">
      <c r="A12" s="1" t="s">
        <v>27</v>
      </c>
      <c r="B12" s="1">
        <v>9.0</v>
      </c>
      <c r="C12" s="1">
        <v>25.0</v>
      </c>
      <c r="D12" s="2">
        <v>29.0</v>
      </c>
      <c r="E12" s="1">
        <v>33.0</v>
      </c>
      <c r="F12" s="1">
        <v>35.0</v>
      </c>
      <c r="G12" s="1" t="s">
        <v>16</v>
      </c>
      <c r="H12" s="1">
        <f t="shared" si="1"/>
        <v>25</v>
      </c>
      <c r="I12" s="1" t="str">
        <f t="shared" si="2"/>
        <v>Yes</v>
      </c>
    </row>
    <row r="13">
      <c r="A13" s="5" t="s">
        <v>25</v>
      </c>
      <c r="B13" s="5">
        <v>10.0</v>
      </c>
      <c r="C13" s="6"/>
      <c r="D13" s="6"/>
      <c r="E13" s="6"/>
      <c r="F13" s="6"/>
      <c r="G13" s="5" t="s">
        <v>26</v>
      </c>
      <c r="H13" s="1" t="str">
        <f t="shared" si="1"/>
        <v/>
      </c>
      <c r="I13" s="1" t="str">
        <f t="shared" si="2"/>
        <v/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8" t="s">
        <v>23</v>
      </c>
      <c r="B14" s="8">
        <v>11.0</v>
      </c>
      <c r="C14" s="8">
        <v>9.0</v>
      </c>
      <c r="D14" s="9">
        <v>12.0</v>
      </c>
      <c r="E14" s="8">
        <v>26.0</v>
      </c>
      <c r="F14" s="8">
        <v>22.0</v>
      </c>
      <c r="G14" s="8" t="s">
        <v>16</v>
      </c>
      <c r="H14" s="8">
        <f t="shared" si="1"/>
        <v>9</v>
      </c>
      <c r="I14" s="8" t="str">
        <f t="shared" si="2"/>
        <v>No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1" t="s">
        <v>28</v>
      </c>
      <c r="B15" s="1">
        <v>12.0</v>
      </c>
      <c r="C15" s="1">
        <v>28.0</v>
      </c>
      <c r="D15" s="2">
        <v>29.0</v>
      </c>
      <c r="E15" s="1">
        <v>36.0</v>
      </c>
      <c r="F15" s="1">
        <v>34.0</v>
      </c>
      <c r="G15" s="1" t="s">
        <v>16</v>
      </c>
      <c r="H15" s="1">
        <f t="shared" si="1"/>
        <v>28</v>
      </c>
      <c r="I15" s="1" t="str">
        <f t="shared" si="2"/>
        <v>Yes</v>
      </c>
    </row>
    <row r="16">
      <c r="A16" s="1" t="s">
        <v>19</v>
      </c>
      <c r="B16" s="1">
        <v>13.0</v>
      </c>
      <c r="C16" s="1">
        <v>30.0</v>
      </c>
      <c r="D16" s="2">
        <v>30.0</v>
      </c>
      <c r="E16" s="1">
        <v>36.0</v>
      </c>
      <c r="F16" s="1">
        <v>36.0</v>
      </c>
      <c r="G16" s="1" t="s">
        <v>16</v>
      </c>
      <c r="H16" s="1">
        <f t="shared" si="1"/>
        <v>30</v>
      </c>
      <c r="I16" s="1" t="str">
        <f t="shared" si="2"/>
        <v>Yes</v>
      </c>
    </row>
    <row r="17">
      <c r="A17" s="1" t="s">
        <v>29</v>
      </c>
      <c r="B17" s="1">
        <v>14.0</v>
      </c>
      <c r="C17" s="1">
        <v>30.0</v>
      </c>
      <c r="D17" s="2">
        <v>29.0</v>
      </c>
      <c r="E17" s="1">
        <v>35.0</v>
      </c>
      <c r="F17" s="1">
        <v>35.0</v>
      </c>
      <c r="G17" s="1" t="s">
        <v>16</v>
      </c>
      <c r="H17" s="1">
        <f t="shared" si="1"/>
        <v>29</v>
      </c>
      <c r="I17" s="1" t="str">
        <f t="shared" si="2"/>
        <v>Yes</v>
      </c>
    </row>
    <row r="18">
      <c r="A18" s="1" t="s">
        <v>30</v>
      </c>
      <c r="B18" s="1">
        <v>15.0</v>
      </c>
      <c r="C18" s="1">
        <v>26.0</v>
      </c>
      <c r="D18" s="2">
        <v>29.0</v>
      </c>
      <c r="E18" s="1">
        <v>34.0</v>
      </c>
      <c r="F18" s="1">
        <v>29.0</v>
      </c>
      <c r="G18" s="1" t="s">
        <v>16</v>
      </c>
      <c r="H18" s="1">
        <f t="shared" si="1"/>
        <v>26</v>
      </c>
      <c r="I18" s="1" t="str">
        <f t="shared" si="2"/>
        <v>Yes</v>
      </c>
    </row>
    <row r="19">
      <c r="A19" s="1" t="s">
        <v>22</v>
      </c>
      <c r="B19" s="1">
        <v>16.0</v>
      </c>
      <c r="C19" s="1">
        <v>25.0</v>
      </c>
      <c r="D19" s="2">
        <v>27.0</v>
      </c>
      <c r="E19" s="1">
        <v>32.0</v>
      </c>
      <c r="F19" s="1">
        <v>35.0</v>
      </c>
      <c r="G19" s="1" t="s">
        <v>16</v>
      </c>
      <c r="H19" s="1">
        <f t="shared" si="1"/>
        <v>25</v>
      </c>
      <c r="I19" s="1" t="str">
        <f t="shared" si="2"/>
        <v>Yes</v>
      </c>
    </row>
    <row r="20">
      <c r="A20" s="1" t="s">
        <v>19</v>
      </c>
      <c r="B20" s="1">
        <v>17.0</v>
      </c>
      <c r="C20" s="1">
        <v>29.0</v>
      </c>
      <c r="D20" s="2">
        <v>29.0</v>
      </c>
      <c r="E20" s="1">
        <v>36.0</v>
      </c>
      <c r="F20" s="1">
        <v>35.0</v>
      </c>
      <c r="G20" s="1" t="s">
        <v>16</v>
      </c>
      <c r="H20" s="1">
        <f t="shared" si="1"/>
        <v>29</v>
      </c>
      <c r="I20" s="1" t="str">
        <f t="shared" si="2"/>
        <v>Yes</v>
      </c>
    </row>
    <row r="21">
      <c r="A21" s="1" t="s">
        <v>31</v>
      </c>
      <c r="B21" s="1">
        <v>18.0</v>
      </c>
      <c r="C21" s="1">
        <v>30.0</v>
      </c>
      <c r="D21" s="2">
        <v>29.0</v>
      </c>
      <c r="E21" s="1">
        <v>35.0</v>
      </c>
      <c r="F21" s="1">
        <v>35.0</v>
      </c>
      <c r="G21" s="1" t="s">
        <v>16</v>
      </c>
      <c r="H21" s="1">
        <f t="shared" si="1"/>
        <v>29</v>
      </c>
      <c r="I21" s="1" t="str">
        <f t="shared" si="2"/>
        <v>Yes</v>
      </c>
    </row>
    <row r="22">
      <c r="A22" s="1" t="s">
        <v>23</v>
      </c>
      <c r="B22" s="1">
        <v>19.0</v>
      </c>
      <c r="C22" s="1">
        <v>24.0</v>
      </c>
      <c r="D22" s="2">
        <v>28.0</v>
      </c>
      <c r="E22" s="1">
        <v>27.0</v>
      </c>
      <c r="F22" s="1">
        <v>29.0</v>
      </c>
      <c r="G22" s="1" t="s">
        <v>16</v>
      </c>
      <c r="H22" s="1">
        <f t="shared" si="1"/>
        <v>24</v>
      </c>
      <c r="I22" s="1" t="str">
        <f t="shared" si="2"/>
        <v>Yes</v>
      </c>
    </row>
    <row r="23">
      <c r="A23" s="1" t="s">
        <v>28</v>
      </c>
      <c r="B23" s="1">
        <v>20.0</v>
      </c>
      <c r="C23" s="1">
        <v>29.0</v>
      </c>
      <c r="D23" s="2">
        <v>30.0</v>
      </c>
      <c r="E23" s="1">
        <v>34.0</v>
      </c>
      <c r="F23" s="1">
        <v>33.0</v>
      </c>
      <c r="G23" s="1" t="s">
        <v>16</v>
      </c>
      <c r="H23" s="1">
        <f t="shared" si="1"/>
        <v>29</v>
      </c>
      <c r="I23" s="1" t="str">
        <f t="shared" si="2"/>
        <v>Yes</v>
      </c>
    </row>
    <row r="24">
      <c r="A24" s="5" t="s">
        <v>25</v>
      </c>
      <c r="B24" s="5">
        <v>21.0</v>
      </c>
      <c r="C24" s="6"/>
      <c r="D24" s="6"/>
      <c r="E24" s="6"/>
      <c r="F24" s="6"/>
      <c r="G24" s="5" t="s">
        <v>26</v>
      </c>
      <c r="H24" s="1" t="str">
        <f t="shared" si="1"/>
        <v/>
      </c>
      <c r="I24" s="1" t="str">
        <f t="shared" si="2"/>
        <v/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7.25" customHeight="1">
      <c r="A25" s="1" t="s">
        <v>32</v>
      </c>
      <c r="B25" s="1">
        <v>22.0</v>
      </c>
      <c r="C25" s="1">
        <v>29.0</v>
      </c>
      <c r="D25" s="2">
        <v>30.0</v>
      </c>
      <c r="E25" s="1">
        <v>36.0</v>
      </c>
      <c r="F25" s="1">
        <v>36.0</v>
      </c>
      <c r="G25" s="1" t="s">
        <v>16</v>
      </c>
      <c r="H25" s="1">
        <f t="shared" si="1"/>
        <v>29</v>
      </c>
      <c r="I25" s="1" t="str">
        <f t="shared" si="2"/>
        <v>Yes</v>
      </c>
    </row>
    <row r="26">
      <c r="A26" s="8" t="s">
        <v>15</v>
      </c>
      <c r="B26" s="8">
        <v>23.0</v>
      </c>
      <c r="C26" s="8">
        <v>16.0</v>
      </c>
      <c r="D26" s="9">
        <v>15.0</v>
      </c>
      <c r="E26" s="8">
        <v>17.0</v>
      </c>
      <c r="F26" s="8">
        <v>22.0</v>
      </c>
      <c r="G26" s="8" t="s">
        <v>16</v>
      </c>
      <c r="H26" s="8">
        <f t="shared" si="1"/>
        <v>15</v>
      </c>
      <c r="I26" s="8" t="str">
        <f t="shared" si="2"/>
        <v>No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1" t="s">
        <v>24</v>
      </c>
      <c r="B27" s="1">
        <v>24.0</v>
      </c>
      <c r="C27" s="1">
        <v>27.0</v>
      </c>
      <c r="D27" s="3">
        <v>25.0</v>
      </c>
      <c r="E27" s="1">
        <v>30.0</v>
      </c>
      <c r="F27" s="1">
        <v>29.0</v>
      </c>
      <c r="G27" s="1" t="s">
        <v>16</v>
      </c>
      <c r="H27" s="1">
        <f t="shared" si="1"/>
        <v>25</v>
      </c>
      <c r="I27" s="1" t="str">
        <f t="shared" si="2"/>
        <v>Yes</v>
      </c>
    </row>
    <row r="28">
      <c r="A28" s="8" t="s">
        <v>33</v>
      </c>
      <c r="B28" s="8">
        <v>25.0</v>
      </c>
      <c r="C28" s="8">
        <v>12.0</v>
      </c>
      <c r="D28" s="9">
        <v>14.0</v>
      </c>
      <c r="E28" s="8">
        <v>17.0</v>
      </c>
      <c r="F28" s="8">
        <v>10.0</v>
      </c>
      <c r="G28" s="8" t="s">
        <v>16</v>
      </c>
      <c r="H28" s="8">
        <f t="shared" si="1"/>
        <v>10</v>
      </c>
      <c r="I28" s="8" t="str">
        <f t="shared" si="2"/>
        <v>No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1" t="s">
        <v>22</v>
      </c>
      <c r="B29" s="1">
        <v>26.0</v>
      </c>
      <c r="C29" s="1">
        <v>30.0</v>
      </c>
      <c r="D29" s="2">
        <v>30.0</v>
      </c>
      <c r="E29" s="1">
        <v>36.0</v>
      </c>
      <c r="F29" s="1">
        <v>36.0</v>
      </c>
      <c r="G29" s="1" t="s">
        <v>16</v>
      </c>
      <c r="H29" s="1">
        <f t="shared" si="1"/>
        <v>30</v>
      </c>
      <c r="I29" s="1" t="str">
        <f t="shared" si="2"/>
        <v>Yes</v>
      </c>
    </row>
    <row r="30">
      <c r="A30" s="5" t="s">
        <v>25</v>
      </c>
      <c r="B30" s="5">
        <v>27.0</v>
      </c>
      <c r="C30" s="6"/>
      <c r="D30" s="6"/>
      <c r="E30" s="6"/>
      <c r="F30" s="6"/>
      <c r="G30" s="6"/>
      <c r="H30" s="1" t="str">
        <f t="shared" si="1"/>
        <v/>
      </c>
      <c r="I30" s="1" t="str">
        <f t="shared" si="2"/>
        <v/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1" t="s">
        <v>34</v>
      </c>
      <c r="B31" s="1">
        <v>28.0</v>
      </c>
      <c r="C31" s="1">
        <v>23.0</v>
      </c>
      <c r="D31" s="2">
        <v>19.0</v>
      </c>
      <c r="E31" s="1">
        <v>28.0</v>
      </c>
      <c r="F31" s="1">
        <v>30.0</v>
      </c>
      <c r="G31" s="1" t="s">
        <v>16</v>
      </c>
      <c r="H31" s="1">
        <f t="shared" si="1"/>
        <v>19</v>
      </c>
      <c r="I31" s="1" t="str">
        <f t="shared" si="2"/>
        <v>Yes</v>
      </c>
    </row>
    <row r="32">
      <c r="A32" s="1" t="s">
        <v>22</v>
      </c>
      <c r="B32" s="1">
        <v>29.0</v>
      </c>
      <c r="C32" s="1">
        <v>25.0</v>
      </c>
      <c r="D32" s="2">
        <v>24.0</v>
      </c>
      <c r="E32" s="1">
        <v>31.0</v>
      </c>
      <c r="F32" s="1">
        <v>29.0</v>
      </c>
      <c r="G32" s="1" t="s">
        <v>16</v>
      </c>
      <c r="H32" s="1">
        <f t="shared" si="1"/>
        <v>24</v>
      </c>
      <c r="I32" s="1" t="str">
        <f t="shared" si="2"/>
        <v>Yes</v>
      </c>
    </row>
    <row r="33">
      <c r="A33" s="5" t="s">
        <v>25</v>
      </c>
      <c r="B33" s="5">
        <v>30.0</v>
      </c>
      <c r="C33" s="6"/>
      <c r="D33" s="6"/>
      <c r="E33" s="6"/>
      <c r="F33" s="6"/>
      <c r="G33" s="6"/>
      <c r="H33" s="1" t="str">
        <f t="shared" si="1"/>
        <v/>
      </c>
      <c r="I33" s="1" t="str">
        <f t="shared" si="2"/>
        <v/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1" t="s">
        <v>30</v>
      </c>
      <c r="B34" s="1">
        <v>31.0</v>
      </c>
      <c r="C34" s="1">
        <v>30.0</v>
      </c>
      <c r="D34" s="2">
        <v>29.0</v>
      </c>
      <c r="E34" s="1">
        <v>34.0</v>
      </c>
      <c r="F34" s="1">
        <v>36.0</v>
      </c>
      <c r="G34" s="1" t="s">
        <v>16</v>
      </c>
      <c r="H34" s="1">
        <f t="shared" si="1"/>
        <v>29</v>
      </c>
      <c r="I34" s="1" t="str">
        <f t="shared" si="2"/>
        <v>Yes</v>
      </c>
    </row>
    <row r="35">
      <c r="A35" s="1" t="s">
        <v>23</v>
      </c>
      <c r="B35" s="1">
        <v>32.0</v>
      </c>
      <c r="C35" s="1">
        <v>30.0</v>
      </c>
      <c r="D35" s="2">
        <v>25.0</v>
      </c>
      <c r="E35" s="1">
        <v>35.0</v>
      </c>
      <c r="F35" s="1">
        <v>31.0</v>
      </c>
      <c r="G35" s="1" t="s">
        <v>16</v>
      </c>
      <c r="H35" s="1">
        <f t="shared" si="1"/>
        <v>25</v>
      </c>
      <c r="I35" s="1" t="str">
        <f t="shared" si="2"/>
        <v>Yes</v>
      </c>
    </row>
    <row r="36">
      <c r="A36" s="1" t="s">
        <v>28</v>
      </c>
      <c r="B36" s="1">
        <v>33.0</v>
      </c>
      <c r="C36" s="1">
        <v>29.0</v>
      </c>
      <c r="D36" s="2">
        <v>30.0</v>
      </c>
      <c r="E36" s="1">
        <v>34.0</v>
      </c>
      <c r="F36" s="1">
        <v>36.0</v>
      </c>
      <c r="G36" s="1" t="s">
        <v>16</v>
      </c>
      <c r="H36" s="1">
        <f t="shared" si="1"/>
        <v>29</v>
      </c>
      <c r="I36" s="1" t="str">
        <f t="shared" si="2"/>
        <v>Yes</v>
      </c>
    </row>
    <row r="37">
      <c r="A37" s="1" t="s">
        <v>31</v>
      </c>
      <c r="B37" s="1">
        <v>34.0</v>
      </c>
      <c r="C37" s="1">
        <v>30.0</v>
      </c>
      <c r="D37" s="2">
        <v>29.0</v>
      </c>
      <c r="E37" s="1">
        <v>35.0</v>
      </c>
      <c r="F37" s="1">
        <v>35.0</v>
      </c>
      <c r="G37" s="1" t="s">
        <v>16</v>
      </c>
      <c r="H37" s="1">
        <f t="shared" si="1"/>
        <v>29</v>
      </c>
      <c r="I37" s="1" t="str">
        <f t="shared" si="2"/>
        <v>Yes</v>
      </c>
    </row>
    <row r="38">
      <c r="A38" s="1" t="s">
        <v>22</v>
      </c>
      <c r="B38" s="1">
        <v>35.0</v>
      </c>
      <c r="C38" s="1">
        <v>27.0</v>
      </c>
      <c r="D38" s="2">
        <v>28.0</v>
      </c>
      <c r="E38" s="1">
        <v>31.0</v>
      </c>
      <c r="F38" s="1">
        <v>30.0</v>
      </c>
      <c r="G38" s="1" t="s">
        <v>16</v>
      </c>
      <c r="H38" s="1">
        <f t="shared" si="1"/>
        <v>27</v>
      </c>
      <c r="I38" s="1" t="str">
        <f t="shared" si="2"/>
        <v>Yes</v>
      </c>
    </row>
    <row r="39">
      <c r="A39" s="1" t="s">
        <v>23</v>
      </c>
      <c r="B39" s="1">
        <v>36.0</v>
      </c>
      <c r="C39" s="1">
        <v>30.0</v>
      </c>
      <c r="D39" s="3">
        <v>30.0</v>
      </c>
      <c r="E39" s="1">
        <v>36.0</v>
      </c>
      <c r="F39" s="1">
        <v>36.0</v>
      </c>
      <c r="G39" s="1" t="s">
        <v>16</v>
      </c>
      <c r="H39" s="1">
        <f t="shared" si="1"/>
        <v>30</v>
      </c>
      <c r="I39" s="1" t="str">
        <f t="shared" si="2"/>
        <v>Yes</v>
      </c>
    </row>
    <row r="40">
      <c r="A40" s="1" t="s">
        <v>28</v>
      </c>
      <c r="B40" s="1">
        <v>37.0</v>
      </c>
      <c r="C40" s="1">
        <v>27.0</v>
      </c>
      <c r="D40" s="2">
        <v>28.0</v>
      </c>
      <c r="E40" s="1">
        <v>35.0</v>
      </c>
      <c r="F40" s="1">
        <v>33.0</v>
      </c>
      <c r="G40" s="1" t="s">
        <v>16</v>
      </c>
      <c r="H40" s="1">
        <f t="shared" si="1"/>
        <v>27</v>
      </c>
      <c r="I40" s="1" t="str">
        <f t="shared" si="2"/>
        <v>Yes</v>
      </c>
    </row>
    <row r="41">
      <c r="A41" s="1" t="s">
        <v>34</v>
      </c>
      <c r="B41" s="1">
        <v>38.0</v>
      </c>
      <c r="C41" s="1">
        <v>28.0</v>
      </c>
      <c r="D41" s="2">
        <v>28.0</v>
      </c>
      <c r="E41" s="1">
        <v>35.0</v>
      </c>
      <c r="F41" s="1">
        <v>32.0</v>
      </c>
      <c r="G41" s="1" t="s">
        <v>16</v>
      </c>
      <c r="H41" s="1">
        <f t="shared" si="1"/>
        <v>28</v>
      </c>
      <c r="I41" s="1" t="str">
        <f t="shared" si="2"/>
        <v>Yes</v>
      </c>
    </row>
    <row r="42">
      <c r="A42" s="1" t="s">
        <v>35</v>
      </c>
      <c r="B42" s="1">
        <v>39.0</v>
      </c>
      <c r="C42" s="1">
        <v>29.0</v>
      </c>
      <c r="D42" s="2">
        <v>28.0</v>
      </c>
      <c r="E42" s="1">
        <v>35.0</v>
      </c>
      <c r="F42" s="1">
        <v>35.0</v>
      </c>
      <c r="G42" s="1" t="s">
        <v>16</v>
      </c>
      <c r="H42" s="1">
        <f t="shared" si="1"/>
        <v>28</v>
      </c>
      <c r="I42" s="1" t="str">
        <f t="shared" si="2"/>
        <v>Yes</v>
      </c>
    </row>
    <row r="43">
      <c r="A43" s="8" t="s">
        <v>17</v>
      </c>
      <c r="B43" s="8">
        <v>40.0</v>
      </c>
      <c r="C43" s="8">
        <v>15.0</v>
      </c>
      <c r="D43" s="9">
        <v>23.0</v>
      </c>
      <c r="E43" s="8">
        <v>22.0</v>
      </c>
      <c r="F43" s="8">
        <v>19.0</v>
      </c>
      <c r="G43" s="8" t="s">
        <v>16</v>
      </c>
      <c r="H43" s="8">
        <f t="shared" si="1"/>
        <v>15</v>
      </c>
      <c r="I43" s="8" t="str">
        <f t="shared" si="2"/>
        <v>No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1" t="s">
        <v>36</v>
      </c>
      <c r="B44" s="1">
        <v>41.0</v>
      </c>
      <c r="C44" s="1">
        <v>29.0</v>
      </c>
      <c r="D44" s="2">
        <v>26.0</v>
      </c>
      <c r="E44" s="1">
        <v>30.0</v>
      </c>
      <c r="F44" s="1">
        <v>34.0</v>
      </c>
      <c r="G44" s="1" t="s">
        <v>16</v>
      </c>
      <c r="H44" s="1">
        <f t="shared" si="1"/>
        <v>26</v>
      </c>
      <c r="I44" s="1" t="str">
        <f t="shared" si="2"/>
        <v>Yes</v>
      </c>
    </row>
    <row r="45">
      <c r="A45" s="1" t="s">
        <v>34</v>
      </c>
      <c r="B45" s="1">
        <v>42.0</v>
      </c>
      <c r="C45" s="1">
        <v>23.0</v>
      </c>
      <c r="D45" s="2">
        <v>24.0</v>
      </c>
      <c r="E45" s="1">
        <v>33.0</v>
      </c>
      <c r="F45" s="1">
        <v>32.0</v>
      </c>
      <c r="G45" s="1" t="s">
        <v>16</v>
      </c>
      <c r="H45" s="1">
        <f t="shared" si="1"/>
        <v>23</v>
      </c>
      <c r="I45" s="1" t="str">
        <f t="shared" si="2"/>
        <v>Yes</v>
      </c>
    </row>
    <row r="46">
      <c r="A46" s="1" t="s">
        <v>24</v>
      </c>
      <c r="B46" s="1">
        <v>43.0</v>
      </c>
      <c r="C46" s="1">
        <v>29.0</v>
      </c>
      <c r="D46" s="2">
        <v>27.0</v>
      </c>
      <c r="E46" s="1">
        <v>35.0</v>
      </c>
      <c r="F46" s="1">
        <v>34.0</v>
      </c>
      <c r="G46" s="1" t="s">
        <v>16</v>
      </c>
      <c r="H46" s="1">
        <f t="shared" si="1"/>
        <v>27</v>
      </c>
      <c r="I46" s="1" t="str">
        <f t="shared" si="2"/>
        <v>Yes</v>
      </c>
    </row>
    <row r="47">
      <c r="A47" s="1" t="s">
        <v>37</v>
      </c>
      <c r="B47" s="1">
        <v>44.0</v>
      </c>
      <c r="C47" s="1">
        <v>29.0</v>
      </c>
      <c r="D47" s="2">
        <v>30.0</v>
      </c>
      <c r="E47" s="1">
        <v>35.0</v>
      </c>
      <c r="F47" s="1">
        <v>34.0</v>
      </c>
      <c r="G47" s="1" t="s">
        <v>16</v>
      </c>
      <c r="H47" s="1">
        <f t="shared" si="1"/>
        <v>29</v>
      </c>
      <c r="I47" s="1" t="str">
        <f t="shared" si="2"/>
        <v>Yes</v>
      </c>
    </row>
    <row r="49">
      <c r="D49" s="1" t="s">
        <v>38</v>
      </c>
    </row>
    <row r="50">
      <c r="D50" s="1" t="s">
        <v>39</v>
      </c>
    </row>
    <row r="51">
      <c r="D51" s="11" t="s">
        <v>40</v>
      </c>
    </row>
    <row r="52">
      <c r="D52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