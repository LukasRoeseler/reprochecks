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787802\Desktop\"/>
    </mc:Choice>
  </mc:AlternateContent>
  <bookViews>
    <workbookView xWindow="0" yWindow="0" windowWidth="25200" windowHeight="12570" firstSheet="92" activeTab="92"/>
  </bookViews>
  <sheets>
    <sheet name="1 ACPMH13 TFCBT vs WL PTSD sev" sheetId="1" r:id="rId1"/>
    <sheet name="2 ACPMH13 TFCBT vs WL PTSD diag" sheetId="2" r:id="rId2"/>
    <sheet name="3 ACPMH13 TFCBT WL PTSD severIT" sheetId="3" r:id="rId3"/>
    <sheet name="4 ACPMH13 TFCBT vs WL depresITT" sheetId="4" r:id="rId4"/>
    <sheet name="5 ACPMH13 TFCBT WL anxieITT" sheetId="5" r:id="rId5"/>
    <sheet name="6 ACPMH13 TFCBT WL attritionITT" sheetId="6" r:id="rId6"/>
    <sheet name="7 ACPMH13 TFCBT WL PTSD sevMVA " sheetId="7" r:id="rId7"/>
    <sheet name="8 ACPMH13 TFCBT TAU PTSD sev FU" sheetId="8" r:id="rId8"/>
    <sheet name="9 ACPMH13 TFCBT TAU depression" sheetId="9" r:id="rId9"/>
    <sheet name="10 ACPMH13 TFCBT tAU attrition" sheetId="10" r:id="rId10"/>
    <sheet name="11 ACPMH13 TFCBT stressman depr" sheetId="11" r:id="rId11"/>
    <sheet name="12 ACPMH13 TFCBT stressman anxi" sheetId="12" r:id="rId12"/>
    <sheet name="13 ACPMH13 TFCBT stressman attr" sheetId="13" r:id="rId13"/>
    <sheet name="14 Bisson07 TFCBT WLTAU attriti" sheetId="14" r:id="rId14"/>
    <sheet name="15 Bisson07 EMDR WLTAU attritio" sheetId="15" r:id="rId15"/>
    <sheet name="16 Bisson07 EMDR TFCBT attritio" sheetId="16" r:id="rId16"/>
    <sheet name="17 Bisson13 TFCBT WL attrition" sheetId="17" r:id="rId17"/>
    <sheet name="18 Bisson13 TFCBT nonTFCBT attr" sheetId="18" r:id="rId18"/>
    <sheet name="19 Bisson13 TFCBT nonTFCBT depr" sheetId="19" r:id="rId19"/>
    <sheet name="20 Bisson13 TFCBT nonTFCBT PTSD" sheetId="20" r:id="rId20"/>
    <sheet name="21 Bisson13 TFCBT other attriti" sheetId="21" r:id="rId21"/>
    <sheet name="22 Bisson13 TFCBT other depres " sheetId="22" r:id="rId22"/>
    <sheet name="23 Bisson13 TFCBT other th PTSD" sheetId="23" r:id="rId23"/>
    <sheet name="24 Bisson13 EMDR WL attrition" sheetId="24" r:id="rId24"/>
    <sheet name="25 Bisson13 EMDR WL depression" sheetId="25" r:id="rId25"/>
    <sheet name="26 Bisson13 EMDR WL anxiety" sheetId="26" r:id="rId26"/>
    <sheet name="27 Bisson13 EMDR TFCBT attritio" sheetId="27" r:id="rId27"/>
    <sheet name="28 Bisson13 EMDR TFCBT PTSD" sheetId="28" r:id="rId28"/>
    <sheet name="29 Bisson13 groupTFCBT WL attri" sheetId="29" r:id="rId29"/>
    <sheet name="30 Casement12 nightmare within" sheetId="30" r:id="rId30"/>
    <sheet name="31 Casement12 PTSD within" sheetId="31" r:id="rId31"/>
    <sheet name="32 Chen14 equival entdepression" sheetId="34" r:id="rId32"/>
    <sheet name="33 Chen14 adult depression" sheetId="32" r:id="rId33"/>
    <sheet name="34 Chen14 equivalent anxiety" sheetId="33" r:id="rId34"/>
    <sheet name="35 Chen14 equivalent subj distr" sheetId="35" r:id="rId35"/>
    <sheet name="36 Chen14 less60min PTSD" sheetId="36" r:id="rId36"/>
    <sheet name="37 Chen14 equivalent PTSD" sheetId="37" r:id="rId37"/>
    <sheet name="38 Chen14 manual depression" sheetId="38" r:id="rId38"/>
    <sheet name="39 Chen14 less60min Depression" sheetId="39" r:id="rId39"/>
    <sheet name="40 Chen14 less60min anxiety" sheetId="40" r:id="rId40"/>
    <sheet name="41 Chen15 intrusion" sheetId="41" r:id="rId41"/>
    <sheet name="42 Chen15 sensitivity PTSD 3 re" sheetId="42" r:id="rId42"/>
    <sheet name="43 Diehle14 CR+EX EX post" sheetId="43" r:id="rId43"/>
    <sheet name="44 Diehle14 CR+EX EX followup" sheetId="44" r:id="rId44"/>
    <sheet name="45 DiMauro14 ET VRET post" sheetId="45" r:id="rId45"/>
    <sheet name="46 Dorrepaal14 allcond PTSD com" sheetId="46" r:id="rId46"/>
    <sheet name="47 Dorrepaal14 allcond PTSD ITT" sheetId="47" r:id="rId47"/>
    <sheet name="48 Dorrepaal14 CBT PTSD complet" sheetId="48" r:id="rId48"/>
    <sheet name="49 Dorrepaal14 CBT PTSD ITT" sheetId="49" r:id="rId49"/>
    <sheet name="50 Dorrepaal14 allcond PTSD com" sheetId="50" r:id="rId50"/>
    <sheet name="51 Dorrepaal14 allcond PTSD ITT" sheetId="51" r:id="rId51"/>
    <sheet name="52 Dorrepaal14 CBT PTSD compl c" sheetId="52" r:id="rId52"/>
    <sheet name="53 Dorrepaal14 CBT PTSD compl I" sheetId="53" r:id="rId53"/>
    <sheet name="54 Gerger14 PTSD complex" sheetId="54" r:id="rId54"/>
    <sheet name="55 Gerger14 PTSD noncomplex" sheetId="55" r:id="rId55"/>
    <sheet name="56 Gerger14 PTSD credibility" sheetId="56" r:id="rId56"/>
    <sheet name="57 Gerger14 PTSD equivalence" sheetId="57" r:id="rId57"/>
    <sheet name="58 Gerger14 PTSD equi+complex" sheetId="58" r:id="rId58"/>
    <sheet name="59 Gerger14 PTSD outliers exclu" sheetId="59" r:id="rId59"/>
    <sheet name="60 Gerger14 PTSD outl excl+comp" sheetId="60" r:id="rId60"/>
    <sheet name="61 Gerger14PTSD noncompl within" sheetId="61" r:id="rId61"/>
    <sheet name="63 Ho12 PTSD" sheetId="63" r:id="rId62"/>
    <sheet name="64 Hofmann08 PTSD" sheetId="64" r:id="rId63"/>
    <sheet name="65 Imel13 dropout PE otheractiv" sheetId="65" r:id="rId64"/>
    <sheet name="66 Imel13 dropout TFT neutralav" sheetId="66" r:id="rId65"/>
    <sheet name="67 Jonas13 Exposure WLTAU PTSD" sheetId="67" r:id="rId66"/>
    <sheet name="68 Jonas13 Expo WLTAU PTSD sen " sheetId="68" r:id="rId67"/>
    <sheet name="69 Jonas13 Expo WL PTSD sensiti" sheetId="69" r:id="rId68"/>
    <sheet name="70 Jonas13 Expo WLTAU CAPS sens" sheetId="70" r:id="rId69"/>
    <sheet name="71 Jonas13 Expo WL CAPS" sheetId="71" r:id="rId70"/>
    <sheet name="72 Jonas13 Expo WLTAU BDI" sheetId="72" r:id="rId71"/>
    <sheet name="73 Jonas13 Expo WLTAU BDIsensit" sheetId="73" r:id="rId72"/>
    <sheet name="74 Jonas13 Expo WL BDI sensitiv" sheetId="74" r:id="rId73"/>
    <sheet name="75 Jonas13 Expo WLTAUPCT BDI 1" sheetId="75" r:id="rId74"/>
    <sheet name="76 Jonas13 Expo WLTAUPCT BDI 2" sheetId="76" r:id="rId75"/>
    <sheet name="77 Kehle-Forbes13 dropout post" sheetId="77" r:id="rId76"/>
    <sheet name="78 Lambert14 depression" sheetId="78" r:id="rId77"/>
    <sheet name="79 Nenova13 intrusion" sheetId="79" r:id="rId78"/>
    <sheet name="80 Nenova13 avoidance" sheetId="80" r:id="rId79"/>
    <sheet name="81 Peleikis05 traumasymptoms" sheetId="81" r:id="rId80"/>
    <sheet name="82 Seidler06 depression post" sheetId="82" r:id="rId81"/>
    <sheet name="83 Seidler06 depression followu" sheetId="83" r:id="rId82"/>
    <sheet name="84 Sherman98 mixedoutcomes pos " sheetId="84" r:id="rId83"/>
    <sheet name="85 Sherman98 mixedoutc followu " sheetId="85" r:id="rId84"/>
    <sheet name="86 Sloan13 group anycontrol PTS" sheetId="86" r:id="rId85"/>
    <sheet name="87 Sloan13 group WL PTSD" sheetId="87" r:id="rId86"/>
    <sheet name="88 Sloan13 group active CG PTSD" sheetId="88" r:id="rId87"/>
    <sheet name="89 Taylor09 7-9sessions" sheetId="89" r:id="rId88"/>
    <sheet name="90 Taylor09 practitioner" sheetId="90" r:id="rId89"/>
    <sheet name="91 Taylor09 individual th withi" sheetId="91" r:id="rId90"/>
    <sheet name="92 Taylor09 maincontact within" sheetId="92" r:id="rId91"/>
    <sheet name="93 Tol11 PTSD" sheetId="93" r:id="rId92"/>
    <sheet name="94 Torchalla12" sheetId="94" r:id="rId93"/>
    <sheet name="97 Bisson13 TFCT anxiety post" sheetId="97" r:id="rId94"/>
    <sheet name="98 Bisson13 TFCBT PTSDclinic " sheetId="98" r:id="rId95"/>
    <sheet name="103 Powers10 PEvsActivePTSD pos" sheetId="103" r:id="rId96"/>
    <sheet name="105 Gerger14 structural equival" sheetId="105" r:id="rId97"/>
    <sheet name="106 EhringTFT PTSD symptoms FU1" sheetId="106" r:id="rId98"/>
  </sheet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7" i="103" l="1"/>
  <c r="K6" i="103"/>
  <c r="K5" i="103"/>
  <c r="K4" i="103"/>
  <c r="K3" i="103"/>
  <c r="K2" i="103"/>
  <c r="K8" i="106"/>
  <c r="K7" i="106"/>
  <c r="K6" i="106"/>
  <c r="K5" i="106"/>
  <c r="K4" i="106"/>
  <c r="K3" i="106"/>
  <c r="K2" i="106"/>
  <c r="E12" i="105"/>
  <c r="D12" i="105"/>
  <c r="E11" i="105"/>
  <c r="D11" i="105"/>
  <c r="E10" i="105"/>
  <c r="D10" i="105"/>
  <c r="E9" i="105"/>
  <c r="D9" i="105"/>
  <c r="E8" i="105"/>
  <c r="D8" i="105"/>
  <c r="E7" i="105"/>
  <c r="D7" i="105"/>
  <c r="E6" i="105"/>
  <c r="D6" i="105"/>
  <c r="E5" i="105"/>
  <c r="D5" i="105"/>
  <c r="E4" i="105"/>
  <c r="D4" i="105"/>
  <c r="E3" i="105"/>
  <c r="D3" i="105"/>
  <c r="E2" i="105"/>
  <c r="D2" i="105"/>
  <c r="J8" i="106"/>
  <c r="J7" i="106"/>
  <c r="J6" i="106"/>
  <c r="J5" i="106"/>
  <c r="J4" i="106"/>
  <c r="J3" i="106"/>
  <c r="J2" i="106"/>
  <c r="J7" i="103"/>
  <c r="J6" i="103"/>
  <c r="J5" i="103"/>
  <c r="J4" i="103"/>
  <c r="J3" i="103"/>
  <c r="J2" i="103"/>
  <c r="M8" i="98"/>
  <c r="L8" i="98"/>
  <c r="O8" i="98"/>
  <c r="Q8" i="98"/>
  <c r="P8" i="98"/>
  <c r="N8" i="98"/>
  <c r="M7" i="98"/>
  <c r="L7" i="98"/>
  <c r="O7" i="98"/>
  <c r="Q7" i="98"/>
  <c r="P7" i="98"/>
  <c r="N7" i="98"/>
  <c r="M6" i="98"/>
  <c r="L6" i="98"/>
  <c r="O6" i="98"/>
  <c r="Q6" i="98"/>
  <c r="P6" i="98"/>
  <c r="N6" i="98"/>
  <c r="M5" i="98"/>
  <c r="L5" i="98"/>
  <c r="O5" i="98"/>
  <c r="Q5" i="98"/>
  <c r="P5" i="98"/>
  <c r="N5" i="98"/>
  <c r="M4" i="98"/>
  <c r="L4" i="98"/>
  <c r="O4" i="98"/>
  <c r="Q4" i="98"/>
  <c r="P4" i="98"/>
  <c r="N4" i="98"/>
  <c r="M3" i="98"/>
  <c r="L3" i="98"/>
  <c r="O3" i="98"/>
  <c r="Q3" i="98"/>
  <c r="P3" i="98"/>
  <c r="N3" i="98"/>
  <c r="M2" i="98"/>
  <c r="L2" i="98"/>
  <c r="O2" i="98"/>
  <c r="Q2" i="98"/>
  <c r="P2" i="98"/>
  <c r="N2" i="98"/>
  <c r="O18" i="97"/>
  <c r="O17" i="97"/>
  <c r="O16" i="97"/>
  <c r="O15" i="97"/>
  <c r="O14" i="97"/>
  <c r="O13" i="97"/>
  <c r="O12" i="97"/>
  <c r="O11" i="97"/>
  <c r="O10" i="97"/>
  <c r="O9" i="97"/>
  <c r="O8" i="97"/>
  <c r="O7" i="97"/>
  <c r="O6" i="97"/>
  <c r="O5" i="97"/>
  <c r="O4" i="97"/>
  <c r="O3" i="97"/>
  <c r="O2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M4" i="97"/>
  <c r="M3" i="97"/>
  <c r="M2" i="97"/>
  <c r="L18" i="97"/>
  <c r="Q18" i="97"/>
  <c r="P18" i="97"/>
  <c r="N18" i="97"/>
  <c r="L17" i="97"/>
  <c r="Q17" i="97"/>
  <c r="P17" i="97"/>
  <c r="N17" i="97"/>
  <c r="L16" i="97"/>
  <c r="Q16" i="97"/>
  <c r="P16" i="97"/>
  <c r="N16" i="97"/>
  <c r="L15" i="97"/>
  <c r="Q15" i="97"/>
  <c r="P15" i="97"/>
  <c r="N15" i="97"/>
  <c r="L14" i="97"/>
  <c r="Q14" i="97"/>
  <c r="P14" i="97"/>
  <c r="N14" i="97"/>
  <c r="L13" i="97"/>
  <c r="Q13" i="97"/>
  <c r="P13" i="97"/>
  <c r="N13" i="97"/>
  <c r="L12" i="97"/>
  <c r="Q12" i="97"/>
  <c r="P12" i="97"/>
  <c r="N12" i="97"/>
  <c r="L11" i="97"/>
  <c r="Q11" i="97"/>
  <c r="P11" i="97"/>
  <c r="N11" i="97"/>
  <c r="L10" i="97"/>
  <c r="Q10" i="97"/>
  <c r="P10" i="97"/>
  <c r="N10" i="97"/>
  <c r="L9" i="97"/>
  <c r="Q9" i="97"/>
  <c r="P9" i="97"/>
  <c r="N9" i="97"/>
  <c r="L8" i="97"/>
  <c r="Q8" i="97"/>
  <c r="P8" i="97"/>
  <c r="N8" i="97"/>
  <c r="L7" i="97"/>
  <c r="Q7" i="97"/>
  <c r="P7" i="97"/>
  <c r="N7" i="97"/>
  <c r="L6" i="97"/>
  <c r="Q6" i="97"/>
  <c r="P6" i="97"/>
  <c r="N6" i="97"/>
  <c r="L5" i="97"/>
  <c r="Q5" i="97"/>
  <c r="P5" i="97"/>
  <c r="N5" i="97"/>
  <c r="L4" i="97"/>
  <c r="Q4" i="97"/>
  <c r="P4" i="97"/>
  <c r="N4" i="97"/>
  <c r="L3" i="97"/>
  <c r="Q3" i="97"/>
  <c r="P3" i="97"/>
  <c r="N3" i="97"/>
  <c r="L2" i="97"/>
  <c r="Q2" i="97"/>
  <c r="P2" i="97"/>
  <c r="N2" i="97"/>
  <c r="K2" i="94"/>
  <c r="K3" i="94"/>
  <c r="M9" i="94"/>
  <c r="M8" i="94"/>
  <c r="M7" i="94"/>
  <c r="M6" i="94"/>
  <c r="M5" i="94"/>
  <c r="M4" i="94"/>
  <c r="M3" i="94"/>
  <c r="M2" i="94"/>
  <c r="L9" i="94"/>
  <c r="L8" i="94"/>
  <c r="L7" i="94"/>
  <c r="L6" i="94"/>
  <c r="L5" i="94"/>
  <c r="L4" i="94"/>
  <c r="L3" i="94"/>
  <c r="L2" i="94"/>
  <c r="M10" i="93"/>
  <c r="M9" i="93"/>
  <c r="M8" i="93"/>
  <c r="M7" i="93"/>
  <c r="M6" i="93"/>
  <c r="M5" i="93"/>
  <c r="M4" i="93"/>
  <c r="M3" i="93"/>
  <c r="M2" i="93"/>
  <c r="L10" i="93"/>
  <c r="L9" i="93"/>
  <c r="L8" i="93"/>
  <c r="L7" i="93"/>
  <c r="L6" i="93"/>
  <c r="L5" i="93"/>
  <c r="L4" i="93"/>
  <c r="L3" i="93"/>
  <c r="L2" i="93"/>
  <c r="M8" i="92"/>
  <c r="M7" i="92"/>
  <c r="M6" i="92"/>
  <c r="M5" i="92"/>
  <c r="M4" i="92"/>
  <c r="M3" i="92"/>
  <c r="M2" i="92"/>
  <c r="L8" i="92"/>
  <c r="L7" i="92"/>
  <c r="L6" i="92"/>
  <c r="L5" i="92"/>
  <c r="L4" i="92"/>
  <c r="L3" i="92"/>
  <c r="L2" i="92"/>
  <c r="M7" i="91"/>
  <c r="M6" i="91"/>
  <c r="M5" i="91"/>
  <c r="M4" i="91"/>
  <c r="M3" i="91"/>
  <c r="M2" i="91"/>
  <c r="L7" i="91"/>
  <c r="L6" i="91"/>
  <c r="L5" i="91"/>
  <c r="L4" i="91"/>
  <c r="L3" i="91"/>
  <c r="L2" i="91"/>
  <c r="M8" i="90"/>
  <c r="M7" i="90"/>
  <c r="M6" i="90"/>
  <c r="M5" i="90"/>
  <c r="M4" i="90"/>
  <c r="M3" i="90"/>
  <c r="M2" i="90"/>
  <c r="L8" i="90"/>
  <c r="L7" i="90"/>
  <c r="L6" i="90"/>
  <c r="L5" i="90"/>
  <c r="L4" i="90"/>
  <c r="L3" i="90"/>
  <c r="L2" i="90"/>
  <c r="M7" i="89"/>
  <c r="M6" i="89"/>
  <c r="M5" i="89"/>
  <c r="M4" i="89"/>
  <c r="M3" i="89"/>
  <c r="M2" i="89"/>
  <c r="L7" i="89"/>
  <c r="L6" i="89"/>
  <c r="L5" i="89"/>
  <c r="L4" i="89"/>
  <c r="L3" i="89"/>
  <c r="L2" i="89"/>
  <c r="M11" i="88"/>
  <c r="M10" i="88"/>
  <c r="M9" i="88"/>
  <c r="M8" i="88"/>
  <c r="M7" i="88"/>
  <c r="M6" i="88"/>
  <c r="M5" i="88"/>
  <c r="M4" i="88"/>
  <c r="M3" i="88"/>
  <c r="M2" i="88"/>
  <c r="L11" i="88"/>
  <c r="L10" i="88"/>
  <c r="L9" i="88"/>
  <c r="L8" i="88"/>
  <c r="L7" i="88"/>
  <c r="L6" i="88"/>
  <c r="L5" i="88"/>
  <c r="L4" i="88"/>
  <c r="L3" i="88"/>
  <c r="L2" i="88"/>
  <c r="M7" i="87"/>
  <c r="M6" i="87"/>
  <c r="M5" i="87"/>
  <c r="M4" i="87"/>
  <c r="M3" i="87"/>
  <c r="M2" i="87"/>
  <c r="L7" i="87"/>
  <c r="L6" i="87"/>
  <c r="L5" i="87"/>
  <c r="L4" i="87"/>
  <c r="L3" i="87"/>
  <c r="L2" i="87"/>
  <c r="M11" i="86"/>
  <c r="M10" i="86"/>
  <c r="M9" i="86"/>
  <c r="M8" i="86"/>
  <c r="M7" i="86"/>
  <c r="M6" i="86"/>
  <c r="M5" i="86"/>
  <c r="M4" i="86"/>
  <c r="M3" i="86"/>
  <c r="M2" i="86"/>
  <c r="L17" i="86"/>
  <c r="L16" i="86"/>
  <c r="L15" i="86"/>
  <c r="L14" i="86"/>
  <c r="L13" i="86"/>
  <c r="L12" i="86"/>
  <c r="L11" i="86"/>
  <c r="L10" i="86"/>
  <c r="L9" i="86"/>
  <c r="L8" i="86"/>
  <c r="L7" i="86"/>
  <c r="L6" i="86"/>
  <c r="L5" i="86"/>
  <c r="L4" i="86"/>
  <c r="L3" i="86"/>
  <c r="L2" i="86"/>
  <c r="L9" i="81"/>
  <c r="L8" i="81"/>
  <c r="L7" i="81"/>
  <c r="L6" i="81"/>
  <c r="L5" i="81"/>
  <c r="L4" i="81"/>
  <c r="L3" i="81"/>
  <c r="L2" i="81"/>
  <c r="B5" i="98"/>
  <c r="F9" i="77"/>
  <c r="F8" i="77"/>
  <c r="F7" i="77"/>
  <c r="F6" i="77"/>
  <c r="F5" i="77"/>
  <c r="F4" i="77"/>
  <c r="F3" i="77"/>
  <c r="F2" i="77"/>
  <c r="H2" i="4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F7" i="45"/>
  <c r="G7" i="45"/>
  <c r="H7" i="45"/>
  <c r="I7" i="45"/>
  <c r="J7" i="45"/>
  <c r="F6" i="45"/>
  <c r="G6" i="45"/>
  <c r="H6" i="45"/>
  <c r="I6" i="45"/>
  <c r="J6" i="45"/>
  <c r="F5" i="45"/>
  <c r="G5" i="45"/>
  <c r="H5" i="45"/>
  <c r="I5" i="45"/>
  <c r="J5" i="45"/>
  <c r="F4" i="45"/>
  <c r="G4" i="45"/>
  <c r="H4" i="45"/>
  <c r="I4" i="45"/>
  <c r="J4" i="45"/>
  <c r="F3" i="45"/>
  <c r="G3" i="45"/>
  <c r="H3" i="45"/>
  <c r="I3" i="45"/>
  <c r="J3" i="45"/>
  <c r="F2" i="45"/>
  <c r="G2" i="45"/>
  <c r="H2" i="45"/>
  <c r="I2" i="45"/>
  <c r="J2" i="45"/>
  <c r="H9" i="94"/>
  <c r="I9" i="94"/>
  <c r="J9" i="94"/>
  <c r="K9" i="94"/>
  <c r="H8" i="94"/>
  <c r="I8" i="94"/>
  <c r="J8" i="94"/>
  <c r="K8" i="94"/>
  <c r="H7" i="94"/>
  <c r="I7" i="94"/>
  <c r="J7" i="94"/>
  <c r="K7" i="94"/>
  <c r="H6" i="94"/>
  <c r="I6" i="94"/>
  <c r="J6" i="94"/>
  <c r="K6" i="94"/>
  <c r="H5" i="94"/>
  <c r="I5" i="94"/>
  <c r="J5" i="94"/>
  <c r="K5" i="94"/>
  <c r="H4" i="94"/>
  <c r="I4" i="94"/>
  <c r="J4" i="94"/>
  <c r="K4" i="94"/>
  <c r="H3" i="94"/>
  <c r="I3" i="94"/>
  <c r="J3" i="94"/>
  <c r="H2" i="94"/>
  <c r="I2" i="94"/>
  <c r="J2" i="94"/>
  <c r="I10" i="93"/>
  <c r="H10" i="93"/>
  <c r="J10" i="93"/>
  <c r="K10" i="93"/>
  <c r="I9" i="93"/>
  <c r="H9" i="93"/>
  <c r="J9" i="93"/>
  <c r="K9" i="93"/>
  <c r="I8" i="93"/>
  <c r="H8" i="93"/>
  <c r="J8" i="93"/>
  <c r="K8" i="93"/>
  <c r="I7" i="93"/>
  <c r="H7" i="93"/>
  <c r="J7" i="93"/>
  <c r="K7" i="93"/>
  <c r="I6" i="93"/>
  <c r="H6" i="93"/>
  <c r="J6" i="93"/>
  <c r="K6" i="93"/>
  <c r="I5" i="93"/>
  <c r="H5" i="93"/>
  <c r="J5" i="93"/>
  <c r="K5" i="93"/>
  <c r="I4" i="93"/>
  <c r="H4" i="93"/>
  <c r="J4" i="93"/>
  <c r="K4" i="93"/>
  <c r="I3" i="93"/>
  <c r="H3" i="93"/>
  <c r="J3" i="93"/>
  <c r="K3" i="93"/>
  <c r="I2" i="93"/>
  <c r="H2" i="93"/>
  <c r="J2" i="93"/>
  <c r="K2" i="93"/>
  <c r="H8" i="92"/>
  <c r="I8" i="92"/>
  <c r="J8" i="92"/>
  <c r="K8" i="92"/>
  <c r="H7" i="92"/>
  <c r="I7" i="92"/>
  <c r="J7" i="92"/>
  <c r="K7" i="92"/>
  <c r="H6" i="92"/>
  <c r="I6" i="92"/>
  <c r="J6" i="92"/>
  <c r="K6" i="92"/>
  <c r="H5" i="92"/>
  <c r="I5" i="92"/>
  <c r="J5" i="92"/>
  <c r="K5" i="92"/>
  <c r="H4" i="92"/>
  <c r="I4" i="92"/>
  <c r="J4" i="92"/>
  <c r="K4" i="92"/>
  <c r="H3" i="92"/>
  <c r="I3" i="92"/>
  <c r="J3" i="92"/>
  <c r="K3" i="92"/>
  <c r="H2" i="92"/>
  <c r="I2" i="92"/>
  <c r="J2" i="92"/>
  <c r="K2" i="92"/>
  <c r="H7" i="91"/>
  <c r="I7" i="91"/>
  <c r="J7" i="91"/>
  <c r="K7" i="91"/>
  <c r="H6" i="91"/>
  <c r="I6" i="91"/>
  <c r="J6" i="91"/>
  <c r="K6" i="91"/>
  <c r="H5" i="91"/>
  <c r="I5" i="91"/>
  <c r="J5" i="91"/>
  <c r="K5" i="91"/>
  <c r="H4" i="91"/>
  <c r="I4" i="91"/>
  <c r="J4" i="91"/>
  <c r="K4" i="91"/>
  <c r="H3" i="91"/>
  <c r="I3" i="91"/>
  <c r="J3" i="91"/>
  <c r="K3" i="91"/>
  <c r="H2" i="91"/>
  <c r="I2" i="91"/>
  <c r="J2" i="91"/>
  <c r="K2" i="91"/>
  <c r="I8" i="90"/>
  <c r="H8" i="90"/>
  <c r="J8" i="90"/>
  <c r="K8" i="90"/>
  <c r="I7" i="90"/>
  <c r="H7" i="90"/>
  <c r="J7" i="90"/>
  <c r="K7" i="90"/>
  <c r="I6" i="90"/>
  <c r="H6" i="90"/>
  <c r="J6" i="90"/>
  <c r="K6" i="90"/>
  <c r="I5" i="90"/>
  <c r="H5" i="90"/>
  <c r="J5" i="90"/>
  <c r="K5" i="90"/>
  <c r="I4" i="90"/>
  <c r="H4" i="90"/>
  <c r="J4" i="90"/>
  <c r="K4" i="90"/>
  <c r="I3" i="90"/>
  <c r="H3" i="90"/>
  <c r="J3" i="90"/>
  <c r="K3" i="90"/>
  <c r="I2" i="90"/>
  <c r="H2" i="90"/>
  <c r="J2" i="90"/>
  <c r="K2" i="90"/>
  <c r="I7" i="89"/>
  <c r="H7" i="89"/>
  <c r="J7" i="89"/>
  <c r="K7" i="89"/>
  <c r="I6" i="89"/>
  <c r="H6" i="89"/>
  <c r="J6" i="89"/>
  <c r="K6" i="89"/>
  <c r="I5" i="89"/>
  <c r="H5" i="89"/>
  <c r="J5" i="89"/>
  <c r="K5" i="89"/>
  <c r="I4" i="89"/>
  <c r="H4" i="89"/>
  <c r="J4" i="89"/>
  <c r="K4" i="89"/>
  <c r="I3" i="89"/>
  <c r="H3" i="89"/>
  <c r="J3" i="89"/>
  <c r="K3" i="89"/>
  <c r="I2" i="89"/>
  <c r="H2" i="89"/>
  <c r="J2" i="89"/>
  <c r="K2" i="89"/>
  <c r="I11" i="88"/>
  <c r="H11" i="88"/>
  <c r="J11" i="88"/>
  <c r="K11" i="88"/>
  <c r="I10" i="88"/>
  <c r="H10" i="88"/>
  <c r="J10" i="88"/>
  <c r="K10" i="88"/>
  <c r="I9" i="88"/>
  <c r="H9" i="88"/>
  <c r="J9" i="88"/>
  <c r="K9" i="88"/>
  <c r="I8" i="88"/>
  <c r="H8" i="88"/>
  <c r="J8" i="88"/>
  <c r="K8" i="88"/>
  <c r="I7" i="88"/>
  <c r="H7" i="88"/>
  <c r="J7" i="88"/>
  <c r="K7" i="88"/>
  <c r="I6" i="88"/>
  <c r="H6" i="88"/>
  <c r="J6" i="88"/>
  <c r="K6" i="88"/>
  <c r="I5" i="88"/>
  <c r="H5" i="88"/>
  <c r="J5" i="88"/>
  <c r="K5" i="88"/>
  <c r="I4" i="88"/>
  <c r="H4" i="88"/>
  <c r="J4" i="88"/>
  <c r="K4" i="88"/>
  <c r="I3" i="88"/>
  <c r="H3" i="88"/>
  <c r="J3" i="88"/>
  <c r="K3" i="88"/>
  <c r="I2" i="88"/>
  <c r="H2" i="88"/>
  <c r="J2" i="88"/>
  <c r="K2" i="88"/>
  <c r="I7" i="87"/>
  <c r="H7" i="87"/>
  <c r="J7" i="87"/>
  <c r="K7" i="87"/>
  <c r="I6" i="87"/>
  <c r="H6" i="87"/>
  <c r="J6" i="87"/>
  <c r="K6" i="87"/>
  <c r="I5" i="87"/>
  <c r="H5" i="87"/>
  <c r="J5" i="87"/>
  <c r="K5" i="87"/>
  <c r="I4" i="87"/>
  <c r="H4" i="87"/>
  <c r="J4" i="87"/>
  <c r="K4" i="87"/>
  <c r="I3" i="87"/>
  <c r="H3" i="87"/>
  <c r="J3" i="87"/>
  <c r="K3" i="87"/>
  <c r="I2" i="87"/>
  <c r="H2" i="87"/>
  <c r="J2" i="87"/>
  <c r="K2" i="87"/>
  <c r="I17" i="86"/>
  <c r="H17" i="86"/>
  <c r="J17" i="86"/>
  <c r="K17" i="86"/>
  <c r="M17" i="86"/>
  <c r="I16" i="86"/>
  <c r="H16" i="86"/>
  <c r="J16" i="86"/>
  <c r="K16" i="86"/>
  <c r="M16" i="86"/>
  <c r="I15" i="86"/>
  <c r="H15" i="86"/>
  <c r="J15" i="86"/>
  <c r="K15" i="86"/>
  <c r="M15" i="86"/>
  <c r="I14" i="86"/>
  <c r="H14" i="86"/>
  <c r="J14" i="86"/>
  <c r="K14" i="86"/>
  <c r="M14" i="86"/>
  <c r="I13" i="86"/>
  <c r="H13" i="86"/>
  <c r="J13" i="86"/>
  <c r="K13" i="86"/>
  <c r="M13" i="86"/>
  <c r="I12" i="86"/>
  <c r="H12" i="86"/>
  <c r="J12" i="86"/>
  <c r="K12" i="86"/>
  <c r="M12" i="86"/>
  <c r="I11" i="86"/>
  <c r="H11" i="86"/>
  <c r="J11" i="86"/>
  <c r="K11" i="86"/>
  <c r="I10" i="86"/>
  <c r="H10" i="86"/>
  <c r="J10" i="86"/>
  <c r="K10" i="86"/>
  <c r="I9" i="86"/>
  <c r="H9" i="86"/>
  <c r="J9" i="86"/>
  <c r="K9" i="86"/>
  <c r="I8" i="86"/>
  <c r="H8" i="86"/>
  <c r="J8" i="86"/>
  <c r="K8" i="86"/>
  <c r="I7" i="86"/>
  <c r="H7" i="86"/>
  <c r="J7" i="86"/>
  <c r="K7" i="86"/>
  <c r="I6" i="86"/>
  <c r="H6" i="86"/>
  <c r="J6" i="86"/>
  <c r="K6" i="86"/>
  <c r="I5" i="86"/>
  <c r="H5" i="86"/>
  <c r="J5" i="86"/>
  <c r="K5" i="86"/>
  <c r="I4" i="86"/>
  <c r="H4" i="86"/>
  <c r="J4" i="86"/>
  <c r="K4" i="86"/>
  <c r="I3" i="86"/>
  <c r="H3" i="86"/>
  <c r="J3" i="86"/>
  <c r="K3" i="86"/>
  <c r="I2" i="86"/>
  <c r="H2" i="86"/>
  <c r="J2" i="86"/>
  <c r="K2" i="86"/>
  <c r="G20" i="85"/>
  <c r="F20" i="85"/>
  <c r="I20" i="85"/>
  <c r="K20" i="85"/>
  <c r="J20" i="85"/>
  <c r="H20" i="85"/>
  <c r="G19" i="85"/>
  <c r="F19" i="85"/>
  <c r="I19" i="85"/>
  <c r="K19" i="85"/>
  <c r="J19" i="85"/>
  <c r="H19" i="85"/>
  <c r="G18" i="85"/>
  <c r="F18" i="85"/>
  <c r="I18" i="85"/>
  <c r="K18" i="85"/>
  <c r="J18" i="85"/>
  <c r="H18" i="85"/>
  <c r="G17" i="85"/>
  <c r="F17" i="85"/>
  <c r="I17" i="85"/>
  <c r="K17" i="85"/>
  <c r="J17" i="85"/>
  <c r="H17" i="85"/>
  <c r="G16" i="85"/>
  <c r="F16" i="85"/>
  <c r="I16" i="85"/>
  <c r="K16" i="85"/>
  <c r="J16" i="85"/>
  <c r="H16" i="85"/>
  <c r="G15" i="85"/>
  <c r="F15" i="85"/>
  <c r="I15" i="85"/>
  <c r="K15" i="85"/>
  <c r="J15" i="85"/>
  <c r="H15" i="85"/>
  <c r="G14" i="85"/>
  <c r="F14" i="85"/>
  <c r="I14" i="85"/>
  <c r="K14" i="85"/>
  <c r="J14" i="85"/>
  <c r="H14" i="85"/>
  <c r="G13" i="85"/>
  <c r="F13" i="85"/>
  <c r="I13" i="85"/>
  <c r="K13" i="85"/>
  <c r="J13" i="85"/>
  <c r="H13" i="85"/>
  <c r="G12" i="85"/>
  <c r="F12" i="85"/>
  <c r="I12" i="85"/>
  <c r="K12" i="85"/>
  <c r="J12" i="85"/>
  <c r="H12" i="85"/>
  <c r="G11" i="85"/>
  <c r="F11" i="85"/>
  <c r="I11" i="85"/>
  <c r="K11" i="85"/>
  <c r="J11" i="85"/>
  <c r="H11" i="85"/>
  <c r="G10" i="85"/>
  <c r="F10" i="85"/>
  <c r="I10" i="85"/>
  <c r="K10" i="85"/>
  <c r="J10" i="85"/>
  <c r="H10" i="85"/>
  <c r="G9" i="85"/>
  <c r="F9" i="85"/>
  <c r="I9" i="85"/>
  <c r="K9" i="85"/>
  <c r="J9" i="85"/>
  <c r="H9" i="85"/>
  <c r="G8" i="85"/>
  <c r="F8" i="85"/>
  <c r="I8" i="85"/>
  <c r="K8" i="85"/>
  <c r="J8" i="85"/>
  <c r="H8" i="85"/>
  <c r="G7" i="85"/>
  <c r="F7" i="85"/>
  <c r="I7" i="85"/>
  <c r="K7" i="85"/>
  <c r="J7" i="85"/>
  <c r="H7" i="85"/>
  <c r="G6" i="85"/>
  <c r="F6" i="85"/>
  <c r="I6" i="85"/>
  <c r="K6" i="85"/>
  <c r="J6" i="85"/>
  <c r="H6" i="85"/>
  <c r="G5" i="85"/>
  <c r="F5" i="85"/>
  <c r="I5" i="85"/>
  <c r="K5" i="85"/>
  <c r="J5" i="85"/>
  <c r="H5" i="85"/>
  <c r="G4" i="85"/>
  <c r="F4" i="85"/>
  <c r="I4" i="85"/>
  <c r="K4" i="85"/>
  <c r="J4" i="85"/>
  <c r="H4" i="85"/>
  <c r="G3" i="85"/>
  <c r="F3" i="85"/>
  <c r="I3" i="85"/>
  <c r="K3" i="85"/>
  <c r="J3" i="85"/>
  <c r="H3" i="85"/>
  <c r="G2" i="85"/>
  <c r="F2" i="85"/>
  <c r="I2" i="85"/>
  <c r="K2" i="85"/>
  <c r="J2" i="85"/>
  <c r="H2" i="85"/>
  <c r="G24" i="84"/>
  <c r="F24" i="84"/>
  <c r="I24" i="84"/>
  <c r="K24" i="84"/>
  <c r="G23" i="84"/>
  <c r="F23" i="84"/>
  <c r="I23" i="84"/>
  <c r="K23" i="84"/>
  <c r="G22" i="84"/>
  <c r="F22" i="84"/>
  <c r="I22" i="84"/>
  <c r="K22" i="84"/>
  <c r="G21" i="84"/>
  <c r="F21" i="84"/>
  <c r="I21" i="84"/>
  <c r="K21" i="84"/>
  <c r="G20" i="84"/>
  <c r="F20" i="84"/>
  <c r="I20" i="84"/>
  <c r="K20" i="84"/>
  <c r="G19" i="84"/>
  <c r="F19" i="84"/>
  <c r="I19" i="84"/>
  <c r="K19" i="84"/>
  <c r="G18" i="84"/>
  <c r="F18" i="84"/>
  <c r="I18" i="84"/>
  <c r="K18" i="84"/>
  <c r="G17" i="84"/>
  <c r="F17" i="84"/>
  <c r="I17" i="84"/>
  <c r="K17" i="84"/>
  <c r="G16" i="84"/>
  <c r="F16" i="84"/>
  <c r="I16" i="84"/>
  <c r="K16" i="84"/>
  <c r="G15" i="84"/>
  <c r="F15" i="84"/>
  <c r="I15" i="84"/>
  <c r="K15" i="84"/>
  <c r="G14" i="84"/>
  <c r="F14" i="84"/>
  <c r="I14" i="84"/>
  <c r="K14" i="84"/>
  <c r="G13" i="84"/>
  <c r="F13" i="84"/>
  <c r="I13" i="84"/>
  <c r="K13" i="84"/>
  <c r="G12" i="84"/>
  <c r="F12" i="84"/>
  <c r="I12" i="84"/>
  <c r="K12" i="84"/>
  <c r="G11" i="84"/>
  <c r="F11" i="84"/>
  <c r="I11" i="84"/>
  <c r="K11" i="84"/>
  <c r="G10" i="84"/>
  <c r="F10" i="84"/>
  <c r="I10" i="84"/>
  <c r="K10" i="84"/>
  <c r="G9" i="84"/>
  <c r="F9" i="84"/>
  <c r="I9" i="84"/>
  <c r="K9" i="84"/>
  <c r="G8" i="84"/>
  <c r="F8" i="84"/>
  <c r="I8" i="84"/>
  <c r="K8" i="84"/>
  <c r="G7" i="84"/>
  <c r="F7" i="84"/>
  <c r="I7" i="84"/>
  <c r="K7" i="84"/>
  <c r="G6" i="84"/>
  <c r="F6" i="84"/>
  <c r="I6" i="84"/>
  <c r="K6" i="84"/>
  <c r="G5" i="84"/>
  <c r="F5" i="84"/>
  <c r="I5" i="84"/>
  <c r="K5" i="84"/>
  <c r="G4" i="84"/>
  <c r="F4" i="84"/>
  <c r="I4" i="84"/>
  <c r="K4" i="84"/>
  <c r="G3" i="84"/>
  <c r="F3" i="84"/>
  <c r="I3" i="84"/>
  <c r="K3" i="84"/>
  <c r="G2" i="84"/>
  <c r="F2" i="84"/>
  <c r="I2" i="84"/>
  <c r="K2" i="84"/>
  <c r="J24" i="84"/>
  <c r="J23" i="84"/>
  <c r="J22" i="84"/>
  <c r="J21" i="84"/>
  <c r="J20" i="84"/>
  <c r="J19" i="84"/>
  <c r="J18" i="84"/>
  <c r="J17" i="84"/>
  <c r="J16" i="84"/>
  <c r="J15" i="84"/>
  <c r="J14" i="84"/>
  <c r="J13" i="84"/>
  <c r="J12" i="84"/>
  <c r="J11" i="84"/>
  <c r="J10" i="84"/>
  <c r="J9" i="84"/>
  <c r="J8" i="84"/>
  <c r="J7" i="84"/>
  <c r="J6" i="84"/>
  <c r="J5" i="84"/>
  <c r="J4" i="84"/>
  <c r="J3" i="84"/>
  <c r="J2" i="84"/>
  <c r="H24" i="84"/>
  <c r="H23" i="84"/>
  <c r="H22" i="84"/>
  <c r="H21" i="84"/>
  <c r="H20" i="84"/>
  <c r="H19" i="84"/>
  <c r="H18" i="84"/>
  <c r="H17" i="84"/>
  <c r="H16" i="84"/>
  <c r="H15" i="84"/>
  <c r="H14" i="84"/>
  <c r="H13" i="84"/>
  <c r="H12" i="84"/>
  <c r="H11" i="84"/>
  <c r="H10" i="84"/>
  <c r="H9" i="84"/>
  <c r="H8" i="84"/>
  <c r="H7" i="84"/>
  <c r="H6" i="84"/>
  <c r="H5" i="84"/>
  <c r="H4" i="84"/>
  <c r="H3" i="84"/>
  <c r="H2" i="84"/>
  <c r="F8" i="83"/>
  <c r="E8" i="83"/>
  <c r="H8" i="83"/>
  <c r="J8" i="83"/>
  <c r="I8" i="83"/>
  <c r="G8" i="83"/>
  <c r="F7" i="83"/>
  <c r="E7" i="83"/>
  <c r="H7" i="83"/>
  <c r="J7" i="83"/>
  <c r="I7" i="83"/>
  <c r="G7" i="83"/>
  <c r="F6" i="83"/>
  <c r="E6" i="83"/>
  <c r="H6" i="83"/>
  <c r="J6" i="83"/>
  <c r="I6" i="83"/>
  <c r="G6" i="83"/>
  <c r="F5" i="83"/>
  <c r="E5" i="83"/>
  <c r="H5" i="83"/>
  <c r="J5" i="83"/>
  <c r="I5" i="83"/>
  <c r="G5" i="83"/>
  <c r="F4" i="83"/>
  <c r="E4" i="83"/>
  <c r="H4" i="83"/>
  <c r="J4" i="83"/>
  <c r="I4" i="83"/>
  <c r="G4" i="83"/>
  <c r="F3" i="83"/>
  <c r="E3" i="83"/>
  <c r="H3" i="83"/>
  <c r="J3" i="83"/>
  <c r="I3" i="83"/>
  <c r="G3" i="83"/>
  <c r="F2" i="83"/>
  <c r="E2" i="83"/>
  <c r="H2" i="83"/>
  <c r="J2" i="83"/>
  <c r="I2" i="83"/>
  <c r="G2" i="83"/>
  <c r="F8" i="82"/>
  <c r="E8" i="82"/>
  <c r="H8" i="82"/>
  <c r="J8" i="82"/>
  <c r="F7" i="82"/>
  <c r="E7" i="82"/>
  <c r="H7" i="82"/>
  <c r="J7" i="82"/>
  <c r="F6" i="82"/>
  <c r="E6" i="82"/>
  <c r="H6" i="82"/>
  <c r="J6" i="82"/>
  <c r="F5" i="82"/>
  <c r="E5" i="82"/>
  <c r="H5" i="82"/>
  <c r="J5" i="82"/>
  <c r="F4" i="82"/>
  <c r="E4" i="82"/>
  <c r="H4" i="82"/>
  <c r="J4" i="82"/>
  <c r="F3" i="82"/>
  <c r="E3" i="82"/>
  <c r="H3" i="82"/>
  <c r="J3" i="82"/>
  <c r="F2" i="82"/>
  <c r="E2" i="82"/>
  <c r="H2" i="82"/>
  <c r="J2" i="82"/>
  <c r="I8" i="82"/>
  <c r="I7" i="82"/>
  <c r="I6" i="82"/>
  <c r="I5" i="82"/>
  <c r="I4" i="82"/>
  <c r="I3" i="82"/>
  <c r="I2" i="82"/>
  <c r="G8" i="82"/>
  <c r="G7" i="82"/>
  <c r="G6" i="82"/>
  <c r="G5" i="82"/>
  <c r="G4" i="82"/>
  <c r="G3" i="82"/>
  <c r="G2" i="82"/>
  <c r="J9" i="81"/>
  <c r="K9" i="81"/>
  <c r="J8" i="81"/>
  <c r="K8" i="81"/>
  <c r="J7" i="81"/>
  <c r="K7" i="81"/>
  <c r="J6" i="81"/>
  <c r="K6" i="81"/>
  <c r="J5" i="81"/>
  <c r="K5" i="81"/>
  <c r="J4" i="81"/>
  <c r="K4" i="81"/>
  <c r="J3" i="81"/>
  <c r="K3" i="81"/>
  <c r="J2" i="81"/>
  <c r="K2" i="81"/>
  <c r="F10" i="78"/>
  <c r="E10" i="78"/>
  <c r="H10" i="78"/>
  <c r="J10" i="78"/>
  <c r="F9" i="78"/>
  <c r="E9" i="78"/>
  <c r="H9" i="78"/>
  <c r="J9" i="78"/>
  <c r="F8" i="78"/>
  <c r="E8" i="78"/>
  <c r="H8" i="78"/>
  <c r="J8" i="78"/>
  <c r="F7" i="78"/>
  <c r="E7" i="78"/>
  <c r="H7" i="78"/>
  <c r="J7" i="78"/>
  <c r="F6" i="78"/>
  <c r="E6" i="78"/>
  <c r="H6" i="78"/>
  <c r="J6" i="78"/>
  <c r="F5" i="78"/>
  <c r="E5" i="78"/>
  <c r="H5" i="78"/>
  <c r="J5" i="78"/>
  <c r="F4" i="78"/>
  <c r="E4" i="78"/>
  <c r="H4" i="78"/>
  <c r="J4" i="78"/>
  <c r="F3" i="78"/>
  <c r="E3" i="78"/>
  <c r="H3" i="78"/>
  <c r="J3" i="78"/>
  <c r="F2" i="78"/>
  <c r="E2" i="78"/>
  <c r="H2" i="78"/>
  <c r="J2" i="78"/>
  <c r="I10" i="78"/>
  <c r="I9" i="78"/>
  <c r="I8" i="78"/>
  <c r="I7" i="78"/>
  <c r="I6" i="78"/>
  <c r="I5" i="78"/>
  <c r="I4" i="78"/>
  <c r="I3" i="78"/>
  <c r="I2" i="78"/>
  <c r="G10" i="78"/>
  <c r="G9" i="78"/>
  <c r="G8" i="78"/>
  <c r="G7" i="78"/>
  <c r="G6" i="78"/>
  <c r="G5" i="78"/>
  <c r="G4" i="78"/>
  <c r="G3" i="78"/>
  <c r="G2" i="78"/>
  <c r="I12" i="76"/>
  <c r="J12" i="76"/>
  <c r="I11" i="76"/>
  <c r="J11" i="76"/>
  <c r="I10" i="76"/>
  <c r="J10" i="76"/>
  <c r="I9" i="76"/>
  <c r="J9" i="76"/>
  <c r="I8" i="76"/>
  <c r="J8" i="76"/>
  <c r="I7" i="76"/>
  <c r="J7" i="76"/>
  <c r="I6" i="76"/>
  <c r="J6" i="76"/>
  <c r="I5" i="76"/>
  <c r="J5" i="76"/>
  <c r="I4" i="76"/>
  <c r="J4" i="76"/>
  <c r="I3" i="76"/>
  <c r="J3" i="76"/>
  <c r="I2" i="76"/>
  <c r="J2" i="76"/>
  <c r="I8" i="75"/>
  <c r="J8" i="75"/>
  <c r="I7" i="75"/>
  <c r="J7" i="75"/>
  <c r="I6" i="75"/>
  <c r="J6" i="75"/>
  <c r="I5" i="75"/>
  <c r="J5" i="75"/>
  <c r="I4" i="75"/>
  <c r="J4" i="75"/>
  <c r="I3" i="75"/>
  <c r="J3" i="75"/>
  <c r="I2" i="75"/>
  <c r="J2" i="75"/>
  <c r="I8" i="74"/>
  <c r="J8" i="74"/>
  <c r="I7" i="74"/>
  <c r="J7" i="74"/>
  <c r="I6" i="74"/>
  <c r="J6" i="74"/>
  <c r="I5" i="74"/>
  <c r="J5" i="74"/>
  <c r="I4" i="74"/>
  <c r="J4" i="74"/>
  <c r="I3" i="74"/>
  <c r="J3" i="74"/>
  <c r="I2" i="74"/>
  <c r="J2" i="74"/>
  <c r="I10" i="73"/>
  <c r="J10" i="73"/>
  <c r="I9" i="73"/>
  <c r="J9" i="73"/>
  <c r="I8" i="73"/>
  <c r="J8" i="73"/>
  <c r="I7" i="73"/>
  <c r="J7" i="73"/>
  <c r="I6" i="73"/>
  <c r="J6" i="73"/>
  <c r="I5" i="73"/>
  <c r="J5" i="73"/>
  <c r="I4" i="73"/>
  <c r="J4" i="73"/>
  <c r="I3" i="73"/>
  <c r="J3" i="73"/>
  <c r="I2" i="73"/>
  <c r="J2" i="73"/>
  <c r="I7" i="72"/>
  <c r="J7" i="72"/>
  <c r="I6" i="72"/>
  <c r="J6" i="72"/>
  <c r="I5" i="72"/>
  <c r="J5" i="72"/>
  <c r="I4" i="72"/>
  <c r="J4" i="72"/>
  <c r="I3" i="72"/>
  <c r="J3" i="72"/>
  <c r="I2" i="72"/>
  <c r="J2" i="72"/>
  <c r="I7" i="71"/>
  <c r="J7" i="71"/>
  <c r="I6" i="71"/>
  <c r="J6" i="71"/>
  <c r="I5" i="71"/>
  <c r="J5" i="71"/>
  <c r="I4" i="71"/>
  <c r="J4" i="71"/>
  <c r="I3" i="71"/>
  <c r="J3" i="71"/>
  <c r="I2" i="71"/>
  <c r="J2" i="71"/>
  <c r="I8" i="70"/>
  <c r="J8" i="70"/>
  <c r="I7" i="70"/>
  <c r="J7" i="70"/>
  <c r="I6" i="70"/>
  <c r="J6" i="70"/>
  <c r="I5" i="70"/>
  <c r="J5" i="70"/>
  <c r="I4" i="70"/>
  <c r="J4" i="70"/>
  <c r="I3" i="70"/>
  <c r="J3" i="70"/>
  <c r="I2" i="70"/>
  <c r="J2" i="70"/>
  <c r="H10" i="69"/>
  <c r="I10" i="69"/>
  <c r="J10" i="69"/>
  <c r="H9" i="69"/>
  <c r="I9" i="69"/>
  <c r="J9" i="69"/>
  <c r="H8" i="69"/>
  <c r="I8" i="69"/>
  <c r="J8" i="69"/>
  <c r="H7" i="69"/>
  <c r="I7" i="69"/>
  <c r="J7" i="69"/>
  <c r="H6" i="69"/>
  <c r="I6" i="69"/>
  <c r="J6" i="69"/>
  <c r="H5" i="69"/>
  <c r="I5" i="69"/>
  <c r="J5" i="69"/>
  <c r="H4" i="69"/>
  <c r="I4" i="69"/>
  <c r="J4" i="69"/>
  <c r="H3" i="69"/>
  <c r="I3" i="69"/>
  <c r="J3" i="69"/>
  <c r="H2" i="69"/>
  <c r="I2" i="69"/>
  <c r="J2" i="69"/>
  <c r="H12" i="68"/>
  <c r="I12" i="68"/>
  <c r="J12" i="68"/>
  <c r="H11" i="68"/>
  <c r="I11" i="68"/>
  <c r="J11" i="68"/>
  <c r="H10" i="68"/>
  <c r="I10" i="68"/>
  <c r="J10" i="68"/>
  <c r="H9" i="68"/>
  <c r="I9" i="68"/>
  <c r="J9" i="68"/>
  <c r="H8" i="68"/>
  <c r="I8" i="68"/>
  <c r="J8" i="68"/>
  <c r="H7" i="68"/>
  <c r="I7" i="68"/>
  <c r="J7" i="68"/>
  <c r="H6" i="68"/>
  <c r="I6" i="68"/>
  <c r="J6" i="68"/>
  <c r="H5" i="68"/>
  <c r="I5" i="68"/>
  <c r="J5" i="68"/>
  <c r="H4" i="68"/>
  <c r="I4" i="68"/>
  <c r="J4" i="68"/>
  <c r="H3" i="68"/>
  <c r="I3" i="68"/>
  <c r="J3" i="68"/>
  <c r="H2" i="68"/>
  <c r="I2" i="68"/>
  <c r="J2" i="68"/>
  <c r="H8" i="67"/>
  <c r="I8" i="67"/>
  <c r="J8" i="67"/>
  <c r="H7" i="67"/>
  <c r="I7" i="67"/>
  <c r="J7" i="67"/>
  <c r="H6" i="67"/>
  <c r="I6" i="67"/>
  <c r="J6" i="67"/>
  <c r="H5" i="67"/>
  <c r="I5" i="67"/>
  <c r="J5" i="67"/>
  <c r="H4" i="67"/>
  <c r="I4" i="67"/>
  <c r="J4" i="67"/>
  <c r="H3" i="67"/>
  <c r="I3" i="67"/>
  <c r="J3" i="67"/>
  <c r="H2" i="67"/>
  <c r="I2" i="67"/>
  <c r="J2" i="67"/>
  <c r="I7" i="64"/>
  <c r="H7" i="64"/>
  <c r="J7" i="64"/>
  <c r="K7" i="64"/>
  <c r="M7" i="64"/>
  <c r="L7" i="64"/>
  <c r="I6" i="64"/>
  <c r="H6" i="64"/>
  <c r="J6" i="64"/>
  <c r="K6" i="64"/>
  <c r="M6" i="64"/>
  <c r="L6" i="64"/>
  <c r="I5" i="64"/>
  <c r="H5" i="64"/>
  <c r="J5" i="64"/>
  <c r="K5" i="64"/>
  <c r="M5" i="64"/>
  <c r="L5" i="64"/>
  <c r="I4" i="64"/>
  <c r="H4" i="64"/>
  <c r="J4" i="64"/>
  <c r="K4" i="64"/>
  <c r="M4" i="64"/>
  <c r="L4" i="64"/>
  <c r="I3" i="64"/>
  <c r="H3" i="64"/>
  <c r="J3" i="64"/>
  <c r="K3" i="64"/>
  <c r="M3" i="64"/>
  <c r="L3" i="64"/>
  <c r="I2" i="64"/>
  <c r="H2" i="64"/>
  <c r="J2" i="64"/>
  <c r="K2" i="64"/>
  <c r="M2" i="64"/>
  <c r="L2" i="64"/>
  <c r="I12" i="60"/>
  <c r="H12" i="60"/>
  <c r="J12" i="60"/>
  <c r="K12" i="60"/>
  <c r="M12" i="60"/>
  <c r="L12" i="60"/>
  <c r="I11" i="60"/>
  <c r="H11" i="60"/>
  <c r="J11" i="60"/>
  <c r="K11" i="60"/>
  <c r="M11" i="60"/>
  <c r="L11" i="60"/>
  <c r="I10" i="60"/>
  <c r="H10" i="60"/>
  <c r="J10" i="60"/>
  <c r="K10" i="60"/>
  <c r="M10" i="60"/>
  <c r="L10" i="60"/>
  <c r="I9" i="60"/>
  <c r="H9" i="60"/>
  <c r="J9" i="60"/>
  <c r="K9" i="60"/>
  <c r="M9" i="60"/>
  <c r="L9" i="60"/>
  <c r="I8" i="60"/>
  <c r="H8" i="60"/>
  <c r="J8" i="60"/>
  <c r="K8" i="60"/>
  <c r="M8" i="60"/>
  <c r="L8" i="60"/>
  <c r="I7" i="60"/>
  <c r="H7" i="60"/>
  <c r="J7" i="60"/>
  <c r="K7" i="60"/>
  <c r="M7" i="60"/>
  <c r="L7" i="60"/>
  <c r="I6" i="60"/>
  <c r="H6" i="60"/>
  <c r="J6" i="60"/>
  <c r="K6" i="60"/>
  <c r="M6" i="60"/>
  <c r="L6" i="60"/>
  <c r="I5" i="60"/>
  <c r="H5" i="60"/>
  <c r="J5" i="60"/>
  <c r="K5" i="60"/>
  <c r="M5" i="60"/>
  <c r="L5" i="60"/>
  <c r="I4" i="60"/>
  <c r="H4" i="60"/>
  <c r="J4" i="60"/>
  <c r="K4" i="60"/>
  <c r="M4" i="60"/>
  <c r="L4" i="60"/>
  <c r="I3" i="60"/>
  <c r="H3" i="60"/>
  <c r="J3" i="60"/>
  <c r="K3" i="60"/>
  <c r="M3" i="60"/>
  <c r="L3" i="60"/>
  <c r="I2" i="60"/>
  <c r="H2" i="60"/>
  <c r="J2" i="60"/>
  <c r="K2" i="60"/>
  <c r="M2" i="60"/>
  <c r="L2" i="60"/>
  <c r="I17" i="59"/>
  <c r="H17" i="59"/>
  <c r="J17" i="59"/>
  <c r="K17" i="59"/>
  <c r="M17" i="59"/>
  <c r="L17" i="59"/>
  <c r="I16" i="59"/>
  <c r="H16" i="59"/>
  <c r="J16" i="59"/>
  <c r="K16" i="59"/>
  <c r="M16" i="59"/>
  <c r="L16" i="59"/>
  <c r="I15" i="59"/>
  <c r="H15" i="59"/>
  <c r="J15" i="59"/>
  <c r="K15" i="59"/>
  <c r="M15" i="59"/>
  <c r="L15" i="59"/>
  <c r="I14" i="59"/>
  <c r="H14" i="59"/>
  <c r="J14" i="59"/>
  <c r="K14" i="59"/>
  <c r="M14" i="59"/>
  <c r="L14" i="59"/>
  <c r="I13" i="59"/>
  <c r="H13" i="59"/>
  <c r="J13" i="59"/>
  <c r="K13" i="59"/>
  <c r="M13" i="59"/>
  <c r="L13" i="59"/>
  <c r="I12" i="59"/>
  <c r="H12" i="59"/>
  <c r="J12" i="59"/>
  <c r="K12" i="59"/>
  <c r="M12" i="59"/>
  <c r="L12" i="59"/>
  <c r="I11" i="59"/>
  <c r="H11" i="59"/>
  <c r="J11" i="59"/>
  <c r="K11" i="59"/>
  <c r="M11" i="59"/>
  <c r="L11" i="59"/>
  <c r="I10" i="59"/>
  <c r="H10" i="59"/>
  <c r="J10" i="59"/>
  <c r="K10" i="59"/>
  <c r="M10" i="59"/>
  <c r="L10" i="59"/>
  <c r="I9" i="59"/>
  <c r="H9" i="59"/>
  <c r="J9" i="59"/>
  <c r="K9" i="59"/>
  <c r="M9" i="59"/>
  <c r="L9" i="59"/>
  <c r="I8" i="59"/>
  <c r="H8" i="59"/>
  <c r="J8" i="59"/>
  <c r="K8" i="59"/>
  <c r="M8" i="59"/>
  <c r="L8" i="59"/>
  <c r="I7" i="59"/>
  <c r="H7" i="59"/>
  <c r="J7" i="59"/>
  <c r="K7" i="59"/>
  <c r="M7" i="59"/>
  <c r="L7" i="59"/>
  <c r="I6" i="59"/>
  <c r="H6" i="59"/>
  <c r="J6" i="59"/>
  <c r="K6" i="59"/>
  <c r="M6" i="59"/>
  <c r="L6" i="59"/>
  <c r="I5" i="59"/>
  <c r="H5" i="59"/>
  <c r="J5" i="59"/>
  <c r="K5" i="59"/>
  <c r="M5" i="59"/>
  <c r="L5" i="59"/>
  <c r="I4" i="59"/>
  <c r="H4" i="59"/>
  <c r="J4" i="59"/>
  <c r="K4" i="59"/>
  <c r="M4" i="59"/>
  <c r="L4" i="59"/>
  <c r="I3" i="59"/>
  <c r="H3" i="59"/>
  <c r="J3" i="59"/>
  <c r="K3" i="59"/>
  <c r="M3" i="59"/>
  <c r="L3" i="59"/>
  <c r="I2" i="59"/>
  <c r="H2" i="59"/>
  <c r="J2" i="59"/>
  <c r="K2" i="59"/>
  <c r="M2" i="59"/>
  <c r="L2" i="59"/>
  <c r="I7" i="58"/>
  <c r="H7" i="58"/>
  <c r="J7" i="58"/>
  <c r="K7" i="58"/>
  <c r="M7" i="58"/>
  <c r="L7" i="58"/>
  <c r="I6" i="58"/>
  <c r="H6" i="58"/>
  <c r="J6" i="58"/>
  <c r="K6" i="58"/>
  <c r="M6" i="58"/>
  <c r="L6" i="58"/>
  <c r="I5" i="58"/>
  <c r="H5" i="58"/>
  <c r="J5" i="58"/>
  <c r="K5" i="58"/>
  <c r="M5" i="58"/>
  <c r="L5" i="58"/>
  <c r="I4" i="58"/>
  <c r="H4" i="58"/>
  <c r="J4" i="58"/>
  <c r="K4" i="58"/>
  <c r="M4" i="58"/>
  <c r="L4" i="58"/>
  <c r="I3" i="58"/>
  <c r="H3" i="58"/>
  <c r="J3" i="58"/>
  <c r="K3" i="58"/>
  <c r="M3" i="58"/>
  <c r="L3" i="58"/>
  <c r="I2" i="58"/>
  <c r="H2" i="58"/>
  <c r="J2" i="58"/>
  <c r="K2" i="58"/>
  <c r="M2" i="58"/>
  <c r="L2" i="58"/>
  <c r="I8" i="57"/>
  <c r="H8" i="57"/>
  <c r="J8" i="57"/>
  <c r="K8" i="57"/>
  <c r="M8" i="57"/>
  <c r="L8" i="57"/>
  <c r="I7" i="57"/>
  <c r="H7" i="57"/>
  <c r="J7" i="57"/>
  <c r="K7" i="57"/>
  <c r="M7" i="57"/>
  <c r="L7" i="57"/>
  <c r="I6" i="57"/>
  <c r="H6" i="57"/>
  <c r="J6" i="57"/>
  <c r="K6" i="57"/>
  <c r="M6" i="57"/>
  <c r="L6" i="57"/>
  <c r="I5" i="57"/>
  <c r="H5" i="57"/>
  <c r="J5" i="57"/>
  <c r="K5" i="57"/>
  <c r="M5" i="57"/>
  <c r="L5" i="57"/>
  <c r="I4" i="57"/>
  <c r="H4" i="57"/>
  <c r="J4" i="57"/>
  <c r="K4" i="57"/>
  <c r="M4" i="57"/>
  <c r="L4" i="57"/>
  <c r="I3" i="57"/>
  <c r="H3" i="57"/>
  <c r="J3" i="57"/>
  <c r="K3" i="57"/>
  <c r="M3" i="57"/>
  <c r="L3" i="57"/>
  <c r="I2" i="57"/>
  <c r="H2" i="57"/>
  <c r="J2" i="57"/>
  <c r="K2" i="57"/>
  <c r="M2" i="57"/>
  <c r="L2" i="57"/>
  <c r="I16" i="56"/>
  <c r="H16" i="56"/>
  <c r="J16" i="56"/>
  <c r="K16" i="56"/>
  <c r="M16" i="56"/>
  <c r="L16" i="56"/>
  <c r="I15" i="56"/>
  <c r="H15" i="56"/>
  <c r="J15" i="56"/>
  <c r="K15" i="56"/>
  <c r="M15" i="56"/>
  <c r="L15" i="56"/>
  <c r="I14" i="56"/>
  <c r="H14" i="56"/>
  <c r="J14" i="56"/>
  <c r="K14" i="56"/>
  <c r="M14" i="56"/>
  <c r="L14" i="56"/>
  <c r="I13" i="56"/>
  <c r="H13" i="56"/>
  <c r="J13" i="56"/>
  <c r="K13" i="56"/>
  <c r="M13" i="56"/>
  <c r="L13" i="56"/>
  <c r="I12" i="56"/>
  <c r="H12" i="56"/>
  <c r="J12" i="56"/>
  <c r="K12" i="56"/>
  <c r="M12" i="56"/>
  <c r="L12" i="56"/>
  <c r="I11" i="56"/>
  <c r="H11" i="56"/>
  <c r="J11" i="56"/>
  <c r="K11" i="56"/>
  <c r="M11" i="56"/>
  <c r="L11" i="56"/>
  <c r="I10" i="56"/>
  <c r="H10" i="56"/>
  <c r="J10" i="56"/>
  <c r="K10" i="56"/>
  <c r="M10" i="56"/>
  <c r="L10" i="56"/>
  <c r="I9" i="56"/>
  <c r="H9" i="56"/>
  <c r="J9" i="56"/>
  <c r="K9" i="56"/>
  <c r="M9" i="56"/>
  <c r="L9" i="56"/>
  <c r="I8" i="56"/>
  <c r="H8" i="56"/>
  <c r="J8" i="56"/>
  <c r="K8" i="56"/>
  <c r="M8" i="56"/>
  <c r="L8" i="56"/>
  <c r="I7" i="56"/>
  <c r="H7" i="56"/>
  <c r="J7" i="56"/>
  <c r="K7" i="56"/>
  <c r="M7" i="56"/>
  <c r="L7" i="56"/>
  <c r="I6" i="56"/>
  <c r="H6" i="56"/>
  <c r="J6" i="56"/>
  <c r="K6" i="56"/>
  <c r="M6" i="56"/>
  <c r="L6" i="56"/>
  <c r="I5" i="56"/>
  <c r="H5" i="56"/>
  <c r="J5" i="56"/>
  <c r="K5" i="56"/>
  <c r="M5" i="56"/>
  <c r="L5" i="56"/>
  <c r="I4" i="56"/>
  <c r="H4" i="56"/>
  <c r="J4" i="56"/>
  <c r="K4" i="56"/>
  <c r="M4" i="56"/>
  <c r="L4" i="56"/>
  <c r="I3" i="56"/>
  <c r="H3" i="56"/>
  <c r="J3" i="56"/>
  <c r="K3" i="56"/>
  <c r="M3" i="56"/>
  <c r="L3" i="56"/>
  <c r="I2" i="56"/>
  <c r="H2" i="56"/>
  <c r="J2" i="56"/>
  <c r="K2" i="56"/>
  <c r="M2" i="56"/>
  <c r="L2" i="56"/>
  <c r="I7" i="55"/>
  <c r="H7" i="55"/>
  <c r="J7" i="55"/>
  <c r="K7" i="55"/>
  <c r="M7" i="55"/>
  <c r="L7" i="55"/>
  <c r="I6" i="55"/>
  <c r="H6" i="55"/>
  <c r="J6" i="55"/>
  <c r="K6" i="55"/>
  <c r="M6" i="55"/>
  <c r="L6" i="55"/>
  <c r="I5" i="55"/>
  <c r="H5" i="55"/>
  <c r="J5" i="55"/>
  <c r="K5" i="55"/>
  <c r="M5" i="55"/>
  <c r="L5" i="55"/>
  <c r="I4" i="55"/>
  <c r="H4" i="55"/>
  <c r="J4" i="55"/>
  <c r="K4" i="55"/>
  <c r="M4" i="55"/>
  <c r="L4" i="55"/>
  <c r="I3" i="55"/>
  <c r="H3" i="55"/>
  <c r="J3" i="55"/>
  <c r="K3" i="55"/>
  <c r="M3" i="55"/>
  <c r="L3" i="55"/>
  <c r="I2" i="55"/>
  <c r="H2" i="55"/>
  <c r="J2" i="55"/>
  <c r="K2" i="55"/>
  <c r="M2" i="55"/>
  <c r="L2" i="55"/>
  <c r="I13" i="54"/>
  <c r="H13" i="54"/>
  <c r="J13" i="54"/>
  <c r="K13" i="54"/>
  <c r="M13" i="54"/>
  <c r="L13" i="54"/>
  <c r="I12" i="54"/>
  <c r="H12" i="54"/>
  <c r="J12" i="54"/>
  <c r="K12" i="54"/>
  <c r="M12" i="54"/>
  <c r="L12" i="54"/>
  <c r="I11" i="54"/>
  <c r="H11" i="54"/>
  <c r="J11" i="54"/>
  <c r="K11" i="54"/>
  <c r="M11" i="54"/>
  <c r="L11" i="54"/>
  <c r="I10" i="54"/>
  <c r="H10" i="54"/>
  <c r="J10" i="54"/>
  <c r="K10" i="54"/>
  <c r="M10" i="54"/>
  <c r="L10" i="54"/>
  <c r="I9" i="54"/>
  <c r="H9" i="54"/>
  <c r="J9" i="54"/>
  <c r="K9" i="54"/>
  <c r="M9" i="54"/>
  <c r="L9" i="54"/>
  <c r="I8" i="54"/>
  <c r="H8" i="54"/>
  <c r="J8" i="54"/>
  <c r="K8" i="54"/>
  <c r="M8" i="54"/>
  <c r="L8" i="54"/>
  <c r="I7" i="54"/>
  <c r="H7" i="54"/>
  <c r="J7" i="54"/>
  <c r="K7" i="54"/>
  <c r="M7" i="54"/>
  <c r="L7" i="54"/>
  <c r="I6" i="54"/>
  <c r="H6" i="54"/>
  <c r="J6" i="54"/>
  <c r="K6" i="54"/>
  <c r="M6" i="54"/>
  <c r="L6" i="54"/>
  <c r="I5" i="54"/>
  <c r="H5" i="54"/>
  <c r="J5" i="54"/>
  <c r="K5" i="54"/>
  <c r="M5" i="54"/>
  <c r="L5" i="54"/>
  <c r="I4" i="54"/>
  <c r="H4" i="54"/>
  <c r="J4" i="54"/>
  <c r="K4" i="54"/>
  <c r="M4" i="54"/>
  <c r="L4" i="54"/>
  <c r="I3" i="54"/>
  <c r="H3" i="54"/>
  <c r="J3" i="54"/>
  <c r="K3" i="54"/>
  <c r="M3" i="54"/>
  <c r="L3" i="54"/>
  <c r="I2" i="54"/>
  <c r="H2" i="54"/>
  <c r="J2" i="54"/>
  <c r="K2" i="54"/>
  <c r="M2" i="54"/>
  <c r="L2" i="54"/>
  <c r="G7" i="53"/>
  <c r="H7" i="53"/>
  <c r="F7" i="53"/>
  <c r="G6" i="53"/>
  <c r="H6" i="53"/>
  <c r="F6" i="53"/>
  <c r="G5" i="53"/>
  <c r="H5" i="53"/>
  <c r="F5" i="53"/>
  <c r="G4" i="53"/>
  <c r="H4" i="53"/>
  <c r="F4" i="53"/>
  <c r="G3" i="53"/>
  <c r="H3" i="53"/>
  <c r="F3" i="53"/>
  <c r="G2" i="53"/>
  <c r="H2" i="53"/>
  <c r="F2" i="53"/>
  <c r="G7" i="52"/>
  <c r="H7" i="52"/>
  <c r="F7" i="52"/>
  <c r="G6" i="52"/>
  <c r="H6" i="52"/>
  <c r="F6" i="52"/>
  <c r="G5" i="52"/>
  <c r="H5" i="52"/>
  <c r="F5" i="52"/>
  <c r="G4" i="52"/>
  <c r="H4" i="52"/>
  <c r="F4" i="52"/>
  <c r="G3" i="52"/>
  <c r="H3" i="52"/>
  <c r="F3" i="52"/>
  <c r="G2" i="52"/>
  <c r="H2" i="52"/>
  <c r="F2" i="52"/>
  <c r="G8" i="51"/>
  <c r="H8" i="51"/>
  <c r="F8" i="51"/>
  <c r="G7" i="51"/>
  <c r="H7" i="51"/>
  <c r="F7" i="51"/>
  <c r="G6" i="51"/>
  <c r="H6" i="51"/>
  <c r="F6" i="51"/>
  <c r="G5" i="51"/>
  <c r="H5" i="51"/>
  <c r="F5" i="51"/>
  <c r="G4" i="51"/>
  <c r="H4" i="51"/>
  <c r="F4" i="51"/>
  <c r="G3" i="51"/>
  <c r="H3" i="51"/>
  <c r="F3" i="51"/>
  <c r="G2" i="51"/>
  <c r="H2" i="51"/>
  <c r="F2" i="51"/>
  <c r="G8" i="50"/>
  <c r="H8" i="50"/>
  <c r="F8" i="50"/>
  <c r="G7" i="50"/>
  <c r="H7" i="50"/>
  <c r="F7" i="50"/>
  <c r="G6" i="50"/>
  <c r="H6" i="50"/>
  <c r="F6" i="50"/>
  <c r="G5" i="50"/>
  <c r="H5" i="50"/>
  <c r="F5" i="50"/>
  <c r="G4" i="50"/>
  <c r="H4" i="50"/>
  <c r="F4" i="50"/>
  <c r="G3" i="50"/>
  <c r="H3" i="50"/>
  <c r="F3" i="50"/>
  <c r="G2" i="50"/>
  <c r="H2" i="50"/>
  <c r="F2" i="50"/>
  <c r="G9" i="49"/>
  <c r="H9" i="49"/>
  <c r="F9" i="49"/>
  <c r="G8" i="49"/>
  <c r="H8" i="49"/>
  <c r="F8" i="49"/>
  <c r="G7" i="49"/>
  <c r="H7" i="49"/>
  <c r="F7" i="49"/>
  <c r="G6" i="49"/>
  <c r="H6" i="49"/>
  <c r="F6" i="49"/>
  <c r="G5" i="49"/>
  <c r="H5" i="49"/>
  <c r="F5" i="49"/>
  <c r="G4" i="49"/>
  <c r="H4" i="49"/>
  <c r="F4" i="49"/>
  <c r="G3" i="49"/>
  <c r="H3" i="49"/>
  <c r="F3" i="49"/>
  <c r="G2" i="49"/>
  <c r="H2" i="49"/>
  <c r="F2" i="49"/>
  <c r="G9" i="48"/>
  <c r="H9" i="48"/>
  <c r="F9" i="48"/>
  <c r="G8" i="48"/>
  <c r="H8" i="48"/>
  <c r="F8" i="48"/>
  <c r="G7" i="48"/>
  <c r="H7" i="48"/>
  <c r="F7" i="48"/>
  <c r="G6" i="48"/>
  <c r="H6" i="48"/>
  <c r="F6" i="48"/>
  <c r="G5" i="48"/>
  <c r="H5" i="48"/>
  <c r="F5" i="48"/>
  <c r="G4" i="48"/>
  <c r="H4" i="48"/>
  <c r="F4" i="48"/>
  <c r="G3" i="48"/>
  <c r="H3" i="48"/>
  <c r="F3" i="48"/>
  <c r="G2" i="48"/>
  <c r="H2" i="48"/>
  <c r="F2" i="48"/>
  <c r="G10" i="47"/>
  <c r="H10" i="47"/>
  <c r="F10" i="47"/>
  <c r="G9" i="47"/>
  <c r="H9" i="47"/>
  <c r="F9" i="47"/>
  <c r="G8" i="47"/>
  <c r="H8" i="47"/>
  <c r="F8" i="47"/>
  <c r="G7" i="47"/>
  <c r="H7" i="47"/>
  <c r="F7" i="47"/>
  <c r="G6" i="47"/>
  <c r="H6" i="47"/>
  <c r="F6" i="47"/>
  <c r="G5" i="47"/>
  <c r="H5" i="47"/>
  <c r="F5" i="47"/>
  <c r="G4" i="47"/>
  <c r="H4" i="47"/>
  <c r="F4" i="47"/>
  <c r="G3" i="47"/>
  <c r="H3" i="47"/>
  <c r="F3" i="47"/>
  <c r="G2" i="47"/>
  <c r="H2" i="47"/>
  <c r="F2" i="47"/>
  <c r="G10" i="46"/>
  <c r="G9" i="46"/>
  <c r="G8" i="46"/>
  <c r="G7" i="46"/>
  <c r="G6" i="46"/>
  <c r="G5" i="46"/>
  <c r="G4" i="46"/>
  <c r="G3" i="46"/>
  <c r="G2" i="46"/>
  <c r="H10" i="46"/>
  <c r="H9" i="46"/>
  <c r="H8" i="46"/>
  <c r="H7" i="46"/>
  <c r="H6" i="46"/>
  <c r="H5" i="46"/>
  <c r="H4" i="46"/>
  <c r="H3" i="46"/>
  <c r="H2" i="46"/>
  <c r="F10" i="46"/>
  <c r="F9" i="46"/>
  <c r="F8" i="46"/>
  <c r="F7" i="46"/>
  <c r="F6" i="46"/>
  <c r="F5" i="46"/>
  <c r="F4" i="46"/>
  <c r="F3" i="46"/>
  <c r="F2" i="46"/>
  <c r="I8" i="44"/>
  <c r="H8" i="44"/>
  <c r="J8" i="44"/>
  <c r="K8" i="44"/>
  <c r="M8" i="44"/>
  <c r="L8" i="44"/>
  <c r="I7" i="44"/>
  <c r="H7" i="44"/>
  <c r="J7" i="44"/>
  <c r="K7" i="44"/>
  <c r="M7" i="44"/>
  <c r="L7" i="44"/>
  <c r="I6" i="44"/>
  <c r="H6" i="44"/>
  <c r="J6" i="44"/>
  <c r="K6" i="44"/>
  <c r="M6" i="44"/>
  <c r="L6" i="44"/>
  <c r="I5" i="44"/>
  <c r="H5" i="44"/>
  <c r="J5" i="44"/>
  <c r="K5" i="44"/>
  <c r="M5" i="44"/>
  <c r="L5" i="44"/>
  <c r="I4" i="44"/>
  <c r="H4" i="44"/>
  <c r="J4" i="44"/>
  <c r="K4" i="44"/>
  <c r="M4" i="44"/>
  <c r="L4" i="44"/>
  <c r="I3" i="44"/>
  <c r="H3" i="44"/>
  <c r="J3" i="44"/>
  <c r="K3" i="44"/>
  <c r="M3" i="44"/>
  <c r="L3" i="44"/>
  <c r="I2" i="44"/>
  <c r="H2" i="44"/>
  <c r="J2" i="44"/>
  <c r="K2" i="44"/>
  <c r="M2" i="44"/>
  <c r="L2" i="44"/>
  <c r="I8" i="43"/>
  <c r="H8" i="43"/>
  <c r="J8" i="43"/>
  <c r="K8" i="43"/>
  <c r="M8" i="43"/>
  <c r="L8" i="43"/>
  <c r="I7" i="43"/>
  <c r="H7" i="43"/>
  <c r="J7" i="43"/>
  <c r="K7" i="43"/>
  <c r="M7" i="43"/>
  <c r="L7" i="43"/>
  <c r="I6" i="43"/>
  <c r="H6" i="43"/>
  <c r="J6" i="43"/>
  <c r="K6" i="43"/>
  <c r="M6" i="43"/>
  <c r="L6" i="43"/>
  <c r="I5" i="43"/>
  <c r="H5" i="43"/>
  <c r="J5" i="43"/>
  <c r="K5" i="43"/>
  <c r="M5" i="43"/>
  <c r="L5" i="43"/>
  <c r="I4" i="43"/>
  <c r="H4" i="43"/>
  <c r="J4" i="43"/>
  <c r="K4" i="43"/>
  <c r="M4" i="43"/>
  <c r="L4" i="43"/>
  <c r="I3" i="43"/>
  <c r="H3" i="43"/>
  <c r="J3" i="43"/>
  <c r="K3" i="43"/>
  <c r="M3" i="43"/>
  <c r="L3" i="43"/>
  <c r="I2" i="43"/>
  <c r="H2" i="43"/>
  <c r="J2" i="43"/>
  <c r="K2" i="43"/>
  <c r="M2" i="43"/>
  <c r="L2" i="43"/>
  <c r="H9" i="42"/>
  <c r="I9" i="42"/>
  <c r="J9" i="42"/>
  <c r="H8" i="42"/>
  <c r="I8" i="42"/>
  <c r="J8" i="42"/>
  <c r="H7" i="42"/>
  <c r="I7" i="42"/>
  <c r="J7" i="42"/>
  <c r="H6" i="42"/>
  <c r="I6" i="42"/>
  <c r="J6" i="42"/>
  <c r="H5" i="42"/>
  <c r="I5" i="42"/>
  <c r="J5" i="42"/>
  <c r="H4" i="42"/>
  <c r="I4" i="42"/>
  <c r="J4" i="42"/>
  <c r="H3" i="42"/>
  <c r="I3" i="42"/>
  <c r="J3" i="42"/>
  <c r="H2" i="42"/>
  <c r="I2" i="42"/>
  <c r="J2" i="42"/>
  <c r="H7" i="41"/>
  <c r="I7" i="41"/>
  <c r="J7" i="41"/>
  <c r="H6" i="41"/>
  <c r="I6" i="41"/>
  <c r="J6" i="41"/>
  <c r="H5" i="41"/>
  <c r="I5" i="41"/>
  <c r="J5" i="41"/>
  <c r="H4" i="41"/>
  <c r="I4" i="41"/>
  <c r="J4" i="41"/>
  <c r="H3" i="41"/>
  <c r="I3" i="41"/>
  <c r="J3" i="41"/>
  <c r="H2" i="41"/>
  <c r="I2" i="41"/>
  <c r="J2" i="41"/>
  <c r="H8" i="31"/>
  <c r="I8" i="31"/>
  <c r="J8" i="31"/>
  <c r="K8" i="31"/>
  <c r="M8" i="31"/>
  <c r="L8" i="31"/>
  <c r="H7" i="31"/>
  <c r="I7" i="31"/>
  <c r="J7" i="31"/>
  <c r="K7" i="31"/>
  <c r="M7" i="31"/>
  <c r="L7" i="31"/>
  <c r="H6" i="31"/>
  <c r="I6" i="31"/>
  <c r="J6" i="31"/>
  <c r="K6" i="31"/>
  <c r="M6" i="31"/>
  <c r="L6" i="31"/>
  <c r="H5" i="31"/>
  <c r="I5" i="31"/>
  <c r="J5" i="31"/>
  <c r="K5" i="31"/>
  <c r="M5" i="31"/>
  <c r="L5" i="31"/>
  <c r="H4" i="31"/>
  <c r="I4" i="31"/>
  <c r="J4" i="31"/>
  <c r="K4" i="31"/>
  <c r="M4" i="31"/>
  <c r="L4" i="31"/>
  <c r="H3" i="31"/>
  <c r="I3" i="31"/>
  <c r="J3" i="31"/>
  <c r="K3" i="31"/>
  <c r="M3" i="31"/>
  <c r="L3" i="31"/>
  <c r="H2" i="31"/>
  <c r="I2" i="31"/>
  <c r="J2" i="31"/>
  <c r="K2" i="31"/>
  <c r="M2" i="31"/>
  <c r="L2" i="31"/>
  <c r="H8" i="30"/>
  <c r="I8" i="30"/>
  <c r="J8" i="30"/>
  <c r="K8" i="30"/>
  <c r="M8" i="30"/>
  <c r="H7" i="30"/>
  <c r="I7" i="30"/>
  <c r="J7" i="30"/>
  <c r="K7" i="30"/>
  <c r="M7" i="30"/>
  <c r="H6" i="30"/>
  <c r="I6" i="30"/>
  <c r="J6" i="30"/>
  <c r="K6" i="30"/>
  <c r="M6" i="30"/>
  <c r="H5" i="30"/>
  <c r="I5" i="30"/>
  <c r="J5" i="30"/>
  <c r="K5" i="30"/>
  <c r="M5" i="30"/>
  <c r="H4" i="30"/>
  <c r="I4" i="30"/>
  <c r="J4" i="30"/>
  <c r="K4" i="30"/>
  <c r="M4" i="30"/>
  <c r="H3" i="30"/>
  <c r="I3" i="30"/>
  <c r="J3" i="30"/>
  <c r="K3" i="30"/>
  <c r="M3" i="30"/>
  <c r="H2" i="30"/>
  <c r="I2" i="30"/>
  <c r="J2" i="30"/>
  <c r="K2" i="30"/>
  <c r="M2" i="30"/>
  <c r="L8" i="30"/>
  <c r="L7" i="30"/>
  <c r="L6" i="30"/>
  <c r="L5" i="30"/>
  <c r="L4" i="30"/>
  <c r="L3" i="30"/>
  <c r="L2" i="30"/>
  <c r="H8" i="28"/>
  <c r="I8" i="28"/>
  <c r="J8" i="28"/>
  <c r="H7" i="28"/>
  <c r="I7" i="28"/>
  <c r="J7" i="28"/>
  <c r="H6" i="28"/>
  <c r="I6" i="28"/>
  <c r="J6" i="28"/>
  <c r="H5" i="28"/>
  <c r="I5" i="28"/>
  <c r="J5" i="28"/>
  <c r="H4" i="28"/>
  <c r="I4" i="28"/>
  <c r="J4" i="28"/>
  <c r="H3" i="28"/>
  <c r="I3" i="28"/>
  <c r="J3" i="28"/>
  <c r="H2" i="28"/>
  <c r="I2" i="28"/>
  <c r="J2" i="28"/>
  <c r="H7" i="26"/>
  <c r="I7" i="26"/>
  <c r="J7" i="26"/>
  <c r="H6" i="26"/>
  <c r="I6" i="26"/>
  <c r="J6" i="26"/>
  <c r="H5" i="26"/>
  <c r="I5" i="26"/>
  <c r="J5" i="26"/>
  <c r="H4" i="26"/>
  <c r="I4" i="26"/>
  <c r="J4" i="26"/>
  <c r="H3" i="26"/>
  <c r="I3" i="26"/>
  <c r="J3" i="26"/>
  <c r="H2" i="26"/>
  <c r="I2" i="26"/>
  <c r="J2" i="26"/>
  <c r="H8" i="25"/>
  <c r="I8" i="25"/>
  <c r="J8" i="25"/>
  <c r="H7" i="25"/>
  <c r="I7" i="25"/>
  <c r="J7" i="25"/>
  <c r="H6" i="25"/>
  <c r="I6" i="25"/>
  <c r="J6" i="25"/>
  <c r="H5" i="25"/>
  <c r="I5" i="25"/>
  <c r="J5" i="25"/>
  <c r="H4" i="25"/>
  <c r="I4" i="25"/>
  <c r="J4" i="25"/>
  <c r="H3" i="25"/>
  <c r="I3" i="25"/>
  <c r="J3" i="25"/>
  <c r="H2" i="25"/>
  <c r="I2" i="25"/>
  <c r="J2" i="25"/>
  <c r="H10" i="22"/>
  <c r="I10" i="22"/>
  <c r="J10" i="22"/>
  <c r="H9" i="22"/>
  <c r="I9" i="22"/>
  <c r="J9" i="22"/>
  <c r="H8" i="22"/>
  <c r="I8" i="22"/>
  <c r="J8" i="22"/>
  <c r="H7" i="22"/>
  <c r="I7" i="22"/>
  <c r="J7" i="22"/>
  <c r="H6" i="22"/>
  <c r="I6" i="22"/>
  <c r="J6" i="22"/>
  <c r="H5" i="22"/>
  <c r="I5" i="22"/>
  <c r="J5" i="22"/>
  <c r="H4" i="22"/>
  <c r="I4" i="22"/>
  <c r="J4" i="22"/>
  <c r="H3" i="22"/>
  <c r="I3" i="22"/>
  <c r="J3" i="22"/>
  <c r="H2" i="22"/>
  <c r="I2" i="22"/>
  <c r="J2" i="22"/>
  <c r="H7" i="19"/>
  <c r="I7" i="19"/>
  <c r="J7" i="19"/>
  <c r="H6" i="19"/>
  <c r="I6" i="19"/>
  <c r="J6" i="19"/>
  <c r="H5" i="19"/>
  <c r="I5" i="19"/>
  <c r="J5" i="19"/>
  <c r="H4" i="19"/>
  <c r="I4" i="19"/>
  <c r="J4" i="19"/>
  <c r="H3" i="19"/>
  <c r="I3" i="19"/>
  <c r="J3" i="19"/>
  <c r="H2" i="19"/>
  <c r="I2" i="19"/>
  <c r="J2" i="19"/>
  <c r="H7" i="12"/>
  <c r="I7" i="12"/>
  <c r="J7" i="12"/>
  <c r="H6" i="12"/>
  <c r="I6" i="12"/>
  <c r="J6" i="12"/>
  <c r="H5" i="12"/>
  <c r="I5" i="12"/>
  <c r="J5" i="12"/>
  <c r="H4" i="12"/>
  <c r="I4" i="12"/>
  <c r="J4" i="12"/>
  <c r="H3" i="12"/>
  <c r="I3" i="12"/>
  <c r="J3" i="12"/>
  <c r="H2" i="12"/>
  <c r="I2" i="12"/>
  <c r="J2" i="12"/>
  <c r="H8" i="11"/>
  <c r="I8" i="11"/>
  <c r="J8" i="11"/>
  <c r="H7" i="11"/>
  <c r="I7" i="11"/>
  <c r="J7" i="11"/>
  <c r="H6" i="11"/>
  <c r="I6" i="11"/>
  <c r="J6" i="11"/>
  <c r="H5" i="11"/>
  <c r="I5" i="11"/>
  <c r="J5" i="11"/>
  <c r="H4" i="11"/>
  <c r="I4" i="11"/>
  <c r="J4" i="11"/>
  <c r="H3" i="11"/>
  <c r="I3" i="11"/>
  <c r="J3" i="11"/>
  <c r="H2" i="11"/>
  <c r="I2" i="11"/>
  <c r="J2" i="11"/>
  <c r="H9" i="9"/>
  <c r="I9" i="9"/>
  <c r="J9" i="9"/>
  <c r="H8" i="9"/>
  <c r="I8" i="9"/>
  <c r="J8" i="9"/>
  <c r="H7" i="9"/>
  <c r="I7" i="9"/>
  <c r="J7" i="9"/>
  <c r="H6" i="9"/>
  <c r="I6" i="9"/>
  <c r="J6" i="9"/>
  <c r="H5" i="9"/>
  <c r="I5" i="9"/>
  <c r="J5" i="9"/>
  <c r="H4" i="9"/>
  <c r="I4" i="9"/>
  <c r="J4" i="9"/>
  <c r="H3" i="9"/>
  <c r="I3" i="9"/>
  <c r="J3" i="9"/>
  <c r="H2" i="9"/>
  <c r="I2" i="9"/>
  <c r="J2" i="9"/>
  <c r="H8" i="8"/>
  <c r="I8" i="8"/>
  <c r="J8" i="8"/>
  <c r="H7" i="8"/>
  <c r="I7" i="8"/>
  <c r="J7" i="8"/>
  <c r="H6" i="8"/>
  <c r="I6" i="8"/>
  <c r="J6" i="8"/>
  <c r="H5" i="8"/>
  <c r="I5" i="8"/>
  <c r="J5" i="8"/>
  <c r="H4" i="8"/>
  <c r="I4" i="8"/>
  <c r="J4" i="8"/>
  <c r="H3" i="8"/>
  <c r="I3" i="8"/>
  <c r="J3" i="8"/>
  <c r="H2" i="8"/>
  <c r="I2" i="8"/>
  <c r="J2" i="8"/>
  <c r="H7" i="7"/>
  <c r="I7" i="7"/>
  <c r="J7" i="7"/>
  <c r="H6" i="7"/>
  <c r="I6" i="7"/>
  <c r="J6" i="7"/>
  <c r="H5" i="7"/>
  <c r="I5" i="7"/>
  <c r="J5" i="7"/>
  <c r="H4" i="7"/>
  <c r="I4" i="7"/>
  <c r="J4" i="7"/>
  <c r="H3" i="7"/>
  <c r="I3" i="7"/>
  <c r="J3" i="7"/>
  <c r="H2" i="7"/>
  <c r="I2" i="7"/>
  <c r="J2" i="7"/>
  <c r="H9" i="5"/>
  <c r="I9" i="5"/>
  <c r="J9" i="5"/>
  <c r="H8" i="5"/>
  <c r="I8" i="5"/>
  <c r="J8" i="5"/>
  <c r="H7" i="5"/>
  <c r="I7" i="5"/>
  <c r="J7" i="5"/>
  <c r="H6" i="5"/>
  <c r="I6" i="5"/>
  <c r="J6" i="5"/>
  <c r="H5" i="5"/>
  <c r="I5" i="5"/>
  <c r="J5" i="5"/>
  <c r="H4" i="5"/>
  <c r="I4" i="5"/>
  <c r="J4" i="5"/>
  <c r="H3" i="5"/>
  <c r="I3" i="5"/>
  <c r="J3" i="5"/>
  <c r="H2" i="5"/>
  <c r="I2" i="5"/>
  <c r="J2" i="5"/>
  <c r="J12" i="4"/>
  <c r="J11" i="4"/>
  <c r="J10" i="4"/>
  <c r="J9" i="4"/>
  <c r="J8" i="4"/>
  <c r="J7" i="4"/>
  <c r="J6" i="4"/>
  <c r="J5" i="4"/>
  <c r="J4" i="4"/>
  <c r="J3" i="4"/>
  <c r="J2" i="4"/>
  <c r="H7" i="3"/>
  <c r="I7" i="3"/>
  <c r="J7" i="3"/>
  <c r="K7" i="3"/>
  <c r="H6" i="3"/>
  <c r="I6" i="3"/>
  <c r="J6" i="3"/>
  <c r="K6" i="3"/>
  <c r="H5" i="3"/>
  <c r="I5" i="3"/>
  <c r="J5" i="3"/>
  <c r="K5" i="3"/>
  <c r="H4" i="3"/>
  <c r="I4" i="3"/>
  <c r="J4" i="3"/>
  <c r="K4" i="3"/>
  <c r="H3" i="3"/>
  <c r="I3" i="3"/>
  <c r="J3" i="3"/>
  <c r="K3" i="3"/>
  <c r="H2" i="3"/>
  <c r="I2" i="3"/>
  <c r="J2" i="3"/>
  <c r="K2" i="3"/>
  <c r="L7" i="3"/>
  <c r="L6" i="3"/>
  <c r="L5" i="3"/>
  <c r="L4" i="3"/>
  <c r="L3" i="3"/>
  <c r="L2" i="3"/>
  <c r="K2" i="2"/>
  <c r="I12" i="1"/>
  <c r="J12" i="1"/>
  <c r="I11" i="1"/>
  <c r="J11" i="1"/>
  <c r="I10" i="1"/>
  <c r="J10" i="1"/>
  <c r="I9" i="1"/>
  <c r="J9" i="1"/>
  <c r="I8" i="1"/>
  <c r="J8" i="1"/>
  <c r="I7" i="1"/>
  <c r="J7" i="1"/>
  <c r="I6" i="1"/>
  <c r="J6" i="1"/>
  <c r="I5" i="1"/>
  <c r="J5" i="1"/>
  <c r="I4" i="1"/>
  <c r="J4" i="1"/>
  <c r="I3" i="1"/>
  <c r="J3" i="1"/>
  <c r="I2" i="1"/>
  <c r="J2" i="1"/>
  <c r="M9" i="27"/>
  <c r="M8" i="27"/>
  <c r="M7" i="27"/>
  <c r="M6" i="27"/>
  <c r="M5" i="27"/>
  <c r="M4" i="27"/>
  <c r="M3" i="27"/>
  <c r="M8" i="24"/>
  <c r="M7" i="24"/>
  <c r="M6" i="24"/>
  <c r="M5" i="24"/>
  <c r="M4" i="24"/>
  <c r="M3" i="24"/>
  <c r="M8" i="23"/>
  <c r="M7" i="23"/>
  <c r="M6" i="23"/>
  <c r="M5" i="23"/>
  <c r="M4" i="23"/>
  <c r="M3" i="23"/>
  <c r="M12" i="21"/>
  <c r="M11" i="21"/>
  <c r="M10" i="21"/>
  <c r="M9" i="21"/>
  <c r="M8" i="21"/>
  <c r="M7" i="21"/>
  <c r="M6" i="21"/>
  <c r="M5" i="21"/>
  <c r="M4" i="21"/>
  <c r="M3" i="21"/>
  <c r="M7" i="20"/>
  <c r="M6" i="20"/>
  <c r="M5" i="20"/>
  <c r="M4" i="20"/>
  <c r="M3" i="20"/>
  <c r="M8" i="18"/>
  <c r="M7" i="18"/>
  <c r="M6" i="18"/>
  <c r="M5" i="18"/>
  <c r="M4" i="18"/>
  <c r="M3" i="18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M9" i="16"/>
  <c r="M8" i="16"/>
  <c r="M7" i="16"/>
  <c r="M6" i="16"/>
  <c r="M5" i="16"/>
  <c r="M4" i="16"/>
  <c r="M3" i="16"/>
  <c r="M7" i="15"/>
  <c r="M6" i="15"/>
  <c r="M5" i="15"/>
  <c r="M4" i="15"/>
  <c r="M3" i="15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7" i="13"/>
  <c r="M6" i="13"/>
  <c r="M5" i="13"/>
  <c r="M4" i="13"/>
  <c r="M3" i="13"/>
  <c r="M11" i="10"/>
  <c r="M10" i="10"/>
  <c r="M9" i="10"/>
  <c r="M8" i="10"/>
  <c r="M7" i="10"/>
  <c r="M6" i="10"/>
  <c r="M5" i="10"/>
  <c r="M4" i="10"/>
  <c r="M3" i="10"/>
  <c r="M11" i="6"/>
  <c r="M10" i="6"/>
  <c r="M9" i="6"/>
  <c r="M8" i="6"/>
  <c r="M7" i="6"/>
  <c r="M6" i="6"/>
  <c r="M5" i="6"/>
  <c r="M4" i="6"/>
  <c r="M3" i="6"/>
  <c r="M11" i="2"/>
  <c r="M10" i="2"/>
  <c r="M9" i="2"/>
  <c r="M8" i="2"/>
  <c r="M7" i="2"/>
  <c r="M6" i="2"/>
  <c r="M5" i="2"/>
  <c r="M4" i="2"/>
  <c r="M3" i="2"/>
  <c r="M2" i="2"/>
  <c r="M2" i="6"/>
  <c r="M2" i="10"/>
  <c r="M2" i="13"/>
  <c r="M2" i="14"/>
  <c r="M2" i="15"/>
  <c r="M2" i="16"/>
  <c r="M2" i="17"/>
  <c r="M2" i="18"/>
  <c r="M2" i="20"/>
  <c r="M2" i="21"/>
  <c r="M2" i="23"/>
  <c r="M2" i="24"/>
  <c r="M2" i="27"/>
  <c r="M8" i="29"/>
  <c r="M7" i="29"/>
  <c r="M6" i="29"/>
  <c r="M5" i="29"/>
  <c r="M4" i="29"/>
  <c r="M3" i="29"/>
  <c r="M2" i="29"/>
  <c r="K10" i="66"/>
  <c r="K9" i="66"/>
  <c r="K8" i="66"/>
  <c r="K7" i="66"/>
  <c r="K6" i="66"/>
  <c r="K5" i="66"/>
  <c r="K4" i="66"/>
  <c r="K3" i="66"/>
  <c r="K2" i="66"/>
  <c r="K8" i="65"/>
  <c r="K7" i="65"/>
  <c r="K6" i="65"/>
  <c r="K5" i="65"/>
  <c r="K4" i="65"/>
  <c r="K3" i="65"/>
  <c r="K2" i="65"/>
  <c r="K11" i="2"/>
  <c r="K10" i="2"/>
  <c r="K9" i="2"/>
  <c r="K8" i="2"/>
  <c r="K7" i="2"/>
  <c r="K6" i="2"/>
  <c r="K5" i="2"/>
  <c r="K4" i="2"/>
  <c r="K3" i="2"/>
  <c r="L11" i="2"/>
  <c r="L10" i="2"/>
  <c r="L9" i="2"/>
  <c r="L8" i="2"/>
  <c r="L7" i="2"/>
  <c r="L6" i="2"/>
  <c r="L5" i="2"/>
  <c r="L4" i="2"/>
  <c r="L3" i="2"/>
  <c r="L2" i="2"/>
  <c r="L11" i="6"/>
  <c r="L10" i="6"/>
  <c r="L9" i="6"/>
  <c r="L8" i="6"/>
  <c r="L7" i="6"/>
  <c r="L6" i="6"/>
  <c r="L5" i="6"/>
  <c r="L4" i="6"/>
  <c r="L3" i="6"/>
  <c r="L2" i="6"/>
  <c r="K11" i="6"/>
  <c r="K10" i="6"/>
  <c r="K9" i="6"/>
  <c r="K8" i="6"/>
  <c r="K7" i="6"/>
  <c r="K6" i="6"/>
  <c r="K5" i="6"/>
  <c r="K4" i="6"/>
  <c r="K3" i="6"/>
  <c r="K2" i="6"/>
  <c r="L11" i="10"/>
  <c r="L10" i="10"/>
  <c r="L9" i="10"/>
  <c r="L8" i="10"/>
  <c r="L7" i="10"/>
  <c r="L6" i="10"/>
  <c r="L5" i="10"/>
  <c r="L4" i="10"/>
  <c r="L3" i="10"/>
  <c r="L2" i="10"/>
  <c r="K11" i="10"/>
  <c r="K10" i="10"/>
  <c r="K9" i="10"/>
  <c r="K8" i="10"/>
  <c r="K7" i="10"/>
  <c r="K6" i="10"/>
  <c r="K5" i="10"/>
  <c r="K4" i="10"/>
  <c r="K3" i="10"/>
  <c r="K2" i="10"/>
  <c r="L7" i="13"/>
  <c r="L6" i="13"/>
  <c r="L5" i="13"/>
  <c r="L4" i="13"/>
  <c r="L3" i="13"/>
  <c r="K7" i="13"/>
  <c r="K6" i="13"/>
  <c r="K5" i="13"/>
  <c r="K4" i="13"/>
  <c r="K3" i="13"/>
  <c r="K2" i="13"/>
  <c r="L2" i="13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  <c r="K7" i="15"/>
  <c r="K6" i="15"/>
  <c r="K5" i="15"/>
  <c r="K4" i="15"/>
  <c r="K3" i="15"/>
  <c r="K2" i="15"/>
  <c r="L7" i="15"/>
  <c r="L6" i="15"/>
  <c r="L5" i="15"/>
  <c r="L4" i="15"/>
  <c r="L3" i="15"/>
  <c r="L2" i="15"/>
  <c r="L9" i="16"/>
  <c r="L8" i="16"/>
  <c r="L7" i="16"/>
  <c r="L6" i="16"/>
  <c r="L5" i="16"/>
  <c r="L4" i="16"/>
  <c r="L3" i="16"/>
  <c r="L2" i="16"/>
  <c r="K9" i="16"/>
  <c r="K8" i="16"/>
  <c r="K7" i="16"/>
  <c r="K6" i="16"/>
  <c r="K5" i="16"/>
  <c r="K4" i="16"/>
  <c r="K3" i="16"/>
  <c r="K2" i="16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  <c r="K2" i="17"/>
  <c r="K8" i="18"/>
  <c r="K7" i="18"/>
  <c r="K6" i="18"/>
  <c r="K5" i="18"/>
  <c r="K4" i="18"/>
  <c r="K3" i="18"/>
  <c r="K2" i="18"/>
  <c r="L8" i="18"/>
  <c r="L7" i="18"/>
  <c r="L6" i="18"/>
  <c r="L5" i="18"/>
  <c r="L4" i="18"/>
  <c r="L3" i="18"/>
  <c r="L2" i="18"/>
  <c r="L7" i="20"/>
  <c r="L6" i="20"/>
  <c r="L5" i="20"/>
  <c r="L4" i="20"/>
  <c r="L3" i="20"/>
  <c r="L2" i="20"/>
  <c r="K7" i="20"/>
  <c r="K6" i="20"/>
  <c r="K5" i="20"/>
  <c r="K4" i="20"/>
  <c r="K3" i="20"/>
  <c r="K2" i="20"/>
  <c r="L12" i="21"/>
  <c r="L11" i="21"/>
  <c r="L10" i="21"/>
  <c r="L9" i="21"/>
  <c r="L8" i="21"/>
  <c r="L7" i="21"/>
  <c r="L6" i="21"/>
  <c r="L5" i="21"/>
  <c r="L4" i="21"/>
  <c r="L3" i="21"/>
  <c r="L2" i="21"/>
  <c r="K12" i="21"/>
  <c r="K11" i="21"/>
  <c r="K10" i="21"/>
  <c r="K9" i="21"/>
  <c r="K8" i="21"/>
  <c r="K7" i="21"/>
  <c r="K6" i="21"/>
  <c r="K5" i="21"/>
  <c r="K4" i="21"/>
  <c r="K3" i="21"/>
  <c r="K2" i="21"/>
  <c r="K8" i="23"/>
  <c r="K7" i="23"/>
  <c r="K6" i="23"/>
  <c r="K5" i="23"/>
  <c r="K4" i="23"/>
  <c r="K3" i="23"/>
  <c r="K2" i="23"/>
  <c r="L8" i="23"/>
  <c r="L7" i="23"/>
  <c r="L6" i="23"/>
  <c r="L5" i="23"/>
  <c r="L4" i="23"/>
  <c r="L3" i="23"/>
  <c r="L2" i="23"/>
  <c r="L8" i="24"/>
  <c r="L7" i="24"/>
  <c r="L6" i="24"/>
  <c r="L5" i="24"/>
  <c r="L4" i="24"/>
  <c r="L3" i="24"/>
  <c r="L2" i="24"/>
  <c r="K8" i="24"/>
  <c r="K7" i="24"/>
  <c r="K6" i="24"/>
  <c r="K5" i="24"/>
  <c r="K4" i="24"/>
  <c r="K3" i="24"/>
  <c r="K2" i="24"/>
  <c r="L9" i="27"/>
  <c r="L8" i="27"/>
  <c r="L7" i="27"/>
  <c r="L6" i="27"/>
  <c r="L5" i="27"/>
  <c r="L4" i="27"/>
  <c r="L3" i="27"/>
  <c r="L2" i="27"/>
  <c r="K9" i="27"/>
  <c r="K8" i="27"/>
  <c r="K7" i="27"/>
  <c r="K6" i="27"/>
  <c r="K5" i="27"/>
  <c r="K4" i="27"/>
  <c r="K3" i="27"/>
  <c r="K2" i="27"/>
  <c r="L8" i="29"/>
  <c r="L7" i="29"/>
  <c r="L6" i="29"/>
  <c r="L5" i="29"/>
  <c r="L4" i="29"/>
  <c r="L3" i="29"/>
  <c r="L2" i="29"/>
  <c r="K8" i="29"/>
  <c r="K7" i="29"/>
  <c r="K6" i="29"/>
  <c r="K5" i="29"/>
  <c r="K4" i="29"/>
  <c r="K3" i="29"/>
  <c r="K2" i="29"/>
  <c r="F8" i="29"/>
  <c r="G8" i="29"/>
  <c r="J8" i="29"/>
  <c r="H8" i="29"/>
  <c r="I8" i="29"/>
  <c r="F7" i="29"/>
  <c r="G7" i="29"/>
  <c r="J7" i="29"/>
  <c r="H7" i="29"/>
  <c r="I7" i="29"/>
  <c r="F6" i="29"/>
  <c r="G6" i="29"/>
  <c r="J6" i="29"/>
  <c r="H6" i="29"/>
  <c r="I6" i="29"/>
  <c r="F5" i="29"/>
  <c r="G5" i="29"/>
  <c r="J5" i="29"/>
  <c r="H5" i="29"/>
  <c r="I5" i="29"/>
  <c r="F4" i="29"/>
  <c r="G4" i="29"/>
  <c r="J4" i="29"/>
  <c r="H4" i="29"/>
  <c r="I4" i="29"/>
  <c r="F3" i="29"/>
  <c r="G3" i="29"/>
  <c r="J3" i="29"/>
  <c r="H3" i="29"/>
  <c r="I3" i="29"/>
  <c r="F2" i="29"/>
  <c r="G2" i="29"/>
  <c r="J2" i="29"/>
  <c r="H2" i="29"/>
  <c r="I2" i="29"/>
  <c r="F9" i="27"/>
  <c r="G9" i="27"/>
  <c r="J9" i="27"/>
  <c r="H9" i="27"/>
  <c r="I9" i="27"/>
  <c r="F8" i="27"/>
  <c r="G8" i="27"/>
  <c r="J8" i="27"/>
  <c r="H8" i="27"/>
  <c r="I8" i="27"/>
  <c r="F7" i="27"/>
  <c r="G7" i="27"/>
  <c r="J7" i="27"/>
  <c r="H7" i="27"/>
  <c r="I7" i="27"/>
  <c r="F6" i="27"/>
  <c r="G6" i="27"/>
  <c r="J6" i="27"/>
  <c r="H6" i="27"/>
  <c r="I6" i="27"/>
  <c r="F5" i="27"/>
  <c r="G5" i="27"/>
  <c r="J5" i="27"/>
  <c r="H5" i="27"/>
  <c r="I5" i="27"/>
  <c r="F4" i="27"/>
  <c r="G4" i="27"/>
  <c r="J4" i="27"/>
  <c r="H4" i="27"/>
  <c r="I4" i="27"/>
  <c r="F3" i="27"/>
  <c r="G3" i="27"/>
  <c r="J3" i="27"/>
  <c r="H3" i="27"/>
  <c r="I3" i="27"/>
  <c r="F2" i="27"/>
  <c r="G2" i="27"/>
  <c r="J2" i="27"/>
  <c r="H2" i="27"/>
  <c r="I2" i="27"/>
  <c r="F8" i="24"/>
  <c r="G8" i="24"/>
  <c r="J8" i="24"/>
  <c r="H8" i="24"/>
  <c r="I8" i="24"/>
  <c r="F7" i="24"/>
  <c r="G7" i="24"/>
  <c r="J7" i="24"/>
  <c r="H7" i="24"/>
  <c r="I7" i="24"/>
  <c r="F6" i="24"/>
  <c r="G6" i="24"/>
  <c r="J6" i="24"/>
  <c r="H6" i="24"/>
  <c r="I6" i="24"/>
  <c r="F5" i="24"/>
  <c r="G5" i="24"/>
  <c r="J5" i="24"/>
  <c r="H5" i="24"/>
  <c r="I5" i="24"/>
  <c r="F4" i="24"/>
  <c r="G4" i="24"/>
  <c r="J4" i="24"/>
  <c r="H4" i="24"/>
  <c r="I4" i="24"/>
  <c r="F3" i="24"/>
  <c r="G3" i="24"/>
  <c r="J3" i="24"/>
  <c r="H3" i="24"/>
  <c r="I3" i="24"/>
  <c r="F2" i="24"/>
  <c r="G2" i="24"/>
  <c r="J2" i="24"/>
  <c r="H2" i="24"/>
  <c r="I2" i="24"/>
  <c r="F8" i="23"/>
  <c r="G8" i="23"/>
  <c r="J8" i="23"/>
  <c r="H8" i="23"/>
  <c r="I8" i="23"/>
  <c r="F7" i="23"/>
  <c r="G7" i="23"/>
  <c r="J7" i="23"/>
  <c r="H7" i="23"/>
  <c r="I7" i="23"/>
  <c r="F6" i="23"/>
  <c r="G6" i="23"/>
  <c r="J6" i="23"/>
  <c r="H6" i="23"/>
  <c r="I6" i="23"/>
  <c r="F5" i="23"/>
  <c r="G5" i="23"/>
  <c r="J5" i="23"/>
  <c r="H5" i="23"/>
  <c r="I5" i="23"/>
  <c r="F4" i="23"/>
  <c r="G4" i="23"/>
  <c r="J4" i="23"/>
  <c r="H4" i="23"/>
  <c r="I4" i="23"/>
  <c r="F3" i="23"/>
  <c r="G3" i="23"/>
  <c r="J3" i="23"/>
  <c r="H3" i="23"/>
  <c r="I3" i="23"/>
  <c r="F2" i="23"/>
  <c r="G2" i="23"/>
  <c r="J2" i="23"/>
  <c r="H2" i="23"/>
  <c r="I2" i="23"/>
  <c r="F7" i="20"/>
  <c r="G7" i="20"/>
  <c r="J7" i="20"/>
  <c r="H7" i="20"/>
  <c r="I7" i="20"/>
  <c r="F6" i="20"/>
  <c r="G6" i="20"/>
  <c r="J6" i="20"/>
  <c r="H6" i="20"/>
  <c r="I6" i="20"/>
  <c r="F5" i="20"/>
  <c r="G5" i="20"/>
  <c r="J5" i="20"/>
  <c r="H5" i="20"/>
  <c r="I5" i="20"/>
  <c r="F4" i="20"/>
  <c r="G4" i="20"/>
  <c r="J4" i="20"/>
  <c r="H4" i="20"/>
  <c r="I4" i="20"/>
  <c r="F3" i="20"/>
  <c r="G3" i="20"/>
  <c r="J3" i="20"/>
  <c r="H3" i="20"/>
  <c r="I3" i="20"/>
  <c r="F2" i="20"/>
  <c r="G2" i="20"/>
  <c r="J2" i="20"/>
  <c r="H2" i="20"/>
  <c r="I2" i="20"/>
  <c r="F8" i="18"/>
  <c r="G8" i="18"/>
  <c r="J8" i="18"/>
  <c r="H8" i="18"/>
  <c r="I8" i="18"/>
  <c r="F7" i="18"/>
  <c r="G7" i="18"/>
  <c r="J7" i="18"/>
  <c r="H7" i="18"/>
  <c r="I7" i="18"/>
  <c r="F6" i="18"/>
  <c r="G6" i="18"/>
  <c r="J6" i="18"/>
  <c r="H6" i="18"/>
  <c r="I6" i="18"/>
  <c r="F5" i="18"/>
  <c r="G5" i="18"/>
  <c r="J5" i="18"/>
  <c r="H5" i="18"/>
  <c r="I5" i="18"/>
  <c r="F4" i="18"/>
  <c r="G4" i="18"/>
  <c r="J4" i="18"/>
  <c r="H4" i="18"/>
  <c r="I4" i="18"/>
  <c r="F3" i="18"/>
  <c r="G3" i="18"/>
  <c r="J3" i="18"/>
  <c r="H3" i="18"/>
  <c r="I3" i="18"/>
  <c r="F2" i="18"/>
  <c r="G2" i="18"/>
  <c r="J2" i="18"/>
  <c r="H2" i="18"/>
  <c r="I2" i="18"/>
  <c r="F30" i="17"/>
  <c r="G30" i="17"/>
  <c r="J30" i="17"/>
  <c r="H30" i="17"/>
  <c r="I30" i="17"/>
  <c r="F29" i="17"/>
  <c r="G29" i="17"/>
  <c r="J29" i="17"/>
  <c r="H29" i="17"/>
  <c r="I29" i="17"/>
  <c r="F28" i="17"/>
  <c r="G28" i="17"/>
  <c r="J28" i="17"/>
  <c r="H28" i="17"/>
  <c r="I28" i="17"/>
  <c r="F27" i="17"/>
  <c r="G27" i="17"/>
  <c r="J27" i="17"/>
  <c r="H27" i="17"/>
  <c r="I27" i="17"/>
  <c r="F26" i="17"/>
  <c r="G26" i="17"/>
  <c r="J26" i="17"/>
  <c r="H26" i="17"/>
  <c r="I26" i="17"/>
  <c r="F25" i="17"/>
  <c r="G25" i="17"/>
  <c r="J25" i="17"/>
  <c r="H25" i="17"/>
  <c r="I25" i="17"/>
  <c r="F24" i="17"/>
  <c r="G24" i="17"/>
  <c r="J24" i="17"/>
  <c r="H24" i="17"/>
  <c r="I24" i="17"/>
  <c r="F23" i="17"/>
  <c r="G23" i="17"/>
  <c r="J23" i="17"/>
  <c r="H23" i="17"/>
  <c r="I23" i="17"/>
  <c r="F22" i="17"/>
  <c r="G22" i="17"/>
  <c r="J22" i="17"/>
  <c r="H22" i="17"/>
  <c r="I22" i="17"/>
  <c r="F21" i="17"/>
  <c r="G21" i="17"/>
  <c r="J21" i="17"/>
  <c r="H21" i="17"/>
  <c r="I21" i="17"/>
  <c r="F20" i="17"/>
  <c r="G20" i="17"/>
  <c r="J20" i="17"/>
  <c r="H20" i="17"/>
  <c r="I20" i="17"/>
  <c r="F19" i="17"/>
  <c r="G19" i="17"/>
  <c r="J19" i="17"/>
  <c r="H19" i="17"/>
  <c r="I19" i="17"/>
  <c r="F18" i="17"/>
  <c r="G18" i="17"/>
  <c r="J18" i="17"/>
  <c r="H18" i="17"/>
  <c r="I18" i="17"/>
  <c r="F17" i="17"/>
  <c r="G17" i="17"/>
  <c r="J17" i="17"/>
  <c r="H17" i="17"/>
  <c r="I17" i="17"/>
  <c r="F16" i="17"/>
  <c r="G16" i="17"/>
  <c r="J16" i="17"/>
  <c r="H16" i="17"/>
  <c r="I16" i="17"/>
  <c r="F15" i="17"/>
  <c r="G15" i="17"/>
  <c r="J15" i="17"/>
  <c r="H15" i="17"/>
  <c r="I15" i="17"/>
  <c r="F14" i="17"/>
  <c r="G14" i="17"/>
  <c r="J14" i="17"/>
  <c r="H14" i="17"/>
  <c r="I14" i="17"/>
  <c r="F13" i="17"/>
  <c r="G13" i="17"/>
  <c r="J13" i="17"/>
  <c r="H13" i="17"/>
  <c r="I13" i="17"/>
  <c r="F12" i="17"/>
  <c r="G12" i="17"/>
  <c r="J12" i="17"/>
  <c r="H12" i="17"/>
  <c r="I12" i="17"/>
  <c r="F11" i="17"/>
  <c r="G11" i="17"/>
  <c r="J11" i="17"/>
  <c r="H11" i="17"/>
  <c r="I11" i="17"/>
  <c r="F10" i="17"/>
  <c r="G10" i="17"/>
  <c r="J10" i="17"/>
  <c r="H10" i="17"/>
  <c r="I10" i="17"/>
  <c r="F9" i="17"/>
  <c r="G9" i="17"/>
  <c r="J9" i="17"/>
  <c r="H9" i="17"/>
  <c r="I9" i="17"/>
  <c r="F8" i="17"/>
  <c r="G8" i="17"/>
  <c r="J8" i="17"/>
  <c r="H8" i="17"/>
  <c r="I8" i="17"/>
  <c r="F7" i="17"/>
  <c r="G7" i="17"/>
  <c r="J7" i="17"/>
  <c r="H7" i="17"/>
  <c r="I7" i="17"/>
  <c r="F6" i="17"/>
  <c r="G6" i="17"/>
  <c r="J6" i="17"/>
  <c r="H6" i="17"/>
  <c r="I6" i="17"/>
  <c r="F5" i="17"/>
  <c r="G5" i="17"/>
  <c r="J5" i="17"/>
  <c r="H5" i="17"/>
  <c r="I5" i="17"/>
  <c r="F4" i="17"/>
  <c r="G4" i="17"/>
  <c r="J4" i="17"/>
  <c r="H4" i="17"/>
  <c r="I4" i="17"/>
  <c r="F3" i="17"/>
  <c r="G3" i="17"/>
  <c r="J3" i="17"/>
  <c r="H3" i="17"/>
  <c r="I3" i="17"/>
  <c r="F2" i="17"/>
  <c r="G2" i="17"/>
  <c r="J2" i="17"/>
  <c r="H2" i="17"/>
  <c r="I2" i="17"/>
  <c r="F9" i="16"/>
  <c r="G9" i="16"/>
  <c r="J9" i="16"/>
  <c r="H9" i="16"/>
  <c r="I9" i="16"/>
  <c r="F8" i="16"/>
  <c r="G8" i="16"/>
  <c r="J8" i="16"/>
  <c r="H8" i="16"/>
  <c r="I8" i="16"/>
  <c r="F7" i="16"/>
  <c r="G7" i="16"/>
  <c r="J7" i="16"/>
  <c r="H7" i="16"/>
  <c r="I7" i="16"/>
  <c r="F6" i="16"/>
  <c r="G6" i="16"/>
  <c r="J6" i="16"/>
  <c r="H6" i="16"/>
  <c r="I6" i="16"/>
  <c r="F5" i="16"/>
  <c r="G5" i="16"/>
  <c r="J5" i="16"/>
  <c r="H5" i="16"/>
  <c r="I5" i="16"/>
  <c r="F4" i="16"/>
  <c r="G4" i="16"/>
  <c r="J4" i="16"/>
  <c r="H4" i="16"/>
  <c r="I4" i="16"/>
  <c r="F3" i="16"/>
  <c r="G3" i="16"/>
  <c r="J3" i="16"/>
  <c r="H3" i="16"/>
  <c r="I3" i="16"/>
  <c r="F2" i="16"/>
  <c r="G2" i="16"/>
  <c r="J2" i="16"/>
  <c r="H2" i="16"/>
  <c r="I2" i="16"/>
  <c r="F7" i="15"/>
  <c r="G7" i="15"/>
  <c r="J7" i="15"/>
  <c r="H7" i="15"/>
  <c r="I7" i="15"/>
  <c r="F6" i="15"/>
  <c r="G6" i="15"/>
  <c r="J6" i="15"/>
  <c r="H6" i="15"/>
  <c r="I6" i="15"/>
  <c r="F5" i="15"/>
  <c r="G5" i="15"/>
  <c r="J5" i="15"/>
  <c r="H5" i="15"/>
  <c r="I5" i="15"/>
  <c r="F4" i="15"/>
  <c r="G4" i="15"/>
  <c r="J4" i="15"/>
  <c r="H4" i="15"/>
  <c r="I4" i="15"/>
  <c r="F3" i="15"/>
  <c r="G3" i="15"/>
  <c r="J3" i="15"/>
  <c r="H3" i="15"/>
  <c r="I3" i="15"/>
  <c r="F2" i="15"/>
  <c r="G2" i="15"/>
  <c r="J2" i="15"/>
  <c r="H2" i="15"/>
  <c r="I2" i="15"/>
  <c r="F7" i="13"/>
  <c r="G7" i="13"/>
  <c r="J7" i="13"/>
  <c r="H7" i="13"/>
  <c r="I7" i="13"/>
  <c r="F6" i="13"/>
  <c r="G6" i="13"/>
  <c r="J6" i="13"/>
  <c r="H6" i="13"/>
  <c r="I6" i="13"/>
  <c r="F5" i="13"/>
  <c r="G5" i="13"/>
  <c r="J5" i="13"/>
  <c r="H5" i="13"/>
  <c r="I5" i="13"/>
  <c r="F4" i="13"/>
  <c r="G4" i="13"/>
  <c r="J4" i="13"/>
  <c r="H4" i="13"/>
  <c r="I4" i="13"/>
  <c r="F3" i="13"/>
  <c r="G3" i="13"/>
  <c r="J3" i="13"/>
  <c r="H3" i="13"/>
  <c r="I3" i="13"/>
  <c r="F2" i="13"/>
  <c r="G2" i="13"/>
  <c r="J2" i="13"/>
  <c r="H2" i="13"/>
  <c r="I2" i="13"/>
  <c r="F11" i="10"/>
  <c r="G11" i="10"/>
  <c r="J11" i="10"/>
  <c r="H11" i="10"/>
  <c r="I11" i="10"/>
  <c r="F10" i="10"/>
  <c r="G10" i="10"/>
  <c r="J10" i="10"/>
  <c r="H10" i="10"/>
  <c r="I10" i="10"/>
  <c r="F9" i="10"/>
  <c r="G9" i="10"/>
  <c r="J9" i="10"/>
  <c r="H9" i="10"/>
  <c r="I9" i="10"/>
  <c r="F8" i="10"/>
  <c r="G8" i="10"/>
  <c r="J8" i="10"/>
  <c r="H8" i="10"/>
  <c r="I8" i="10"/>
  <c r="F7" i="10"/>
  <c r="G7" i="10"/>
  <c r="J7" i="10"/>
  <c r="H7" i="10"/>
  <c r="I7" i="10"/>
  <c r="F6" i="10"/>
  <c r="G6" i="10"/>
  <c r="J6" i="10"/>
  <c r="H6" i="10"/>
  <c r="I6" i="10"/>
  <c r="F5" i="10"/>
  <c r="G5" i="10"/>
  <c r="J5" i="10"/>
  <c r="H5" i="10"/>
  <c r="I5" i="10"/>
  <c r="F4" i="10"/>
  <c r="G4" i="10"/>
  <c r="J4" i="10"/>
  <c r="H4" i="10"/>
  <c r="I4" i="10"/>
  <c r="F3" i="10"/>
  <c r="G3" i="10"/>
  <c r="J3" i="10"/>
  <c r="H3" i="10"/>
  <c r="I3" i="10"/>
  <c r="F2" i="10"/>
  <c r="G2" i="10"/>
  <c r="J2" i="10"/>
  <c r="H2" i="10"/>
  <c r="I2" i="10"/>
  <c r="F11" i="6"/>
  <c r="G11" i="6"/>
  <c r="J11" i="6"/>
  <c r="H11" i="6"/>
  <c r="I11" i="6"/>
  <c r="F10" i="6"/>
  <c r="G10" i="6"/>
  <c r="J10" i="6"/>
  <c r="H10" i="6"/>
  <c r="I10" i="6"/>
  <c r="F9" i="6"/>
  <c r="G9" i="6"/>
  <c r="J9" i="6"/>
  <c r="H9" i="6"/>
  <c r="I9" i="6"/>
  <c r="F8" i="6"/>
  <c r="G8" i="6"/>
  <c r="J8" i="6"/>
  <c r="H8" i="6"/>
  <c r="I8" i="6"/>
  <c r="F7" i="6"/>
  <c r="G7" i="6"/>
  <c r="J7" i="6"/>
  <c r="H7" i="6"/>
  <c r="I7" i="6"/>
  <c r="F6" i="6"/>
  <c r="G6" i="6"/>
  <c r="J6" i="6"/>
  <c r="H6" i="6"/>
  <c r="I6" i="6"/>
  <c r="F5" i="6"/>
  <c r="G5" i="6"/>
  <c r="J5" i="6"/>
  <c r="H5" i="6"/>
  <c r="I5" i="6"/>
  <c r="F4" i="6"/>
  <c r="G4" i="6"/>
  <c r="J4" i="6"/>
  <c r="H4" i="6"/>
  <c r="I4" i="6"/>
  <c r="F3" i="6"/>
  <c r="G3" i="6"/>
  <c r="J3" i="6"/>
  <c r="H3" i="6"/>
  <c r="I3" i="6"/>
  <c r="F2" i="6"/>
  <c r="G2" i="6"/>
  <c r="J2" i="6"/>
  <c r="H2" i="6"/>
  <c r="I2" i="6"/>
  <c r="F12" i="21"/>
  <c r="G12" i="21"/>
  <c r="J12" i="21"/>
  <c r="H12" i="21"/>
  <c r="I12" i="21"/>
  <c r="F11" i="21"/>
  <c r="G11" i="21"/>
  <c r="J11" i="21"/>
  <c r="H11" i="21"/>
  <c r="I11" i="21"/>
  <c r="F10" i="21"/>
  <c r="G10" i="21"/>
  <c r="J10" i="21"/>
  <c r="H10" i="21"/>
  <c r="I10" i="21"/>
  <c r="F9" i="21"/>
  <c r="G9" i="21"/>
  <c r="J9" i="21"/>
  <c r="H9" i="21"/>
  <c r="I9" i="21"/>
  <c r="F8" i="21"/>
  <c r="G8" i="21"/>
  <c r="J8" i="21"/>
  <c r="H8" i="21"/>
  <c r="I8" i="21"/>
  <c r="F7" i="21"/>
  <c r="G7" i="21"/>
  <c r="J7" i="21"/>
  <c r="H7" i="21"/>
  <c r="I7" i="21"/>
  <c r="F6" i="21"/>
  <c r="G6" i="21"/>
  <c r="J6" i="21"/>
  <c r="H6" i="21"/>
  <c r="I6" i="21"/>
  <c r="F5" i="21"/>
  <c r="G5" i="21"/>
  <c r="J5" i="21"/>
  <c r="H5" i="21"/>
  <c r="I5" i="21"/>
  <c r="F4" i="21"/>
  <c r="G4" i="21"/>
  <c r="J4" i="21"/>
  <c r="H4" i="21"/>
  <c r="I4" i="21"/>
  <c r="F3" i="21"/>
  <c r="G3" i="21"/>
  <c r="J3" i="21"/>
  <c r="H3" i="21"/>
  <c r="I3" i="21"/>
  <c r="F2" i="21"/>
  <c r="G2" i="21"/>
  <c r="J2" i="21"/>
  <c r="H2" i="21"/>
  <c r="I2" i="21"/>
  <c r="F16" i="14"/>
  <c r="G16" i="14"/>
  <c r="J16" i="14"/>
  <c r="F15" i="14"/>
  <c r="G15" i="14"/>
  <c r="J15" i="14"/>
  <c r="F14" i="14"/>
  <c r="G14" i="14"/>
  <c r="J14" i="14"/>
  <c r="F13" i="14"/>
  <c r="G13" i="14"/>
  <c r="J13" i="14"/>
  <c r="F12" i="14"/>
  <c r="G12" i="14"/>
  <c r="J12" i="14"/>
  <c r="F11" i="14"/>
  <c r="G11" i="14"/>
  <c r="J11" i="14"/>
  <c r="F10" i="14"/>
  <c r="G10" i="14"/>
  <c r="J10" i="14"/>
  <c r="F9" i="14"/>
  <c r="G9" i="14"/>
  <c r="J9" i="14"/>
  <c r="F8" i="14"/>
  <c r="G8" i="14"/>
  <c r="J8" i="14"/>
  <c r="F7" i="14"/>
  <c r="G7" i="14"/>
  <c r="J7" i="14"/>
  <c r="F6" i="14"/>
  <c r="G6" i="14"/>
  <c r="J6" i="14"/>
  <c r="F5" i="14"/>
  <c r="G5" i="14"/>
  <c r="J5" i="14"/>
  <c r="F4" i="14"/>
  <c r="G4" i="14"/>
  <c r="J4" i="14"/>
  <c r="F3" i="14"/>
  <c r="G3" i="14"/>
  <c r="J3" i="14"/>
  <c r="F2" i="14"/>
  <c r="G2" i="14"/>
  <c r="J2" i="14"/>
  <c r="H16" i="14"/>
  <c r="I16" i="14"/>
  <c r="H15" i="14"/>
  <c r="I15" i="14"/>
  <c r="H14" i="14"/>
  <c r="I14" i="14"/>
  <c r="H13" i="14"/>
  <c r="I13" i="14"/>
  <c r="H12" i="14"/>
  <c r="I12" i="14"/>
  <c r="H11" i="14"/>
  <c r="I11" i="14"/>
  <c r="H10" i="14"/>
  <c r="I10" i="14"/>
  <c r="H9" i="14"/>
  <c r="I9" i="14"/>
  <c r="H8" i="14"/>
  <c r="I8" i="14"/>
  <c r="H7" i="14"/>
  <c r="I7" i="14"/>
  <c r="H6" i="14"/>
  <c r="I6" i="14"/>
  <c r="H5" i="14"/>
  <c r="I5" i="14"/>
  <c r="H4" i="14"/>
  <c r="I4" i="14"/>
  <c r="H3" i="14"/>
  <c r="I3" i="14"/>
  <c r="H2" i="14"/>
  <c r="I2" i="14"/>
  <c r="G11" i="2"/>
  <c r="G10" i="2"/>
  <c r="G9" i="2"/>
  <c r="G8" i="2"/>
  <c r="G7" i="2"/>
  <c r="G6" i="2"/>
  <c r="G5" i="2"/>
  <c r="G4" i="2"/>
  <c r="G3" i="2"/>
  <c r="G2" i="2"/>
  <c r="F11" i="2"/>
  <c r="J11" i="2"/>
  <c r="F10" i="2"/>
  <c r="J10" i="2"/>
  <c r="F9" i="2"/>
  <c r="F8" i="2"/>
  <c r="F7" i="2"/>
  <c r="J7" i="2"/>
  <c r="F6" i="2"/>
  <c r="J6" i="2"/>
  <c r="F5" i="2"/>
  <c r="F4" i="2"/>
  <c r="F3" i="2"/>
  <c r="J3" i="2"/>
  <c r="F2" i="2"/>
  <c r="J2" i="2"/>
  <c r="J4" i="2"/>
  <c r="J8" i="2"/>
  <c r="J5" i="2"/>
  <c r="J9" i="2"/>
  <c r="H8" i="2"/>
  <c r="I8" i="2"/>
  <c r="H10" i="2"/>
  <c r="I10" i="2"/>
  <c r="H5" i="2"/>
  <c r="I5" i="2"/>
  <c r="H4" i="2"/>
  <c r="I4" i="2"/>
  <c r="H9" i="2"/>
  <c r="I9" i="2"/>
  <c r="H7" i="2"/>
  <c r="I7" i="2"/>
  <c r="H6" i="2"/>
  <c r="I6" i="2"/>
  <c r="H3" i="2"/>
  <c r="I3" i="2"/>
  <c r="H11" i="2"/>
  <c r="I11" i="2"/>
  <c r="H2" i="2"/>
  <c r="I2" i="2"/>
  <c r="F14" i="80"/>
  <c r="G14" i="80"/>
  <c r="I14" i="80"/>
  <c r="F13" i="80"/>
  <c r="G13" i="80"/>
  <c r="I13" i="80"/>
  <c r="F12" i="80"/>
  <c r="G12" i="80"/>
  <c r="I12" i="80"/>
  <c r="F11" i="80"/>
  <c r="G11" i="80"/>
  <c r="I11" i="80"/>
  <c r="F10" i="80"/>
  <c r="G10" i="80"/>
  <c r="I10" i="80"/>
  <c r="F9" i="80"/>
  <c r="G9" i="80"/>
  <c r="I9" i="80"/>
  <c r="F8" i="80"/>
  <c r="G8" i="80"/>
  <c r="I8" i="80"/>
  <c r="F7" i="80"/>
  <c r="G7" i="80"/>
  <c r="I7" i="80"/>
  <c r="F6" i="80"/>
  <c r="G6" i="80"/>
  <c r="I6" i="80"/>
  <c r="F5" i="80"/>
  <c r="G5" i="80"/>
  <c r="I5" i="80"/>
  <c r="F4" i="80"/>
  <c r="G4" i="80"/>
  <c r="I4" i="80"/>
  <c r="F3" i="80"/>
  <c r="G3" i="80"/>
  <c r="I3" i="80"/>
  <c r="F2" i="80"/>
  <c r="G2" i="80"/>
  <c r="I2" i="80"/>
  <c r="H14" i="80"/>
  <c r="H13" i="80"/>
  <c r="H12" i="80"/>
  <c r="H11" i="80"/>
  <c r="H10" i="80"/>
  <c r="H9" i="80"/>
  <c r="H8" i="80"/>
  <c r="H7" i="80"/>
  <c r="H6" i="80"/>
  <c r="H5" i="80"/>
  <c r="H4" i="80"/>
  <c r="H3" i="80"/>
  <c r="H2" i="80"/>
  <c r="F14" i="79"/>
  <c r="G14" i="79"/>
  <c r="I14" i="79"/>
  <c r="F13" i="79"/>
  <c r="G13" i="79"/>
  <c r="I13" i="79"/>
  <c r="F12" i="79"/>
  <c r="G12" i="79"/>
  <c r="I12" i="79"/>
  <c r="F11" i="79"/>
  <c r="G11" i="79"/>
  <c r="I11" i="79"/>
  <c r="F10" i="79"/>
  <c r="G10" i="79"/>
  <c r="I10" i="79"/>
  <c r="F9" i="79"/>
  <c r="G9" i="79"/>
  <c r="I9" i="79"/>
  <c r="F8" i="79"/>
  <c r="G8" i="79"/>
  <c r="I8" i="79"/>
  <c r="F7" i="79"/>
  <c r="G7" i="79"/>
  <c r="I7" i="79"/>
  <c r="F6" i="79"/>
  <c r="G6" i="79"/>
  <c r="I6" i="79"/>
  <c r="F5" i="79"/>
  <c r="G5" i="79"/>
  <c r="I5" i="79"/>
  <c r="F4" i="79"/>
  <c r="G4" i="79"/>
  <c r="I4" i="79"/>
  <c r="F3" i="79"/>
  <c r="G3" i="79"/>
  <c r="I3" i="79"/>
  <c r="F2" i="79"/>
  <c r="G2" i="79"/>
  <c r="I2" i="79"/>
  <c r="H14" i="79"/>
  <c r="H13" i="79"/>
  <c r="H12" i="79"/>
  <c r="H11" i="79"/>
  <c r="H10" i="79"/>
  <c r="H9" i="79"/>
  <c r="H8" i="79"/>
  <c r="H7" i="79"/>
  <c r="H6" i="79"/>
  <c r="H5" i="79"/>
  <c r="H4" i="79"/>
  <c r="H3" i="79"/>
  <c r="H2" i="79"/>
  <c r="J10" i="66"/>
  <c r="J9" i="66"/>
  <c r="J8" i="66"/>
  <c r="J7" i="66"/>
  <c r="J6" i="66"/>
  <c r="J5" i="66"/>
  <c r="J4" i="66"/>
  <c r="J3" i="66"/>
  <c r="J2" i="66"/>
  <c r="I10" i="66"/>
  <c r="I9" i="66"/>
  <c r="I8" i="66"/>
  <c r="I7" i="66"/>
  <c r="I6" i="66"/>
  <c r="I5" i="66"/>
  <c r="I4" i="66"/>
  <c r="I3" i="66"/>
  <c r="I2" i="66"/>
  <c r="J8" i="65"/>
  <c r="J7" i="65"/>
  <c r="J6" i="65"/>
  <c r="J5" i="65"/>
  <c r="J4" i="65"/>
  <c r="J3" i="65"/>
  <c r="J2" i="65"/>
  <c r="I8" i="65"/>
  <c r="I7" i="65"/>
  <c r="I6" i="65"/>
  <c r="I5" i="65"/>
  <c r="I4" i="65"/>
  <c r="I3" i="65"/>
  <c r="I2" i="65"/>
  <c r="E9" i="63"/>
  <c r="E8" i="63"/>
  <c r="E7" i="63"/>
  <c r="E6" i="63"/>
  <c r="E5" i="63"/>
  <c r="E4" i="63"/>
  <c r="E3" i="63"/>
  <c r="E2" i="63"/>
  <c r="D9" i="63"/>
  <c r="D8" i="63"/>
  <c r="D7" i="63"/>
  <c r="D6" i="63"/>
  <c r="D5" i="63"/>
  <c r="D4" i="63"/>
  <c r="D3" i="63"/>
  <c r="D2" i="63"/>
  <c r="E7" i="61"/>
  <c r="E6" i="61"/>
  <c r="E5" i="61"/>
  <c r="E4" i="61"/>
  <c r="E3" i="61"/>
  <c r="E2" i="61"/>
  <c r="D7" i="61"/>
  <c r="D6" i="61"/>
  <c r="D5" i="61"/>
  <c r="D4" i="61"/>
  <c r="D3" i="61"/>
  <c r="D2" i="61"/>
  <c r="E7" i="40"/>
  <c r="E6" i="40"/>
  <c r="E5" i="40"/>
  <c r="E4" i="40"/>
  <c r="E3" i="40"/>
  <c r="E2" i="40"/>
  <c r="D7" i="40"/>
  <c r="D6" i="40"/>
  <c r="D5" i="40"/>
  <c r="D4" i="40"/>
  <c r="D3" i="40"/>
  <c r="D2" i="40"/>
  <c r="E7" i="39"/>
  <c r="E6" i="39"/>
  <c r="E5" i="39"/>
  <c r="E4" i="39"/>
  <c r="E3" i="39"/>
  <c r="E2" i="39"/>
  <c r="D7" i="39"/>
  <c r="D6" i="39"/>
  <c r="D5" i="39"/>
  <c r="D4" i="39"/>
  <c r="D3" i="39"/>
  <c r="D2" i="39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2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" i="38"/>
  <c r="E14" i="37"/>
  <c r="E13" i="37"/>
  <c r="E12" i="37"/>
  <c r="E11" i="37"/>
  <c r="E10" i="37"/>
  <c r="E9" i="37"/>
  <c r="E8" i="37"/>
  <c r="E7" i="37"/>
  <c r="E6" i="37"/>
  <c r="E5" i="37"/>
  <c r="E4" i="37"/>
  <c r="E3" i="37"/>
  <c r="E2" i="37"/>
  <c r="D14" i="37"/>
  <c r="D13" i="37"/>
  <c r="D12" i="37"/>
  <c r="D11" i="37"/>
  <c r="D10" i="37"/>
  <c r="D9" i="37"/>
  <c r="D8" i="37"/>
  <c r="D7" i="37"/>
  <c r="D6" i="37"/>
  <c r="D5" i="37"/>
  <c r="D4" i="37"/>
  <c r="D3" i="37"/>
  <c r="D2" i="37"/>
  <c r="E11" i="36"/>
  <c r="E10" i="36"/>
  <c r="E9" i="36"/>
  <c r="E8" i="36"/>
  <c r="E7" i="36"/>
  <c r="E6" i="36"/>
  <c r="E5" i="36"/>
  <c r="E4" i="36"/>
  <c r="E3" i="36"/>
  <c r="E2" i="36"/>
  <c r="D11" i="36"/>
  <c r="D10" i="36"/>
  <c r="D9" i="36"/>
  <c r="D8" i="36"/>
  <c r="D7" i="36"/>
  <c r="D6" i="36"/>
  <c r="D5" i="36"/>
  <c r="D4" i="36"/>
  <c r="D3" i="36"/>
  <c r="D2" i="36"/>
  <c r="E9" i="35"/>
  <c r="E8" i="35"/>
  <c r="E7" i="35"/>
  <c r="E6" i="35"/>
  <c r="E5" i="35"/>
  <c r="E4" i="35"/>
  <c r="E3" i="35"/>
  <c r="E2" i="35"/>
  <c r="D9" i="35"/>
  <c r="D8" i="35"/>
  <c r="D7" i="35"/>
  <c r="D6" i="35"/>
  <c r="D5" i="35"/>
  <c r="D4" i="35"/>
  <c r="D3" i="35"/>
  <c r="D2" i="35"/>
  <c r="E9" i="33"/>
  <c r="E8" i="33"/>
  <c r="E7" i="33"/>
  <c r="E6" i="33"/>
  <c r="E5" i="33"/>
  <c r="E4" i="33"/>
  <c r="E3" i="33"/>
  <c r="E2" i="33"/>
  <c r="D9" i="33"/>
  <c r="D8" i="33"/>
  <c r="D7" i="33"/>
  <c r="D6" i="33"/>
  <c r="D5" i="33"/>
  <c r="D4" i="33"/>
  <c r="D3" i="33"/>
  <c r="D2" i="33"/>
  <c r="E18" i="32"/>
  <c r="E17" i="32"/>
  <c r="E16" i="32"/>
  <c r="E15" i="32"/>
  <c r="E14" i="32"/>
  <c r="E13" i="32"/>
  <c r="E12" i="32"/>
  <c r="E11" i="32"/>
  <c r="E10" i="32"/>
  <c r="E9" i="32"/>
  <c r="E8" i="32"/>
  <c r="E7" i="32"/>
  <c r="E6" i="32"/>
  <c r="E5" i="32"/>
  <c r="E4" i="32"/>
  <c r="E3" i="32"/>
  <c r="E2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2" i="32"/>
  <c r="E12" i="34"/>
  <c r="E11" i="34"/>
  <c r="E10" i="34"/>
  <c r="E9" i="34"/>
  <c r="E8" i="34"/>
  <c r="E7" i="34"/>
  <c r="E6" i="34"/>
  <c r="E5" i="34"/>
  <c r="E4" i="34"/>
  <c r="E3" i="34"/>
  <c r="E2" i="34"/>
  <c r="D12" i="34"/>
  <c r="D11" i="34"/>
  <c r="D10" i="34"/>
  <c r="D9" i="34"/>
  <c r="D8" i="34"/>
  <c r="D7" i="34"/>
  <c r="D6" i="34"/>
  <c r="D5" i="34"/>
  <c r="D4" i="34"/>
  <c r="D3" i="34"/>
  <c r="D2" i="34"/>
</calcChain>
</file>

<file path=xl/sharedStrings.xml><?xml version="1.0" encoding="utf-8"?>
<sst xmlns="http://schemas.openxmlformats.org/spreadsheetml/2006/main" count="1979" uniqueCount="449">
  <si>
    <t>Brom - 1989</t>
  </si>
  <si>
    <t>Fecteau - 1999</t>
  </si>
  <si>
    <t>Cloitre - 2002</t>
  </si>
  <si>
    <t>Power - 2002</t>
  </si>
  <si>
    <t>Resick - 2002</t>
  </si>
  <si>
    <t>Blanchard - 2003</t>
  </si>
  <si>
    <t>Ehlers - 2003</t>
  </si>
  <si>
    <t>Ehlers - 2005</t>
  </si>
  <si>
    <t>Duffy - 2007</t>
  </si>
  <si>
    <t>Wagner - 2007</t>
  </si>
  <si>
    <t>Dunne in press</t>
  </si>
  <si>
    <t>Studie</t>
  </si>
  <si>
    <t>STd diff in means</t>
  </si>
  <si>
    <t>CI low</t>
  </si>
  <si>
    <t>CI up</t>
  </si>
  <si>
    <t>N group A</t>
  </si>
  <si>
    <t>N group B</t>
  </si>
  <si>
    <t>CI-Level</t>
  </si>
  <si>
    <t xml:space="preserve">Hedges g </t>
  </si>
  <si>
    <t>Study name</t>
  </si>
  <si>
    <t>CBT total N</t>
  </si>
  <si>
    <t>CBT dropout</t>
  </si>
  <si>
    <t>WL total N</t>
  </si>
  <si>
    <t>WL dropout</t>
  </si>
  <si>
    <t>Odds ratio</t>
  </si>
  <si>
    <t>Log odds ratio</t>
  </si>
  <si>
    <t>Keane - 1989</t>
  </si>
  <si>
    <t>Vaughan - 1994</t>
  </si>
  <si>
    <t>Gersons - 2000</t>
  </si>
  <si>
    <t>Bisson - 2004</t>
  </si>
  <si>
    <t>Lindauer - 2005</t>
  </si>
  <si>
    <t>Monson - 2006</t>
  </si>
  <si>
    <t xml:space="preserve">hedges g </t>
  </si>
  <si>
    <t>lower limit</t>
  </si>
  <si>
    <t>upper limit</t>
  </si>
  <si>
    <t xml:space="preserve">CBT N </t>
  </si>
  <si>
    <t xml:space="preserve">Control N </t>
  </si>
  <si>
    <t>Confidence level</t>
  </si>
  <si>
    <t>Basoglu - 2005</t>
  </si>
  <si>
    <t>McDonagh - 2005</t>
  </si>
  <si>
    <t>Pacella - 2011</t>
  </si>
  <si>
    <t>Schnyder - 2011</t>
  </si>
  <si>
    <t>Dunne - in press</t>
  </si>
  <si>
    <t>Std diff in means</t>
  </si>
  <si>
    <t>N</t>
  </si>
  <si>
    <t xml:space="preserve">N </t>
  </si>
  <si>
    <t>CI level</t>
  </si>
  <si>
    <t>Std err</t>
  </si>
  <si>
    <t>Hedges g</t>
  </si>
  <si>
    <t>Ehlers - -2995</t>
  </si>
  <si>
    <t>CBT N</t>
  </si>
  <si>
    <t>Beck - 2009</t>
  </si>
  <si>
    <t>Bryant - 2011</t>
  </si>
  <si>
    <t>Feske - 2008</t>
  </si>
  <si>
    <t>Forbes - 2012</t>
  </si>
  <si>
    <t>Johanson - 2011</t>
  </si>
  <si>
    <t>Mueser - 2008</t>
  </si>
  <si>
    <t>Zlotnick - 2009</t>
  </si>
  <si>
    <t>O'Donnell - in press</t>
  </si>
  <si>
    <t>Askukai - 2010</t>
  </si>
  <si>
    <t>Cooper - 1989</t>
  </si>
  <si>
    <t>Johnson - 2011</t>
  </si>
  <si>
    <t>Nacarasch - 2011</t>
  </si>
  <si>
    <t>confidence level</t>
  </si>
  <si>
    <t>McLay - 2011</t>
  </si>
  <si>
    <t>Nacasch - 2011</t>
  </si>
  <si>
    <t>Neuner - 2010</t>
  </si>
  <si>
    <t>Vera - 2011</t>
  </si>
  <si>
    <t>TFCBT total N</t>
  </si>
  <si>
    <t>TFCBT dropout</t>
  </si>
  <si>
    <t>TAU N</t>
  </si>
  <si>
    <t>TAU dropout</t>
  </si>
  <si>
    <t>Foa - 1991</t>
  </si>
  <si>
    <t>Echeburua - 1997</t>
  </si>
  <si>
    <t>Foa - 1990</t>
  </si>
  <si>
    <t>Taylor - 2003</t>
  </si>
  <si>
    <t>McDonaugh - 2005</t>
  </si>
  <si>
    <t>Echeburua - 1996</t>
  </si>
  <si>
    <t>Echebarua - 1997</t>
  </si>
  <si>
    <t>Foa - 1999</t>
  </si>
  <si>
    <t>Marks - 1998</t>
  </si>
  <si>
    <t>TFCBT N</t>
  </si>
  <si>
    <t>stress manag N</t>
  </si>
  <si>
    <t>stress manag dropout</t>
  </si>
  <si>
    <t>Brom 89</t>
  </si>
  <si>
    <t>Keane 89</t>
  </si>
  <si>
    <t>Foa 91</t>
  </si>
  <si>
    <t>Vaughan 94</t>
  </si>
  <si>
    <t>Fecteau 99</t>
  </si>
  <si>
    <t>Foa 99</t>
  </si>
  <si>
    <t>Gersons 00</t>
  </si>
  <si>
    <t>Cloitre 02</t>
  </si>
  <si>
    <t>Power 02</t>
  </si>
  <si>
    <t>Resick 02</t>
  </si>
  <si>
    <t>Blanchard 03</t>
  </si>
  <si>
    <t>Ehlers 05</t>
  </si>
  <si>
    <t>Kubany 03</t>
  </si>
  <si>
    <t>Kubany 04</t>
  </si>
  <si>
    <t>Rothbaum 05</t>
  </si>
  <si>
    <t xml:space="preserve">TFCBT events </t>
  </si>
  <si>
    <t xml:space="preserve">TFCBT N </t>
  </si>
  <si>
    <t>WL/TAU events</t>
  </si>
  <si>
    <t>WL/TAU N</t>
  </si>
  <si>
    <t>Jensen 94</t>
  </si>
  <si>
    <t>Rothbaum 97</t>
  </si>
  <si>
    <t>Carlson 98</t>
  </si>
  <si>
    <t>EMDR events</t>
  </si>
  <si>
    <t>EMDR N</t>
  </si>
  <si>
    <t>WL events</t>
  </si>
  <si>
    <t>Devilly 99</t>
  </si>
  <si>
    <t>Paunovic 01</t>
  </si>
  <si>
    <t>Ironson 02</t>
  </si>
  <si>
    <t>Lee 02b</t>
  </si>
  <si>
    <t>Taylor 03</t>
  </si>
  <si>
    <t>TFCBT events</t>
  </si>
  <si>
    <t>Adenauer - 2011</t>
  </si>
  <si>
    <t>Asukai - 2010</t>
  </si>
  <si>
    <t>Dunne - 2012</t>
  </si>
  <si>
    <t>Foa  - 2005</t>
  </si>
  <si>
    <t>Galovski - 2012</t>
  </si>
  <si>
    <t>Gamito - 2010</t>
  </si>
  <si>
    <t>Kubany - 2003</t>
  </si>
  <si>
    <t>Kubany - 2004</t>
  </si>
  <si>
    <t>Paunovic - 2011</t>
  </si>
  <si>
    <t>WL N</t>
  </si>
  <si>
    <t>Hensel - Dittmann - 2011</t>
  </si>
  <si>
    <t>nonTFCBT dropout</t>
  </si>
  <si>
    <t>nonTFCBT N</t>
  </si>
  <si>
    <t>Hensel-Dittmann - 2011</t>
  </si>
  <si>
    <t>confidence limit</t>
  </si>
  <si>
    <t>TFCBT diagnosis</t>
  </si>
  <si>
    <t>nonTFCBT diagnosis</t>
  </si>
  <si>
    <t>Bryant - 2003</t>
  </si>
  <si>
    <t>Cloitre - 2010</t>
  </si>
  <si>
    <t>Neuner - 2004</t>
  </si>
  <si>
    <t>Ready - 2010</t>
  </si>
  <si>
    <t>Schnurr - 2007</t>
  </si>
  <si>
    <t>Other therapies N</t>
  </si>
  <si>
    <t>other therapies dropout</t>
  </si>
  <si>
    <t>other therapies N</t>
  </si>
  <si>
    <t>Carlson - 1998</t>
  </si>
  <si>
    <t>Devilly - 1998</t>
  </si>
  <si>
    <t>Hogberg - 2007</t>
  </si>
  <si>
    <t>Jensen - 1994</t>
  </si>
  <si>
    <t>Rothbaum - 1997</t>
  </si>
  <si>
    <t>EMDR dropout</t>
  </si>
  <si>
    <t>Rothbaum - 2005</t>
  </si>
  <si>
    <t xml:space="preserve">lower limit </t>
  </si>
  <si>
    <t>Devilly - 1999</t>
  </si>
  <si>
    <t>Ironson - 2002</t>
  </si>
  <si>
    <t>Lee - 2002</t>
  </si>
  <si>
    <t>Nijdam - 2012</t>
  </si>
  <si>
    <t>Ironson -2002</t>
  </si>
  <si>
    <t>Chard - 2005</t>
  </si>
  <si>
    <t>Hinton - 2011</t>
  </si>
  <si>
    <t>Hollifield - 2007</t>
  </si>
  <si>
    <t>Krakow - 2000</t>
  </si>
  <si>
    <t>Krakow - 2001</t>
  </si>
  <si>
    <t>Zlotnick - 1997</t>
  </si>
  <si>
    <t>Group TFCBT dropout</t>
  </si>
  <si>
    <t>Group TFCBT N</t>
  </si>
  <si>
    <t xml:space="preserve">WL dropout </t>
  </si>
  <si>
    <t>Davis - 2011</t>
  </si>
  <si>
    <t>Davis - 2007</t>
  </si>
  <si>
    <t>Krakow - 2001b</t>
  </si>
  <si>
    <t>Krakow - 2002a</t>
  </si>
  <si>
    <t>Long - 2011</t>
  </si>
  <si>
    <t>Swanson - 2009</t>
  </si>
  <si>
    <t>Ulmer - 2011</t>
  </si>
  <si>
    <t>N pre</t>
  </si>
  <si>
    <t>N post</t>
  </si>
  <si>
    <t>Wilson - 1995</t>
  </si>
  <si>
    <t>Marcus - 1997</t>
  </si>
  <si>
    <t>Scheck - 1998</t>
  </si>
  <si>
    <t>Lytle - 2002</t>
  </si>
  <si>
    <t>Van der Kolk - 2007</t>
  </si>
  <si>
    <t>Karatzias - 2011</t>
  </si>
  <si>
    <t>Dunn - 1996</t>
  </si>
  <si>
    <t>Rogers - 1999</t>
  </si>
  <si>
    <t>Wilsons - 2001</t>
  </si>
  <si>
    <t>Jaberghaderi - 2004</t>
  </si>
  <si>
    <t>Ahmad - 2007</t>
  </si>
  <si>
    <t>Kemp - 2009</t>
  </si>
  <si>
    <t>Wilson - 2001</t>
  </si>
  <si>
    <t>std err</t>
  </si>
  <si>
    <t>Chemtob - 2002</t>
  </si>
  <si>
    <t>Rogers 99</t>
  </si>
  <si>
    <t>Lee 02</t>
  </si>
  <si>
    <t>Capezzani 13</t>
  </si>
  <si>
    <t>Arabia 11</t>
  </si>
  <si>
    <t>Nijdam 12</t>
  </si>
  <si>
    <t>Bryant - 2008</t>
  </si>
  <si>
    <t>Foa - 2004</t>
  </si>
  <si>
    <t>Livanou - 2002</t>
  </si>
  <si>
    <t>Paunovic - 2001</t>
  </si>
  <si>
    <t>Resick - 2008</t>
  </si>
  <si>
    <t>CR+EX N</t>
  </si>
  <si>
    <t>EX N</t>
  </si>
  <si>
    <t>Botella - 2010 b</t>
  </si>
  <si>
    <t>Difede - 2007</t>
  </si>
  <si>
    <t>Ready - 2006</t>
  </si>
  <si>
    <t>Rothbaum - 2001</t>
  </si>
  <si>
    <t>Zlotnick 97</t>
  </si>
  <si>
    <t>Chard 05</t>
  </si>
  <si>
    <t>McDonagh 05 - CBT</t>
  </si>
  <si>
    <t>McDonagh 05 - PCT</t>
  </si>
  <si>
    <t>Cloitre 10 - Stair-PE</t>
  </si>
  <si>
    <t>Cloitre 10 - Stair-Sup</t>
  </si>
  <si>
    <t>Cloitre 10 - Sup-PE</t>
  </si>
  <si>
    <t>Dorrepaal 12</t>
  </si>
  <si>
    <t>variance</t>
  </si>
  <si>
    <t>Carlson -1998</t>
  </si>
  <si>
    <t>Coffey - 2006</t>
  </si>
  <si>
    <t>Echebura - 1997</t>
  </si>
  <si>
    <t>Echebura - 1996</t>
  </si>
  <si>
    <t>Neuner - 2008</t>
  </si>
  <si>
    <t>Vitriol - 2009</t>
  </si>
  <si>
    <t>Study names</t>
  </si>
  <si>
    <t>Reed - 2006</t>
  </si>
  <si>
    <t>Devilly</t>
  </si>
  <si>
    <t>Taylor</t>
  </si>
  <si>
    <t>Rothbaum</t>
  </si>
  <si>
    <t>Johnson</t>
  </si>
  <si>
    <t>Lee</t>
  </si>
  <si>
    <t>Power</t>
  </si>
  <si>
    <t>Ironson</t>
  </si>
  <si>
    <t>Vaughan</t>
  </si>
  <si>
    <t>Marks 98</t>
  </si>
  <si>
    <t>Group A events</t>
  </si>
  <si>
    <t>Group A N</t>
  </si>
  <si>
    <t>Group B events</t>
  </si>
  <si>
    <t>Group B N</t>
  </si>
  <si>
    <t>Brom 89 b</t>
  </si>
  <si>
    <t>Brom 89 c</t>
  </si>
  <si>
    <t>Schaal</t>
  </si>
  <si>
    <t>Tarrier 99</t>
  </si>
  <si>
    <t>Hien 04</t>
  </si>
  <si>
    <t>Basoglu - 2007</t>
  </si>
  <si>
    <t>Foa - 2005</t>
  </si>
  <si>
    <t>Foa - 2009</t>
  </si>
  <si>
    <t>Johnson - 2006</t>
  </si>
  <si>
    <t>Johnson - 2006 b</t>
  </si>
  <si>
    <t>Basoglu</t>
  </si>
  <si>
    <t>Difede</t>
  </si>
  <si>
    <t>Johnson a</t>
  </si>
  <si>
    <t>Johnson b</t>
  </si>
  <si>
    <t>Resick</t>
  </si>
  <si>
    <t>Asukai</t>
  </si>
  <si>
    <t>Diff in means</t>
  </si>
  <si>
    <t>Nacasch</t>
  </si>
  <si>
    <t>Foa 1991</t>
  </si>
  <si>
    <t>Feske</t>
  </si>
  <si>
    <t>Schnurr</t>
  </si>
  <si>
    <t>Ready</t>
  </si>
  <si>
    <t>0.00</t>
  </si>
  <si>
    <t>Arntz - 2007</t>
  </si>
  <si>
    <t>Risk ratio</t>
  </si>
  <si>
    <t>confidence intervall</t>
  </si>
  <si>
    <t>Adenauer</t>
  </si>
  <si>
    <t>Hijazi</t>
  </si>
  <si>
    <t>Hensel-Dittmann</t>
  </si>
  <si>
    <t>Hinton 04</t>
  </si>
  <si>
    <t>Neuner 10</t>
  </si>
  <si>
    <t>Otto 03</t>
  </si>
  <si>
    <t>Stenmark 13</t>
  </si>
  <si>
    <t>Stenmark13 b</t>
  </si>
  <si>
    <t>ter Heider</t>
  </si>
  <si>
    <t>study names</t>
  </si>
  <si>
    <t>Treatment N</t>
  </si>
  <si>
    <t>CG N</t>
  </si>
  <si>
    <t>Allen - 2002</t>
  </si>
  <si>
    <t>Antoni - 2001</t>
  </si>
  <si>
    <t>Antoni - 2006</t>
  </si>
  <si>
    <t>Arving - 2007</t>
  </si>
  <si>
    <t>Branstrom - 2010</t>
  </si>
  <si>
    <t>Chan - 2005</t>
  </si>
  <si>
    <t>Johansson - 2008</t>
  </si>
  <si>
    <t>Manne - 2005</t>
  </si>
  <si>
    <t>Manne - 2007</t>
  </si>
  <si>
    <t>Parker - 2009</t>
  </si>
  <si>
    <t>Scott - 2004</t>
  </si>
  <si>
    <t>Stanton - 2005</t>
  </si>
  <si>
    <t>Wengstrom - 1999</t>
  </si>
  <si>
    <t>Classen 01 b</t>
  </si>
  <si>
    <t>group</t>
  </si>
  <si>
    <t>trau</t>
  </si>
  <si>
    <t>Cloitre 01 a</t>
  </si>
  <si>
    <t>interpersonal, BPD-</t>
  </si>
  <si>
    <t>Cloitre 01 c</t>
  </si>
  <si>
    <t>interpersonal, BPD+</t>
  </si>
  <si>
    <t>Morgan 99 c</t>
  </si>
  <si>
    <t>feminist</t>
  </si>
  <si>
    <t>Paivio 01 b</t>
  </si>
  <si>
    <t>emotional</t>
  </si>
  <si>
    <t>Saxe 99 d</t>
  </si>
  <si>
    <t>victim to survivor</t>
  </si>
  <si>
    <t>Westbury 99 c</t>
  </si>
  <si>
    <t>body feminist</t>
  </si>
  <si>
    <t>Affect management</t>
  </si>
  <si>
    <t>Intervention type</t>
  </si>
  <si>
    <t>Outcome</t>
  </si>
  <si>
    <t>EG N</t>
  </si>
  <si>
    <t>Boudewyns &amp; Hyer 1990</t>
  </si>
  <si>
    <t>Independent groups (std difference)</t>
  </si>
  <si>
    <t>Boudewyns &amp; Hyer 1996 EMDR vs. ST</t>
  </si>
  <si>
    <t>Boudewyns &amp; Hyer 1996 Exposure vs. ST</t>
  </si>
  <si>
    <t>Brom et al. 1989 Hypno vs. WL</t>
  </si>
  <si>
    <t>Brom et al. 1989 Psychodynamic vs. Wl</t>
  </si>
  <si>
    <t>Brom et al. 1989 TD vs. WL</t>
  </si>
  <si>
    <t>Chemtob et al. 1977</t>
  </si>
  <si>
    <t>Cooper &amp; Clum 1989</t>
  </si>
  <si>
    <t>Foa et al. 1991 SIT vs. WL</t>
  </si>
  <si>
    <t>Foa et al. 1991 PE vs. WL</t>
  </si>
  <si>
    <t>Foa et al. 1991 SC vs. WL</t>
  </si>
  <si>
    <t>Foa et al. 1994 SIT vs. WL</t>
  </si>
  <si>
    <t>Foa et al. 1994 PE vs. WL</t>
  </si>
  <si>
    <t>Foa et al. 1994 Sit/PE vs. WL</t>
  </si>
  <si>
    <t>Foa et al. 1995</t>
  </si>
  <si>
    <t>Hammerberg &amp; Silver 1994</t>
  </si>
  <si>
    <t>Jensen 1994</t>
  </si>
  <si>
    <t>Keane et al. 1990</t>
  </si>
  <si>
    <t>Ragsdale et al. 1996</t>
  </si>
  <si>
    <t>Resick &amp; Schnicke 1992</t>
  </si>
  <si>
    <t>Vaughan et al. 1994 EMD vs. WL</t>
  </si>
  <si>
    <t>Vaughan et al. 1994 IHT vs. WL</t>
  </si>
  <si>
    <t>Vaughan et al. 1994 AMR vs. WL</t>
  </si>
  <si>
    <t>Data format</t>
  </si>
  <si>
    <t>versus N</t>
  </si>
  <si>
    <t>erstgenannt N</t>
  </si>
  <si>
    <t>Boudewyns et al. 1990</t>
  </si>
  <si>
    <t>Brom et al. 1989 Psychodynamic vs. WL</t>
  </si>
  <si>
    <t>Peninston 1986</t>
  </si>
  <si>
    <t>Bradley - 2003</t>
  </si>
  <si>
    <t>Falsetti - 2008</t>
  </si>
  <si>
    <t>Harris - 2011</t>
  </si>
  <si>
    <t>Krupnick - 2008</t>
  </si>
  <si>
    <t>Classen - 2011</t>
  </si>
  <si>
    <t>Dunn - 2007</t>
  </si>
  <si>
    <t>Hien - 2009</t>
  </si>
  <si>
    <t>Morland - 2010</t>
  </si>
  <si>
    <t>Schnurr - 2003</t>
  </si>
  <si>
    <t>Sikkerna - 2007</t>
  </si>
  <si>
    <t>Foa 99 - PE+SIT</t>
  </si>
  <si>
    <t>Foa 99 - SIT</t>
  </si>
  <si>
    <t>Foa 99 - PE</t>
  </si>
  <si>
    <t>Foa 91 -PE</t>
  </si>
  <si>
    <t>Foa 91 -SC</t>
  </si>
  <si>
    <t>Foa 91 - SIT</t>
  </si>
  <si>
    <t>Foa 05 - PE+CR</t>
  </si>
  <si>
    <t>Foa 05 - PE</t>
  </si>
  <si>
    <t>Foa 95</t>
  </si>
  <si>
    <t>Resick 03</t>
  </si>
  <si>
    <t>Frank 88 - SD</t>
  </si>
  <si>
    <t>Frank 88 - CBT</t>
  </si>
  <si>
    <t>Echeburua 96 - PMR</t>
  </si>
  <si>
    <t>Echeburua 96 - CR</t>
  </si>
  <si>
    <t>Resick 92</t>
  </si>
  <si>
    <t>Roth 88</t>
  </si>
  <si>
    <t>Basoglu a</t>
  </si>
  <si>
    <t>Basoglu b</t>
  </si>
  <si>
    <t>Dybdahl</t>
  </si>
  <si>
    <t>Igreja</t>
  </si>
  <si>
    <t>Neuner a</t>
  </si>
  <si>
    <t>Neuner b</t>
  </si>
  <si>
    <t>Neuner c</t>
  </si>
  <si>
    <t>Yeomans a</t>
  </si>
  <si>
    <t>Yeomans b</t>
  </si>
  <si>
    <t>Psychological support N</t>
  </si>
  <si>
    <t>yi</t>
  </si>
  <si>
    <t>sei</t>
  </si>
  <si>
    <t>n1</t>
  </si>
  <si>
    <t>n2</t>
  </si>
  <si>
    <t>J</t>
  </si>
  <si>
    <t>p1</t>
  </si>
  <si>
    <t>p2</t>
  </si>
  <si>
    <t>rr</t>
  </si>
  <si>
    <t>log.or</t>
  </si>
  <si>
    <t>log.or.sei</t>
  </si>
  <si>
    <t>ni</t>
  </si>
  <si>
    <t>di</t>
  </si>
  <si>
    <t>sei.d</t>
  </si>
  <si>
    <t>vdi</t>
  </si>
  <si>
    <t>Lower limit</t>
  </si>
  <si>
    <t>n intervention</t>
  </si>
  <si>
    <t>n control</t>
  </si>
  <si>
    <t>CI (%)</t>
  </si>
  <si>
    <t>Frisman - 2008</t>
  </si>
  <si>
    <t>Hien - 2004</t>
  </si>
  <si>
    <t>Morrissey - 2005</t>
  </si>
  <si>
    <t>Najavits - 2006</t>
  </si>
  <si>
    <t>Sacks - 2008</t>
  </si>
  <si>
    <t>Triffleman - 2000</t>
  </si>
  <si>
    <t>gi</t>
  </si>
  <si>
    <t>Brom 1989</t>
  </si>
  <si>
    <t>Foa 1999</t>
  </si>
  <si>
    <t>Power 2002</t>
  </si>
  <si>
    <t>Blanchard 2003</t>
  </si>
  <si>
    <t>Ehlers 2003</t>
  </si>
  <si>
    <t>Ehlers 2005</t>
  </si>
  <si>
    <t>n CBT</t>
  </si>
  <si>
    <t>CBT mean</t>
  </si>
  <si>
    <t>control mean</t>
  </si>
  <si>
    <t>Gersons 2000</t>
  </si>
  <si>
    <t>Vaughan 1994</t>
  </si>
  <si>
    <t>McDonagh 2005</t>
  </si>
  <si>
    <t>Blanchard 2008</t>
  </si>
  <si>
    <t>Clotre 2002</t>
  </si>
  <si>
    <t>Dunne 2012</t>
  </si>
  <si>
    <t>Fecteau 1999</t>
  </si>
  <si>
    <t>Forbes 2012</t>
  </si>
  <si>
    <t>Lindauer 2005</t>
  </si>
  <si>
    <t>Mueser 2008</t>
  </si>
  <si>
    <t>Zang 2013</t>
  </si>
  <si>
    <t>Cooper 1989</t>
  </si>
  <si>
    <t>CBT Std diff</t>
  </si>
  <si>
    <t>control Std diff</t>
  </si>
  <si>
    <t>Echeburua 1997</t>
  </si>
  <si>
    <t>Hensel-Dittmann 2011</t>
  </si>
  <si>
    <t>Marks 1998</t>
  </si>
  <si>
    <t>Taylor 2003</t>
  </si>
  <si>
    <t>n TFCBT</t>
  </si>
  <si>
    <t>TFCBT mean</t>
  </si>
  <si>
    <t>TFCBT Std diff</t>
  </si>
  <si>
    <t>Carlson 1998</t>
  </si>
  <si>
    <t>Power et al. 2002</t>
  </si>
  <si>
    <t>Taylor et al. 2003</t>
  </si>
  <si>
    <t>Std error</t>
  </si>
  <si>
    <t>z</t>
  </si>
  <si>
    <t>p</t>
  </si>
  <si>
    <t>Foa et al. 1991</t>
  </si>
  <si>
    <t>Foa et al. 1999</t>
  </si>
  <si>
    <t>Marks et al. 1998</t>
  </si>
  <si>
    <t>Relsck et al. 2002</t>
  </si>
  <si>
    <t>Coffey 2006</t>
  </si>
  <si>
    <t>Hedges's g</t>
  </si>
  <si>
    <t>Std. error</t>
  </si>
  <si>
    <t>Bohus 13</t>
  </si>
  <si>
    <t>Cloitre 10a</t>
  </si>
  <si>
    <t>Cloitre 10c</t>
  </si>
  <si>
    <t>Edmond 99</t>
  </si>
  <si>
    <t>McDonagh 05a</t>
  </si>
  <si>
    <t>Hedges' g</t>
  </si>
  <si>
    <t>Std. Error</t>
  </si>
  <si>
    <t>Lytle 2002</t>
  </si>
  <si>
    <t>Reed 2006</t>
  </si>
  <si>
    <t>Echebura 1997</t>
  </si>
  <si>
    <t>Echebure 1996</t>
  </si>
  <si>
    <t>Scheck 1998</t>
  </si>
  <si>
    <t>Vitriol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</si>
</sst>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J2" sqref="J2"/>
    </sheetView>
  </sheetViews>
  <sheetFormatPr defaultColWidth="11.42578125" defaultRowHeight="15" x14ac:dyDescent="0.25"/>
  <sheetData>
    <row r="1" spans="1:10" x14ac:dyDescent="0.25">
      <c r="A1" t="s">
        <v>11</v>
      </c>
      <c r="B1" t="s">
        <v>43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368</v>
      </c>
      <c r="I1" t="s">
        <v>381</v>
      </c>
      <c r="J1" t="s">
        <v>369</v>
      </c>
    </row>
    <row r="2" spans="1:10" x14ac:dyDescent="0.25">
      <c r="A2" t="s">
        <v>0</v>
      </c>
      <c r="B2">
        <v>-1.0309999999999999</v>
      </c>
      <c r="C2">
        <v>-1.6259999999999999</v>
      </c>
      <c r="D2">
        <v>-0.436</v>
      </c>
      <c r="E2">
        <v>27</v>
      </c>
      <c r="F2">
        <v>23</v>
      </c>
      <c r="G2">
        <v>0.95</v>
      </c>
      <c r="H2">
        <v>-1.0309999999999999</v>
      </c>
      <c r="I2">
        <f>($E2+$F2)/($E2*$F2)+$H2^2/(2*($E2+$F2))</f>
        <v>9.1144907906602249E-2</v>
      </c>
      <c r="J2">
        <f>SQRT($I2)</f>
        <v>0.30190214955611405</v>
      </c>
    </row>
    <row r="3" spans="1:10" x14ac:dyDescent="0.25">
      <c r="A3" t="s">
        <v>1</v>
      </c>
      <c r="B3">
        <v>-1.8</v>
      </c>
      <c r="C3">
        <v>-2.875</v>
      </c>
      <c r="D3">
        <v>-0.72499999999999998</v>
      </c>
      <c r="E3">
        <v>10</v>
      </c>
      <c r="F3">
        <v>10</v>
      </c>
      <c r="G3">
        <v>0.95</v>
      </c>
      <c r="H3">
        <v>-1.8</v>
      </c>
      <c r="I3">
        <f t="shared" ref="I3:I12" si="0">($E3+$F3)/($E3*$F3)+$H3^2/(2*($E3+$F3))</f>
        <v>0.28100000000000003</v>
      </c>
      <c r="J3">
        <f t="shared" ref="J3:J12" si="1">SQRT($I3)</f>
        <v>0.53009433122794292</v>
      </c>
    </row>
    <row r="4" spans="1:10" x14ac:dyDescent="0.25">
      <c r="A4" t="s">
        <v>2</v>
      </c>
      <c r="B4">
        <v>-1.0129999999999999</v>
      </c>
      <c r="C4">
        <v>-1.631</v>
      </c>
      <c r="D4">
        <v>-0.39600000000000002</v>
      </c>
      <c r="E4">
        <v>22</v>
      </c>
      <c r="F4">
        <v>24</v>
      </c>
      <c r="G4">
        <v>0.95</v>
      </c>
      <c r="H4">
        <v>-1.0129999999999999</v>
      </c>
      <c r="I4">
        <f t="shared" si="0"/>
        <v>9.8275222990777344E-2</v>
      </c>
      <c r="J4">
        <f t="shared" si="1"/>
        <v>0.31348879244843403</v>
      </c>
    </row>
    <row r="5" spans="1:10" x14ac:dyDescent="0.25">
      <c r="A5" t="s">
        <v>3</v>
      </c>
      <c r="B5">
        <v>-0.97499999999999998</v>
      </c>
      <c r="C5">
        <v>-1.597</v>
      </c>
      <c r="D5">
        <v>-0.35199999999999998</v>
      </c>
      <c r="E5">
        <v>21</v>
      </c>
      <c r="F5">
        <v>24</v>
      </c>
      <c r="G5">
        <v>0.95</v>
      </c>
      <c r="H5">
        <v>-0.97499999999999998</v>
      </c>
      <c r="I5">
        <f t="shared" si="0"/>
        <v>9.984821428571429E-2</v>
      </c>
      <c r="J5">
        <f t="shared" si="1"/>
        <v>0.31598768059168747</v>
      </c>
    </row>
    <row r="6" spans="1:10" x14ac:dyDescent="0.25">
      <c r="A6" t="s">
        <v>4</v>
      </c>
      <c r="B6">
        <v>-1.0509999999999999</v>
      </c>
      <c r="C6">
        <v>-1.405</v>
      </c>
      <c r="D6">
        <v>-0.69699999999999995</v>
      </c>
      <c r="E6">
        <v>124</v>
      </c>
      <c r="F6">
        <v>47</v>
      </c>
      <c r="G6">
        <v>0.95</v>
      </c>
      <c r="H6">
        <v>-1.0509999999999999</v>
      </c>
      <c r="I6">
        <f t="shared" si="0"/>
        <v>3.2570939359093228E-2</v>
      </c>
      <c r="J6">
        <f t="shared" si="1"/>
        <v>0.18047420690805993</v>
      </c>
    </row>
    <row r="7" spans="1:10" x14ac:dyDescent="0.25">
      <c r="A7" t="s">
        <v>5</v>
      </c>
      <c r="B7">
        <v>-1.506</v>
      </c>
      <c r="C7">
        <v>-2.1339999999999999</v>
      </c>
      <c r="D7">
        <v>-0.877</v>
      </c>
      <c r="E7">
        <v>27</v>
      </c>
      <c r="F7">
        <v>24</v>
      </c>
      <c r="G7">
        <v>0.95</v>
      </c>
      <c r="H7">
        <v>-1.506</v>
      </c>
      <c r="I7">
        <f t="shared" si="0"/>
        <v>0.10093935076252723</v>
      </c>
      <c r="J7">
        <f t="shared" si="1"/>
        <v>0.31770953835622756</v>
      </c>
    </row>
    <row r="8" spans="1:10" x14ac:dyDescent="0.25">
      <c r="A8" t="s">
        <v>6</v>
      </c>
      <c r="B8">
        <v>-1.3220000000000001</v>
      </c>
      <c r="C8">
        <v>-1.91</v>
      </c>
      <c r="D8">
        <v>-0.73499999999999999</v>
      </c>
      <c r="E8">
        <v>28</v>
      </c>
      <c r="F8">
        <v>27</v>
      </c>
      <c r="G8">
        <v>0.95</v>
      </c>
      <c r="H8">
        <v>-1.3220000000000001</v>
      </c>
      <c r="I8">
        <f t="shared" si="0"/>
        <v>8.8639359114959113E-2</v>
      </c>
      <c r="J8">
        <f t="shared" si="1"/>
        <v>0.29772362874813801</v>
      </c>
    </row>
    <row r="9" spans="1:10" x14ac:dyDescent="0.25">
      <c r="A9" t="s">
        <v>7</v>
      </c>
      <c r="B9">
        <v>-2.1880000000000002</v>
      </c>
      <c r="C9">
        <v>-3.153</v>
      </c>
      <c r="D9">
        <v>-1.2230000000000001</v>
      </c>
      <c r="E9">
        <v>14</v>
      </c>
      <c r="F9">
        <v>14</v>
      </c>
      <c r="G9">
        <v>0.95</v>
      </c>
      <c r="H9">
        <v>-2.1880000000000002</v>
      </c>
      <c r="I9">
        <f t="shared" si="0"/>
        <v>0.22834542857142859</v>
      </c>
      <c r="J9">
        <f t="shared" si="1"/>
        <v>0.47785502882299835</v>
      </c>
    </row>
    <row r="10" spans="1:10" x14ac:dyDescent="0.25">
      <c r="A10" t="s">
        <v>8</v>
      </c>
      <c r="B10">
        <v>-0.875</v>
      </c>
      <c r="C10">
        <v>-1.4159999999999999</v>
      </c>
      <c r="D10">
        <v>-0.33500000000000002</v>
      </c>
      <c r="E10">
        <v>29</v>
      </c>
      <c r="F10">
        <v>29</v>
      </c>
      <c r="G10">
        <v>0.95</v>
      </c>
      <c r="H10">
        <v>-0.875</v>
      </c>
      <c r="I10">
        <f t="shared" si="0"/>
        <v>7.5565732758620691E-2</v>
      </c>
      <c r="J10">
        <f t="shared" si="1"/>
        <v>0.27489222025845089</v>
      </c>
    </row>
    <row r="11" spans="1:10" x14ac:dyDescent="0.25">
      <c r="A11" t="s">
        <v>9</v>
      </c>
      <c r="B11">
        <v>-0.61199999999999999</v>
      </c>
      <c r="C11">
        <v>-2.06</v>
      </c>
      <c r="D11">
        <v>0.83699999999999997</v>
      </c>
      <c r="E11">
        <v>4</v>
      </c>
      <c r="F11">
        <v>4</v>
      </c>
      <c r="G11">
        <v>0.95</v>
      </c>
      <c r="H11">
        <v>-0.61199999999999999</v>
      </c>
      <c r="I11">
        <f t="shared" si="0"/>
        <v>0.52340900000000001</v>
      </c>
      <c r="J11">
        <f t="shared" si="1"/>
        <v>0.723470109956175</v>
      </c>
    </row>
    <row r="12" spans="1:10" x14ac:dyDescent="0.25">
      <c r="A12" t="s">
        <v>10</v>
      </c>
      <c r="B12">
        <v>-0.92300000000000004</v>
      </c>
      <c r="C12">
        <v>-1.7390000000000001</v>
      </c>
      <c r="D12">
        <v>-0.108</v>
      </c>
      <c r="E12">
        <v>13</v>
      </c>
      <c r="F12">
        <v>13</v>
      </c>
      <c r="G12">
        <v>0.95</v>
      </c>
      <c r="H12">
        <v>-0.92300000000000004</v>
      </c>
      <c r="I12">
        <f t="shared" si="0"/>
        <v>0.17022940384615387</v>
      </c>
      <c r="J12">
        <f t="shared" si="1"/>
        <v>0.41258866180028975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I2" sqref="I2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0</v>
      </c>
      <c r="B2">
        <v>32</v>
      </c>
      <c r="C2">
        <v>12</v>
      </c>
      <c r="D2">
        <v>24</v>
      </c>
      <c r="E2">
        <v>17</v>
      </c>
      <c r="F2">
        <f>$C2/$B2</f>
        <v>0.375</v>
      </c>
      <c r="G2">
        <f>$E2/$D2</f>
        <v>0.70833333333333337</v>
      </c>
      <c r="H2">
        <f>$F2/$G2</f>
        <v>0.52941176470588236</v>
      </c>
      <c r="I2">
        <f>LN($H2)</f>
        <v>-0.63598876671999671</v>
      </c>
      <c r="J2">
        <f>SQRT((1-$F2)/($B2*$F2)+(1-$G2)/($D2*$G2))</f>
        <v>0.26313531894907488</v>
      </c>
      <c r="K2">
        <f>LN(($C2*($D2-$E2))/(($B2-$C2)*$E2))</f>
        <v>-1.3981288187668934</v>
      </c>
      <c r="L2">
        <f>SQRT(1/$C2+1/($B2-$C2)+1/$E2+1/($D2-$E2))</f>
        <v>0.57880394401061308</v>
      </c>
      <c r="M2">
        <f>$B2+$D2</f>
        <v>56</v>
      </c>
    </row>
    <row r="3" spans="1:13" x14ac:dyDescent="0.25">
      <c r="A3" t="s">
        <v>26</v>
      </c>
      <c r="B3">
        <v>12</v>
      </c>
      <c r="C3">
        <v>4</v>
      </c>
      <c r="D3">
        <v>14</v>
      </c>
      <c r="E3">
        <v>13</v>
      </c>
      <c r="F3">
        <f t="shared" ref="F3:F11" si="0">$C3/$B3</f>
        <v>0.33333333333333331</v>
      </c>
      <c r="G3">
        <f t="shared" ref="G3:G11" si="1">$E3/$D3</f>
        <v>0.9285714285714286</v>
      </c>
      <c r="H3">
        <f t="shared" ref="H3:H11" si="2">$F3/$G3</f>
        <v>0.35897435897435892</v>
      </c>
      <c r="I3">
        <f t="shared" ref="I3:I11" si="3">LN($H3)</f>
        <v>-1.0245043165143879</v>
      </c>
      <c r="J3">
        <f t="shared" ref="J3:J11" si="4">SQRT((1-$F3)/($B3*$F3)+(1-$G3)/($D3*$G3))</f>
        <v>0.4149230918630249</v>
      </c>
      <c r="K3">
        <f t="shared" ref="K3:K11" si="5">LN(($C3*($D3-$E3))/(($B3-$C3)*$E3))</f>
        <v>-3.2580965380214821</v>
      </c>
      <c r="L3">
        <f t="shared" ref="L3:L11" si="6">SQRT(1/$C3+1/($B3-$C3)+1/$E3+1/($D3-$E3))</f>
        <v>1.2049577075246569</v>
      </c>
      <c r="M3">
        <f t="shared" ref="M3:M11" si="7">$B3+$D3</f>
        <v>26</v>
      </c>
    </row>
    <row r="4" spans="1:13" x14ac:dyDescent="0.25">
      <c r="A4" t="s">
        <v>27</v>
      </c>
      <c r="B4">
        <v>14</v>
      </c>
      <c r="C4">
        <v>6</v>
      </c>
      <c r="D4">
        <v>18</v>
      </c>
      <c r="E4">
        <v>17</v>
      </c>
      <c r="F4">
        <f t="shared" si="0"/>
        <v>0.42857142857142855</v>
      </c>
      <c r="G4">
        <f t="shared" si="1"/>
        <v>0.94444444444444442</v>
      </c>
      <c r="H4">
        <f t="shared" si="2"/>
        <v>0.45378151260504201</v>
      </c>
      <c r="I4">
        <f t="shared" si="3"/>
        <v>-0.79013944654725499</v>
      </c>
      <c r="J4">
        <f t="shared" si="4"/>
        <v>0.31385676525176959</v>
      </c>
      <c r="K4">
        <f t="shared" si="5"/>
        <v>-3.120895416507997</v>
      </c>
      <c r="L4">
        <f t="shared" si="6"/>
        <v>1.1621059315219209</v>
      </c>
      <c r="M4">
        <f t="shared" si="7"/>
        <v>32</v>
      </c>
    </row>
    <row r="5" spans="1:13" x14ac:dyDescent="0.25">
      <c r="A5" t="s">
        <v>28</v>
      </c>
      <c r="B5">
        <v>23</v>
      </c>
      <c r="C5">
        <v>2</v>
      </c>
      <c r="D5">
        <v>21</v>
      </c>
      <c r="E5">
        <v>10</v>
      </c>
      <c r="F5">
        <f t="shared" si="0"/>
        <v>8.6956521739130432E-2</v>
      </c>
      <c r="G5">
        <f t="shared" si="1"/>
        <v>0.47619047619047616</v>
      </c>
      <c r="H5">
        <f t="shared" si="2"/>
        <v>0.18260869565217391</v>
      </c>
      <c r="I5">
        <f t="shared" si="3"/>
        <v>-1.7004096906398272</v>
      </c>
      <c r="J5">
        <f t="shared" si="4"/>
        <v>0.71337415954840078</v>
      </c>
      <c r="K5">
        <f t="shared" si="5"/>
        <v>-2.2560650773591528</v>
      </c>
      <c r="L5">
        <f t="shared" si="6"/>
        <v>0.85937659877852068</v>
      </c>
      <c r="M5">
        <f t="shared" si="7"/>
        <v>44</v>
      </c>
    </row>
    <row r="6" spans="1:13" x14ac:dyDescent="0.25">
      <c r="A6" t="s">
        <v>4</v>
      </c>
      <c r="B6">
        <v>125</v>
      </c>
      <c r="C6">
        <v>58</v>
      </c>
      <c r="D6">
        <v>46</v>
      </c>
      <c r="E6">
        <v>44</v>
      </c>
      <c r="F6">
        <f t="shared" si="0"/>
        <v>0.46400000000000002</v>
      </c>
      <c r="G6">
        <f t="shared" si="1"/>
        <v>0.95652173913043481</v>
      </c>
      <c r="H6">
        <f t="shared" si="2"/>
        <v>0.48509090909090913</v>
      </c>
      <c r="I6">
        <f t="shared" si="3"/>
        <v>-0.72341896418504792</v>
      </c>
      <c r="J6">
        <f t="shared" si="4"/>
        <v>0.10114109749668998</v>
      </c>
      <c r="K6">
        <f t="shared" si="5"/>
        <v>-3.2352920622028627</v>
      </c>
      <c r="L6">
        <f t="shared" si="6"/>
        <v>0.74491209224441102</v>
      </c>
      <c r="M6">
        <f t="shared" si="7"/>
        <v>171</v>
      </c>
    </row>
    <row r="7" spans="1:13" x14ac:dyDescent="0.25">
      <c r="A7" t="s">
        <v>29</v>
      </c>
      <c r="B7">
        <v>77</v>
      </c>
      <c r="C7">
        <v>29</v>
      </c>
      <c r="D7">
        <v>77</v>
      </c>
      <c r="E7">
        <v>35</v>
      </c>
      <c r="F7">
        <f t="shared" si="0"/>
        <v>0.37662337662337664</v>
      </c>
      <c r="G7">
        <f t="shared" si="1"/>
        <v>0.45454545454545453</v>
      </c>
      <c r="H7">
        <f t="shared" si="2"/>
        <v>0.82857142857142863</v>
      </c>
      <c r="I7">
        <f t="shared" si="3"/>
        <v>-0.18805223150293959</v>
      </c>
      <c r="J7">
        <f t="shared" si="4"/>
        <v>0.19256209704428401</v>
      </c>
      <c r="K7">
        <f t="shared" si="5"/>
        <v>-0.32158362412746233</v>
      </c>
      <c r="L7">
        <f t="shared" si="6"/>
        <v>0.32817227843767571</v>
      </c>
      <c r="M7">
        <f t="shared" si="7"/>
        <v>154</v>
      </c>
    </row>
    <row r="8" spans="1:13" x14ac:dyDescent="0.25">
      <c r="A8" t="s">
        <v>7</v>
      </c>
      <c r="B8">
        <v>15</v>
      </c>
      <c r="C8">
        <v>4</v>
      </c>
      <c r="D8">
        <v>15</v>
      </c>
      <c r="E8">
        <v>14</v>
      </c>
      <c r="F8">
        <f t="shared" si="0"/>
        <v>0.26666666666666666</v>
      </c>
      <c r="G8">
        <f t="shared" si="1"/>
        <v>0.93333333333333335</v>
      </c>
      <c r="H8">
        <f t="shared" si="2"/>
        <v>0.2857142857142857</v>
      </c>
      <c r="I8">
        <f t="shared" si="3"/>
        <v>-1.2527629684953681</v>
      </c>
      <c r="J8">
        <f t="shared" si="4"/>
        <v>0.43369947901195144</v>
      </c>
      <c r="K8">
        <f t="shared" si="5"/>
        <v>-3.6506582412937383</v>
      </c>
      <c r="L8">
        <f t="shared" si="6"/>
        <v>1.1884181344702136</v>
      </c>
      <c r="M8">
        <f t="shared" si="7"/>
        <v>30</v>
      </c>
    </row>
    <row r="9" spans="1:13" x14ac:dyDescent="0.25">
      <c r="A9" t="s">
        <v>30</v>
      </c>
      <c r="B9">
        <v>13</v>
      </c>
      <c r="C9">
        <v>2</v>
      </c>
      <c r="D9">
        <v>13</v>
      </c>
      <c r="E9">
        <v>9</v>
      </c>
      <c r="F9">
        <f t="shared" si="0"/>
        <v>0.15384615384615385</v>
      </c>
      <c r="G9">
        <f t="shared" si="1"/>
        <v>0.69230769230769229</v>
      </c>
      <c r="H9">
        <f t="shared" si="2"/>
        <v>0.22222222222222224</v>
      </c>
      <c r="I9">
        <f t="shared" si="3"/>
        <v>-1.5040773967762739</v>
      </c>
      <c r="J9">
        <f t="shared" si="4"/>
        <v>0.67621369201233805</v>
      </c>
      <c r="K9">
        <f t="shared" si="5"/>
        <v>-2.515678308454754</v>
      </c>
      <c r="L9">
        <f t="shared" si="6"/>
        <v>0.97571522588314774</v>
      </c>
      <c r="M9">
        <f t="shared" si="7"/>
        <v>26</v>
      </c>
    </row>
    <row r="10" spans="1:13" x14ac:dyDescent="0.25">
      <c r="A10" t="s">
        <v>31</v>
      </c>
      <c r="B10">
        <v>31</v>
      </c>
      <c r="C10">
        <v>18</v>
      </c>
      <c r="D10">
        <v>31</v>
      </c>
      <c r="E10">
        <v>29</v>
      </c>
      <c r="F10">
        <f t="shared" si="0"/>
        <v>0.58064516129032262</v>
      </c>
      <c r="G10">
        <f t="shared" si="1"/>
        <v>0.93548387096774188</v>
      </c>
      <c r="H10">
        <f t="shared" si="2"/>
        <v>0.62068965517241392</v>
      </c>
      <c r="I10">
        <f t="shared" si="3"/>
        <v>-0.47692407209030913</v>
      </c>
      <c r="J10">
        <f t="shared" si="4"/>
        <v>0.1597566435050109</v>
      </c>
      <c r="K10">
        <f t="shared" si="5"/>
        <v>-2.348726248991901</v>
      </c>
      <c r="L10">
        <f t="shared" si="6"/>
        <v>0.81667704210374503</v>
      </c>
      <c r="M10">
        <f t="shared" si="7"/>
        <v>62</v>
      </c>
    </row>
    <row r="11" spans="1:13" x14ac:dyDescent="0.25">
      <c r="A11" t="s">
        <v>10</v>
      </c>
      <c r="B11">
        <v>14</v>
      </c>
      <c r="C11">
        <v>5</v>
      </c>
      <c r="D11">
        <v>14</v>
      </c>
      <c r="E11">
        <v>12</v>
      </c>
      <c r="F11">
        <f t="shared" si="0"/>
        <v>0.35714285714285715</v>
      </c>
      <c r="G11">
        <f t="shared" si="1"/>
        <v>0.8571428571428571</v>
      </c>
      <c r="H11">
        <f t="shared" si="2"/>
        <v>0.41666666666666669</v>
      </c>
      <c r="I11">
        <f t="shared" si="3"/>
        <v>-0.87546873735389985</v>
      </c>
      <c r="J11">
        <f t="shared" si="4"/>
        <v>0.37480153478366451</v>
      </c>
      <c r="K11">
        <f t="shared" si="5"/>
        <v>-2.379546134130174</v>
      </c>
      <c r="L11">
        <f t="shared" si="6"/>
        <v>0.94575073060740711</v>
      </c>
      <c r="M11">
        <f t="shared" si="7"/>
        <v>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J2" sqref="J2"/>
    </sheetView>
  </sheetViews>
  <sheetFormatPr defaultColWidth="11.42578125" defaultRowHeight="15" x14ac:dyDescent="0.25"/>
  <sheetData>
    <row r="1" spans="1:12" x14ac:dyDescent="0.25">
      <c r="A1" t="s">
        <v>19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392</v>
      </c>
      <c r="I1" t="s">
        <v>372</v>
      </c>
      <c r="J1" t="s">
        <v>368</v>
      </c>
      <c r="K1" t="s">
        <v>381</v>
      </c>
      <c r="L1" t="s">
        <v>369</v>
      </c>
    </row>
    <row r="2" spans="1:12" x14ac:dyDescent="0.25">
      <c r="A2" t="s">
        <v>0</v>
      </c>
      <c r="B2">
        <v>-1.0309999999999999</v>
      </c>
      <c r="C2">
        <v>-1.6259999999999999</v>
      </c>
      <c r="D2">
        <v>-0.436</v>
      </c>
      <c r="E2">
        <v>27</v>
      </c>
      <c r="F2">
        <v>28</v>
      </c>
      <c r="G2">
        <v>0.95</v>
      </c>
      <c r="H2">
        <f>$B2</f>
        <v>-1.0309999999999999</v>
      </c>
      <c r="I2">
        <f>1-3/(4*($E2+$F2-2)-1)</f>
        <v>0.98578199052132698</v>
      </c>
      <c r="J2">
        <f>$H2/$I2</f>
        <v>-1.0458701923076923</v>
      </c>
      <c r="K2">
        <f>($E2+$F2)/($E2*$F2)+$J2^2/(2*($E2+$F2))</f>
        <v>8.2695363289120291E-2</v>
      </c>
      <c r="L2">
        <f>SQRT($K2)</f>
        <v>0.28756801506621055</v>
      </c>
    </row>
    <row r="3" spans="1:12" x14ac:dyDescent="0.25">
      <c r="A3" t="s">
        <v>4</v>
      </c>
      <c r="B3">
        <v>-1.0509999999999999</v>
      </c>
      <c r="C3">
        <v>-1.405</v>
      </c>
      <c r="D3">
        <v>-0.69699999999999995</v>
      </c>
      <c r="E3">
        <v>124</v>
      </c>
      <c r="F3">
        <v>47</v>
      </c>
      <c r="G3">
        <v>0.95</v>
      </c>
      <c r="H3">
        <f t="shared" ref="H3:H7" si="0">$B3</f>
        <v>-1.0509999999999999</v>
      </c>
      <c r="I3">
        <f t="shared" ref="I3:I7" si="1">1-3/(4*($E3+$F3-2)-1)</f>
        <v>0.99555555555555553</v>
      </c>
      <c r="J3">
        <f t="shared" ref="J3:J7" si="2">$H3/$I3</f>
        <v>-1.0556919642857143</v>
      </c>
      <c r="K3">
        <f t="shared" ref="K3:K7" si="3">($E3+$F3)/($E3*$F3)+$J3^2/(2*($E3+$F3))</f>
        <v>3.2599841474465825E-2</v>
      </c>
      <c r="L3">
        <f t="shared" ref="L3:L7" si="4">SQRT($K3)</f>
        <v>0.18055426185627915</v>
      </c>
    </row>
    <row r="4" spans="1:12" x14ac:dyDescent="0.25">
      <c r="A4" t="s">
        <v>7</v>
      </c>
      <c r="B4">
        <v>-2.1880000000000002</v>
      </c>
      <c r="C4">
        <v>-3.153</v>
      </c>
      <c r="D4">
        <v>-1.2230000000000001</v>
      </c>
      <c r="E4">
        <v>14</v>
      </c>
      <c r="F4">
        <v>14</v>
      </c>
      <c r="G4">
        <v>0.95</v>
      </c>
      <c r="H4">
        <f t="shared" si="0"/>
        <v>-2.1880000000000002</v>
      </c>
      <c r="I4">
        <f t="shared" si="1"/>
        <v>0.970873786407767</v>
      </c>
      <c r="J4">
        <f t="shared" si="2"/>
        <v>-2.2536400000000003</v>
      </c>
      <c r="K4">
        <f t="shared" si="3"/>
        <v>0.23355166517142859</v>
      </c>
      <c r="L4">
        <f t="shared" si="4"/>
        <v>0.48327183362102594</v>
      </c>
    </row>
    <row r="5" spans="1:12" x14ac:dyDescent="0.25">
      <c r="A5" t="s">
        <v>8</v>
      </c>
      <c r="B5">
        <v>-0.875</v>
      </c>
      <c r="C5">
        <v>-1.4159999999999999</v>
      </c>
      <c r="D5">
        <v>-0.33500000000000002</v>
      </c>
      <c r="E5">
        <v>29</v>
      </c>
      <c r="F5">
        <v>29</v>
      </c>
      <c r="G5">
        <v>0.95</v>
      </c>
      <c r="H5">
        <f t="shared" si="0"/>
        <v>-0.875</v>
      </c>
      <c r="I5">
        <f t="shared" si="1"/>
        <v>0.98654708520179368</v>
      </c>
      <c r="J5">
        <f t="shared" si="2"/>
        <v>-0.88693181818181821</v>
      </c>
      <c r="K5">
        <f t="shared" si="3"/>
        <v>7.5746965949166425E-2</v>
      </c>
      <c r="L5">
        <f t="shared" si="4"/>
        <v>0.27522166693261346</v>
      </c>
    </row>
    <row r="6" spans="1:12" x14ac:dyDescent="0.25">
      <c r="A6" t="s">
        <v>9</v>
      </c>
      <c r="B6">
        <v>-0.61199999999999999</v>
      </c>
      <c r="C6">
        <v>-2.06</v>
      </c>
      <c r="D6">
        <v>0.83699999999999997</v>
      </c>
      <c r="E6">
        <v>4</v>
      </c>
      <c r="F6">
        <v>4</v>
      </c>
      <c r="G6">
        <v>0.95</v>
      </c>
      <c r="H6">
        <f t="shared" si="0"/>
        <v>-0.61199999999999999</v>
      </c>
      <c r="I6">
        <f t="shared" si="1"/>
        <v>0.86956521739130432</v>
      </c>
      <c r="J6">
        <f t="shared" si="2"/>
        <v>-0.70379999999999998</v>
      </c>
      <c r="K6">
        <f t="shared" si="3"/>
        <v>0.53095840250000004</v>
      </c>
      <c r="L6">
        <f t="shared" si="4"/>
        <v>0.72866892516423398</v>
      </c>
    </row>
    <row r="7" spans="1:12" x14ac:dyDescent="0.25">
      <c r="A7" t="s">
        <v>10</v>
      </c>
      <c r="B7">
        <v>-0.92300000000000004</v>
      </c>
      <c r="C7">
        <v>-1.7390000000000001</v>
      </c>
      <c r="D7">
        <v>-0.108</v>
      </c>
      <c r="E7">
        <v>13</v>
      </c>
      <c r="F7">
        <v>13</v>
      </c>
      <c r="G7">
        <v>0.95</v>
      </c>
      <c r="H7">
        <f t="shared" si="0"/>
        <v>-0.92300000000000004</v>
      </c>
      <c r="I7">
        <f t="shared" si="1"/>
        <v>0.96842105263157896</v>
      </c>
      <c r="J7">
        <f t="shared" si="2"/>
        <v>-0.95309782608695659</v>
      </c>
      <c r="K7">
        <f t="shared" si="3"/>
        <v>0.17131529742484006</v>
      </c>
      <c r="L7">
        <f t="shared" si="4"/>
        <v>0.41390252164590646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G1" sqref="G1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45</v>
      </c>
      <c r="G1" t="s">
        <v>46</v>
      </c>
      <c r="H1" t="s">
        <v>368</v>
      </c>
      <c r="I1" t="s">
        <v>381</v>
      </c>
      <c r="J1" t="s">
        <v>369</v>
      </c>
    </row>
    <row r="2" spans="1:10" x14ac:dyDescent="0.25">
      <c r="A2" t="s">
        <v>27</v>
      </c>
      <c r="B2">
        <v>-0.48599999999999999</v>
      </c>
      <c r="C2">
        <v>-1.2210000000000001</v>
      </c>
      <c r="D2">
        <v>0.248</v>
      </c>
      <c r="E2">
        <v>13</v>
      </c>
      <c r="F2">
        <v>17</v>
      </c>
      <c r="G2">
        <v>0.95</v>
      </c>
      <c r="H2">
        <f>$B2</f>
        <v>-0.48599999999999999</v>
      </c>
      <c r="I2">
        <f>($E2+$F2)/($E2*$F2)+$H2^2/(2*($E2+$F2))</f>
        <v>0.13968320633484163</v>
      </c>
      <c r="J2">
        <f>SQRT($I2)</f>
        <v>0.37374216558322881</v>
      </c>
    </row>
    <row r="3" spans="1:10" x14ac:dyDescent="0.25">
      <c r="A3" t="s">
        <v>28</v>
      </c>
      <c r="B3">
        <v>-0.86399999999999999</v>
      </c>
      <c r="C3">
        <v>-1.5</v>
      </c>
      <c r="D3">
        <v>-0.22800000000000001</v>
      </c>
      <c r="E3">
        <v>22</v>
      </c>
      <c r="F3">
        <v>20</v>
      </c>
      <c r="G3">
        <v>0.95</v>
      </c>
      <c r="H3">
        <f t="shared" ref="H3:H12" si="0">$B3</f>
        <v>-0.86399999999999999</v>
      </c>
      <c r="I3">
        <f t="shared" ref="I3:I12" si="1">($E3+$F3)/($E3*$F3)+$H3^2/(2*($E3+$F3))</f>
        <v>0.1043414025974026</v>
      </c>
      <c r="J3">
        <f t="shared" ref="J3:J12" si="2">SQRT($I3)</f>
        <v>0.32301919849662591</v>
      </c>
    </row>
    <row r="4" spans="1:10" x14ac:dyDescent="0.25">
      <c r="A4" t="s">
        <v>4</v>
      </c>
      <c r="B4">
        <v>-0.77900000000000003</v>
      </c>
      <c r="C4">
        <v>-1.1259999999999999</v>
      </c>
      <c r="D4">
        <v>-0.433</v>
      </c>
      <c r="E4">
        <v>122</v>
      </c>
      <c r="F4">
        <v>47</v>
      </c>
      <c r="G4">
        <v>0.95</v>
      </c>
      <c r="H4">
        <f t="shared" si="0"/>
        <v>-0.77900000000000003</v>
      </c>
      <c r="I4">
        <f t="shared" si="1"/>
        <v>3.1268704630120762E-2</v>
      </c>
      <c r="J4">
        <f t="shared" si="2"/>
        <v>0.17682959206569687</v>
      </c>
    </row>
    <row r="5" spans="1:10" x14ac:dyDescent="0.25">
      <c r="A5" t="s">
        <v>7</v>
      </c>
      <c r="B5">
        <v>-1.0649999999999999</v>
      </c>
      <c r="C5">
        <v>-1.865</v>
      </c>
      <c r="D5">
        <v>-0.26500000000000001</v>
      </c>
      <c r="E5">
        <v>14</v>
      </c>
      <c r="F5">
        <v>14</v>
      </c>
      <c r="G5">
        <v>0.95</v>
      </c>
      <c r="H5">
        <f t="shared" si="0"/>
        <v>-1.0649999999999999</v>
      </c>
      <c r="I5">
        <f t="shared" si="1"/>
        <v>0.16311116071428569</v>
      </c>
      <c r="J5">
        <f t="shared" si="2"/>
        <v>0.40387022756609048</v>
      </c>
    </row>
    <row r="6" spans="1:10" x14ac:dyDescent="0.25">
      <c r="A6" t="s">
        <v>38</v>
      </c>
      <c r="B6">
        <v>-9.4E-2</v>
      </c>
      <c r="C6">
        <v>-0.60499999999999998</v>
      </c>
      <c r="D6">
        <v>0.41799999999999998</v>
      </c>
      <c r="E6">
        <v>31</v>
      </c>
      <c r="F6">
        <v>28</v>
      </c>
      <c r="G6">
        <v>0.95</v>
      </c>
      <c r="H6">
        <f t="shared" si="0"/>
        <v>-9.4E-2</v>
      </c>
      <c r="I6">
        <f t="shared" si="1"/>
        <v>6.8047231586346943E-2</v>
      </c>
      <c r="J6">
        <f t="shared" si="2"/>
        <v>0.26085864292054223</v>
      </c>
    </row>
    <row r="7" spans="1:10" x14ac:dyDescent="0.25">
      <c r="A7" t="s">
        <v>39</v>
      </c>
      <c r="B7">
        <v>-0.501</v>
      </c>
      <c r="C7">
        <v>-1.0580000000000001</v>
      </c>
      <c r="D7">
        <v>5.5E-2</v>
      </c>
      <c r="E7">
        <v>29</v>
      </c>
      <c r="F7">
        <v>23</v>
      </c>
      <c r="G7">
        <v>0.95</v>
      </c>
      <c r="H7">
        <f t="shared" si="0"/>
        <v>-0.501</v>
      </c>
      <c r="I7">
        <f t="shared" si="1"/>
        <v>8.0374490644101029E-2</v>
      </c>
      <c r="J7">
        <f t="shared" si="2"/>
        <v>0.2835039517257229</v>
      </c>
    </row>
    <row r="8" spans="1:10" x14ac:dyDescent="0.25">
      <c r="A8" t="s">
        <v>30</v>
      </c>
      <c r="B8">
        <v>-0.17100000000000001</v>
      </c>
      <c r="C8">
        <v>-0.97299999999999998</v>
      </c>
      <c r="D8">
        <v>0.63100000000000001</v>
      </c>
      <c r="E8">
        <v>12</v>
      </c>
      <c r="F8">
        <v>12</v>
      </c>
      <c r="G8">
        <v>0.95</v>
      </c>
      <c r="H8">
        <f t="shared" si="0"/>
        <v>-0.17100000000000001</v>
      </c>
      <c r="I8">
        <f t="shared" si="1"/>
        <v>0.16727585416666665</v>
      </c>
      <c r="J8">
        <f t="shared" si="2"/>
        <v>0.4089937092018246</v>
      </c>
    </row>
    <row r="9" spans="1:10" x14ac:dyDescent="0.25">
      <c r="A9" t="s">
        <v>8</v>
      </c>
      <c r="B9">
        <v>-0.68</v>
      </c>
      <c r="C9">
        <v>-1.21</v>
      </c>
      <c r="D9">
        <v>-0.15</v>
      </c>
      <c r="E9">
        <v>29</v>
      </c>
      <c r="F9">
        <v>29</v>
      </c>
      <c r="G9">
        <v>0.95</v>
      </c>
      <c r="H9">
        <f t="shared" si="0"/>
        <v>-0.68</v>
      </c>
      <c r="I9">
        <f t="shared" si="1"/>
        <v>7.2951724137931037E-2</v>
      </c>
      <c r="J9">
        <f t="shared" si="2"/>
        <v>0.27009576845617378</v>
      </c>
    </row>
    <row r="10" spans="1:10" x14ac:dyDescent="0.25">
      <c r="A10" t="s">
        <v>40</v>
      </c>
      <c r="B10">
        <v>-0.59699999999999998</v>
      </c>
      <c r="C10">
        <v>-1.1319999999999999</v>
      </c>
      <c r="D10">
        <v>-6.3E-2</v>
      </c>
      <c r="E10">
        <v>34</v>
      </c>
      <c r="F10">
        <v>24</v>
      </c>
      <c r="G10">
        <v>0.95</v>
      </c>
      <c r="H10">
        <f t="shared" si="0"/>
        <v>-0.59699999999999998</v>
      </c>
      <c r="I10">
        <f t="shared" si="1"/>
        <v>7.4150922751859361E-2</v>
      </c>
      <c r="J10">
        <f t="shared" si="2"/>
        <v>0.2723066704138174</v>
      </c>
    </row>
    <row r="11" spans="1:10" x14ac:dyDescent="0.25">
      <c r="A11" t="s">
        <v>41</v>
      </c>
      <c r="B11">
        <v>-4.1000000000000002E-2</v>
      </c>
      <c r="C11">
        <v>-0.75800000000000001</v>
      </c>
      <c r="D11">
        <v>0.67600000000000005</v>
      </c>
      <c r="E11">
        <v>16</v>
      </c>
      <c r="F11">
        <v>14</v>
      </c>
      <c r="G11">
        <v>0.95</v>
      </c>
      <c r="H11">
        <f t="shared" si="0"/>
        <v>-4.1000000000000002E-2</v>
      </c>
      <c r="I11">
        <f t="shared" si="1"/>
        <v>0.13395658809523808</v>
      </c>
      <c r="J11">
        <f t="shared" si="2"/>
        <v>0.36600080340791341</v>
      </c>
    </row>
    <row r="12" spans="1:10" x14ac:dyDescent="0.25">
      <c r="A12" t="s">
        <v>42</v>
      </c>
      <c r="B12">
        <v>-1.002</v>
      </c>
      <c r="C12">
        <v>-1.8260000000000001</v>
      </c>
      <c r="D12">
        <v>-0.17899999999999999</v>
      </c>
      <c r="E12">
        <v>13</v>
      </c>
      <c r="F12">
        <v>13</v>
      </c>
      <c r="G12">
        <v>0.95</v>
      </c>
      <c r="H12">
        <f t="shared" si="0"/>
        <v>-1.002</v>
      </c>
      <c r="I12">
        <f t="shared" si="1"/>
        <v>0.17315392307692309</v>
      </c>
      <c r="J12">
        <f t="shared" si="2"/>
        <v>0.41611767936116711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2" sqref="J2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46</v>
      </c>
      <c r="H1" t="s">
        <v>368</v>
      </c>
      <c r="I1" t="s">
        <v>381</v>
      </c>
      <c r="J1" t="s">
        <v>369</v>
      </c>
    </row>
    <row r="2" spans="1:10" x14ac:dyDescent="0.25">
      <c r="A2" t="s">
        <v>0</v>
      </c>
      <c r="B2">
        <v>-0.23300000000000001</v>
      </c>
      <c r="C2">
        <v>-0.79100000000000004</v>
      </c>
      <c r="D2">
        <v>0.32500000000000001</v>
      </c>
      <c r="E2">
        <v>27</v>
      </c>
      <c r="F2">
        <v>23</v>
      </c>
      <c r="G2">
        <v>0.95</v>
      </c>
      <c r="H2">
        <f>$B2</f>
        <v>-0.23300000000000001</v>
      </c>
      <c r="I2">
        <f>($E2+$F2)/($E2*$F2)+$H2^2/(2*($E2+$F2))</f>
        <v>8.1058187906602255E-2</v>
      </c>
      <c r="J2">
        <f>SQRT($I2)</f>
        <v>0.28470719679453532</v>
      </c>
    </row>
    <row r="3" spans="1:10" x14ac:dyDescent="0.25">
      <c r="A3" t="s">
        <v>1</v>
      </c>
      <c r="B3">
        <v>-1.145</v>
      </c>
      <c r="C3">
        <v>-2.1070000000000002</v>
      </c>
      <c r="D3">
        <v>-0.183</v>
      </c>
      <c r="E3">
        <v>10</v>
      </c>
      <c r="F3">
        <v>10</v>
      </c>
      <c r="G3">
        <v>0.95</v>
      </c>
      <c r="H3">
        <f t="shared" ref="H3:H9" si="0">$B3</f>
        <v>-1.145</v>
      </c>
      <c r="I3">
        <f t="shared" ref="I3:I9" si="1">($E3+$F3)/($E3*$F3)+$H3^2/(2*($E3+$F3))</f>
        <v>0.23277562500000001</v>
      </c>
      <c r="J3">
        <f t="shared" ref="J3:J9" si="2">SQRT($I3)</f>
        <v>0.48246826320494907</v>
      </c>
    </row>
    <row r="4" spans="1:10" x14ac:dyDescent="0.25">
      <c r="A4" t="s">
        <v>28</v>
      </c>
      <c r="B4">
        <v>-0.73599999999999999</v>
      </c>
      <c r="C4">
        <v>-1.363</v>
      </c>
      <c r="D4">
        <v>-0.108</v>
      </c>
      <c r="E4">
        <v>22</v>
      </c>
      <c r="F4">
        <v>20</v>
      </c>
      <c r="G4">
        <v>0.95</v>
      </c>
      <c r="H4">
        <f t="shared" si="0"/>
        <v>-0.73599999999999999</v>
      </c>
      <c r="I4">
        <f t="shared" si="1"/>
        <v>0.10190330735930736</v>
      </c>
      <c r="J4">
        <f t="shared" si="2"/>
        <v>0.31922297436009733</v>
      </c>
    </row>
    <row r="5" spans="1:10" x14ac:dyDescent="0.25">
      <c r="A5" t="s">
        <v>49</v>
      </c>
      <c r="B5">
        <v>-1.147</v>
      </c>
      <c r="C5">
        <v>-1.956</v>
      </c>
      <c r="D5">
        <v>-0.33900000000000002</v>
      </c>
      <c r="E5">
        <v>14</v>
      </c>
      <c r="F5">
        <v>14</v>
      </c>
      <c r="G5">
        <v>0.95</v>
      </c>
      <c r="H5">
        <f t="shared" si="0"/>
        <v>-1.147</v>
      </c>
      <c r="I5">
        <f t="shared" si="1"/>
        <v>0.16635016071428571</v>
      </c>
      <c r="J5">
        <f t="shared" si="2"/>
        <v>0.40786046721187103</v>
      </c>
    </row>
    <row r="6" spans="1:10" x14ac:dyDescent="0.25">
      <c r="A6" t="s">
        <v>39</v>
      </c>
      <c r="B6">
        <v>-0.42699999999999999</v>
      </c>
      <c r="C6">
        <v>-0.98099999999999998</v>
      </c>
      <c r="D6">
        <v>0.127</v>
      </c>
      <c r="E6">
        <v>29</v>
      </c>
      <c r="F6">
        <v>23</v>
      </c>
      <c r="G6">
        <v>0.95</v>
      </c>
      <c r="H6">
        <f t="shared" si="0"/>
        <v>-0.42699999999999999</v>
      </c>
      <c r="I6">
        <f t="shared" si="1"/>
        <v>7.9714182951793333E-2</v>
      </c>
      <c r="J6">
        <f t="shared" si="2"/>
        <v>0.28233700244883475</v>
      </c>
    </row>
    <row r="7" spans="1:10" x14ac:dyDescent="0.25">
      <c r="A7" t="s">
        <v>30</v>
      </c>
      <c r="B7">
        <v>-0.79300000000000004</v>
      </c>
      <c r="C7">
        <v>-1.63</v>
      </c>
      <c r="D7">
        <v>4.3999999999999997E-2</v>
      </c>
      <c r="E7">
        <v>12</v>
      </c>
      <c r="F7">
        <v>12</v>
      </c>
      <c r="G7">
        <v>0.95</v>
      </c>
      <c r="H7">
        <f t="shared" si="0"/>
        <v>-0.79300000000000004</v>
      </c>
      <c r="I7">
        <f t="shared" si="1"/>
        <v>0.1797676875</v>
      </c>
      <c r="J7">
        <f t="shared" si="2"/>
        <v>0.42399019741027033</v>
      </c>
    </row>
    <row r="8" spans="1:10" x14ac:dyDescent="0.25">
      <c r="A8" t="s">
        <v>41</v>
      </c>
      <c r="B8">
        <v>-0.33900000000000002</v>
      </c>
      <c r="C8">
        <v>-1.0620000000000001</v>
      </c>
      <c r="D8">
        <v>0.38400000000000001</v>
      </c>
      <c r="E8">
        <v>16</v>
      </c>
      <c r="F8">
        <v>14</v>
      </c>
      <c r="G8">
        <v>0.95</v>
      </c>
      <c r="H8">
        <f t="shared" si="0"/>
        <v>-0.33900000000000002</v>
      </c>
      <c r="I8">
        <f t="shared" si="1"/>
        <v>0.13584392142857143</v>
      </c>
      <c r="J8">
        <f t="shared" si="2"/>
        <v>0.36857010381821725</v>
      </c>
    </row>
    <row r="9" spans="1:10" x14ac:dyDescent="0.25">
      <c r="A9" t="s">
        <v>10</v>
      </c>
      <c r="B9">
        <v>-1.157</v>
      </c>
      <c r="C9">
        <v>-1.998</v>
      </c>
      <c r="D9">
        <v>-0.316</v>
      </c>
      <c r="E9">
        <v>13</v>
      </c>
      <c r="F9">
        <v>13</v>
      </c>
      <c r="G9">
        <v>0.95</v>
      </c>
      <c r="H9">
        <f t="shared" si="0"/>
        <v>-1.157</v>
      </c>
      <c r="I9">
        <f t="shared" si="1"/>
        <v>0.17958940384615385</v>
      </c>
      <c r="J9">
        <f t="shared" si="2"/>
        <v>0.42377990023850098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M2" sqref="M2:M11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50</v>
      </c>
      <c r="C1" t="s">
        <v>21</v>
      </c>
      <c r="D1" t="s">
        <v>22</v>
      </c>
      <c r="E1" t="s">
        <v>23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0</v>
      </c>
      <c r="B2">
        <v>31</v>
      </c>
      <c r="C2">
        <v>4</v>
      </c>
      <c r="D2">
        <v>23</v>
      </c>
      <c r="E2">
        <v>1</v>
      </c>
      <c r="F2">
        <f>$C2/$B2</f>
        <v>0.12903225806451613</v>
      </c>
      <c r="G2">
        <f>$E2/$D2</f>
        <v>4.3478260869565216E-2</v>
      </c>
      <c r="H2">
        <f>$F2/$G2</f>
        <v>2.967741935483871</v>
      </c>
      <c r="I2">
        <f>LN($H2)</f>
        <v>1.087801372563894</v>
      </c>
      <c r="J2">
        <f>SQRT((1-$F2)/($B2*$F2)+(1-$G2)/($D2*$G2))</f>
        <v>1.0836344746335389</v>
      </c>
      <c r="K2">
        <f>LN(($C2*($D2-$E2))/(($B2-$C2)*$E2))</f>
        <v>1.1814999484738773</v>
      </c>
      <c r="L2">
        <f>SQRT(1/$C2+1/($B2-$C2)+1/$E2+1/($D2-$E2))</f>
        <v>1.1543359920281366</v>
      </c>
      <c r="M2">
        <f>$B2+$D2</f>
        <v>54</v>
      </c>
    </row>
    <row r="3" spans="1:13" x14ac:dyDescent="0.25">
      <c r="A3" t="s">
        <v>26</v>
      </c>
      <c r="B3">
        <v>11</v>
      </c>
      <c r="C3">
        <v>1</v>
      </c>
      <c r="D3">
        <v>13</v>
      </c>
      <c r="E3">
        <v>1</v>
      </c>
      <c r="F3">
        <f t="shared" ref="F3:F11" si="0">$C3/$B3</f>
        <v>9.0909090909090912E-2</v>
      </c>
      <c r="G3">
        <f t="shared" ref="G3:G11" si="1">$E3/$D3</f>
        <v>7.6923076923076927E-2</v>
      </c>
      <c r="H3">
        <f t="shared" ref="H3:H11" si="2">$F3/$G3</f>
        <v>1.1818181818181819</v>
      </c>
      <c r="I3">
        <f t="shared" ref="I3:I11" si="3">LN($H3)</f>
        <v>0.16705408466316624</v>
      </c>
      <c r="J3">
        <f t="shared" ref="J3:J11" si="4">SQRT((1-$F3)/($B3*$F3)+(1-$G3)/($D3*$G3))</f>
        <v>1.3535759425196032</v>
      </c>
      <c r="K3">
        <f t="shared" ref="K3:K11" si="5">LN(($C3*($D3-$E3))/(($B3-$C3)*$E3))</f>
        <v>0.18232155679395459</v>
      </c>
      <c r="L3">
        <f t="shared" ref="L3:L11" si="6">SQRT(1/$C3+1/($B3-$C3)+1/$E3+1/($D3-$E3))</f>
        <v>1.4776106839534335</v>
      </c>
      <c r="M3">
        <f t="shared" ref="M3:M11" si="7">$B3+$D3</f>
        <v>24</v>
      </c>
    </row>
    <row r="4" spans="1:13" x14ac:dyDescent="0.25">
      <c r="A4" t="s">
        <v>27</v>
      </c>
      <c r="B4">
        <v>13</v>
      </c>
      <c r="C4">
        <v>1</v>
      </c>
      <c r="D4">
        <v>17</v>
      </c>
      <c r="E4">
        <v>1</v>
      </c>
      <c r="F4">
        <f t="shared" si="0"/>
        <v>7.6923076923076927E-2</v>
      </c>
      <c r="G4">
        <f t="shared" si="1"/>
        <v>5.8823529411764705E-2</v>
      </c>
      <c r="H4">
        <f t="shared" si="2"/>
        <v>1.3076923076923077</v>
      </c>
      <c r="I4">
        <f t="shared" si="3"/>
        <v>0.26826398659467937</v>
      </c>
      <c r="J4">
        <f t="shared" si="4"/>
        <v>1.3653766490112385</v>
      </c>
      <c r="K4">
        <f t="shared" si="5"/>
        <v>0.28768207245178085</v>
      </c>
      <c r="L4">
        <f t="shared" si="6"/>
        <v>1.4648663192705786</v>
      </c>
      <c r="M4">
        <f t="shared" si="7"/>
        <v>30</v>
      </c>
    </row>
    <row r="5" spans="1:13" x14ac:dyDescent="0.25">
      <c r="A5" t="s">
        <v>28</v>
      </c>
      <c r="B5">
        <v>22</v>
      </c>
      <c r="C5">
        <v>1</v>
      </c>
      <c r="D5">
        <v>20</v>
      </c>
      <c r="E5">
        <v>1</v>
      </c>
      <c r="F5">
        <f t="shared" si="0"/>
        <v>4.5454545454545456E-2</v>
      </c>
      <c r="G5">
        <f t="shared" si="1"/>
        <v>0.05</v>
      </c>
      <c r="H5">
        <f t="shared" si="2"/>
        <v>0.90909090909090906</v>
      </c>
      <c r="I5">
        <f t="shared" si="3"/>
        <v>-9.5310179804324893E-2</v>
      </c>
      <c r="J5">
        <f t="shared" si="4"/>
        <v>1.3800526999160048</v>
      </c>
      <c r="K5">
        <f t="shared" si="5"/>
        <v>-0.10008345855698253</v>
      </c>
      <c r="L5">
        <f t="shared" si="6"/>
        <v>1.4492241464198752</v>
      </c>
      <c r="M5">
        <f t="shared" si="7"/>
        <v>42</v>
      </c>
    </row>
    <row r="6" spans="1:13" x14ac:dyDescent="0.25">
      <c r="A6" t="s">
        <v>4</v>
      </c>
      <c r="B6">
        <v>124</v>
      </c>
      <c r="C6">
        <v>33</v>
      </c>
      <c r="D6">
        <v>47</v>
      </c>
      <c r="E6">
        <v>7</v>
      </c>
      <c r="F6">
        <f t="shared" si="0"/>
        <v>0.2661290322580645</v>
      </c>
      <c r="G6">
        <f t="shared" si="1"/>
        <v>0.14893617021276595</v>
      </c>
      <c r="H6">
        <f t="shared" si="2"/>
        <v>1.7868663594470047</v>
      </c>
      <c r="I6">
        <f t="shared" si="3"/>
        <v>0.5804634485161887</v>
      </c>
      <c r="J6">
        <f t="shared" si="4"/>
        <v>0.3792348365939765</v>
      </c>
      <c r="K6">
        <f t="shared" si="5"/>
        <v>0.72861736000825306</v>
      </c>
      <c r="L6">
        <f t="shared" si="6"/>
        <v>0.45732831111706185</v>
      </c>
      <c r="M6">
        <f t="shared" si="7"/>
        <v>171</v>
      </c>
    </row>
    <row r="7" spans="1:13" x14ac:dyDescent="0.25">
      <c r="A7" t="s">
        <v>29</v>
      </c>
      <c r="B7">
        <v>76</v>
      </c>
      <c r="C7">
        <v>9</v>
      </c>
      <c r="D7">
        <v>76</v>
      </c>
      <c r="E7">
        <v>15</v>
      </c>
      <c r="F7">
        <f t="shared" si="0"/>
        <v>0.11842105263157894</v>
      </c>
      <c r="G7">
        <f t="shared" si="1"/>
        <v>0.19736842105263158</v>
      </c>
      <c r="H7">
        <f t="shared" si="2"/>
        <v>0.6</v>
      </c>
      <c r="I7">
        <f t="shared" si="3"/>
        <v>-0.51082562376599072</v>
      </c>
      <c r="J7">
        <f t="shared" si="4"/>
        <v>0.3891811767083469</v>
      </c>
      <c r="K7">
        <f t="shared" si="5"/>
        <v>-0.60464437898364554</v>
      </c>
      <c r="L7">
        <f t="shared" si="6"/>
        <v>0.45727080984363838</v>
      </c>
      <c r="M7">
        <f t="shared" si="7"/>
        <v>152</v>
      </c>
    </row>
    <row r="8" spans="1:13" x14ac:dyDescent="0.25">
      <c r="A8" t="s">
        <v>7</v>
      </c>
      <c r="B8">
        <v>14</v>
      </c>
      <c r="C8">
        <v>1</v>
      </c>
      <c r="D8">
        <v>14</v>
      </c>
      <c r="E8">
        <v>1</v>
      </c>
      <c r="F8">
        <f t="shared" si="0"/>
        <v>7.1428571428571425E-2</v>
      </c>
      <c r="G8">
        <f t="shared" si="1"/>
        <v>7.1428571428571425E-2</v>
      </c>
      <c r="H8">
        <f t="shared" si="2"/>
        <v>1</v>
      </c>
      <c r="I8">
        <f t="shared" si="3"/>
        <v>0</v>
      </c>
      <c r="J8">
        <f t="shared" si="4"/>
        <v>1.3627702877384937</v>
      </c>
      <c r="K8">
        <f t="shared" si="5"/>
        <v>0</v>
      </c>
      <c r="L8">
        <f t="shared" si="6"/>
        <v>1.4675987714106855</v>
      </c>
      <c r="M8">
        <f t="shared" si="7"/>
        <v>28</v>
      </c>
    </row>
    <row r="9" spans="1:13" x14ac:dyDescent="0.25">
      <c r="A9" t="s">
        <v>8</v>
      </c>
      <c r="B9">
        <v>29</v>
      </c>
      <c r="C9">
        <v>9</v>
      </c>
      <c r="D9">
        <v>29</v>
      </c>
      <c r="E9">
        <v>4</v>
      </c>
      <c r="F9">
        <f t="shared" si="0"/>
        <v>0.31034482758620691</v>
      </c>
      <c r="G9">
        <f t="shared" si="1"/>
        <v>0.13793103448275862</v>
      </c>
      <c r="H9">
        <f t="shared" si="2"/>
        <v>2.25</v>
      </c>
      <c r="I9">
        <f t="shared" si="3"/>
        <v>0.81093021621632877</v>
      </c>
      <c r="J9">
        <f t="shared" si="4"/>
        <v>0.54050494342765432</v>
      </c>
      <c r="K9">
        <f t="shared" si="5"/>
        <v>1.0340737675305385</v>
      </c>
      <c r="L9">
        <f t="shared" si="6"/>
        <v>0.67164805598699617</v>
      </c>
      <c r="M9">
        <f t="shared" si="7"/>
        <v>58</v>
      </c>
    </row>
    <row r="10" spans="1:13" x14ac:dyDescent="0.25">
      <c r="A10" t="s">
        <v>40</v>
      </c>
      <c r="B10">
        <v>35</v>
      </c>
      <c r="C10">
        <v>11.5</v>
      </c>
      <c r="D10">
        <v>25</v>
      </c>
      <c r="E10">
        <v>0.5</v>
      </c>
      <c r="F10">
        <f t="shared" si="0"/>
        <v>0.32857142857142857</v>
      </c>
      <c r="G10">
        <f t="shared" si="1"/>
        <v>0.02</v>
      </c>
      <c r="H10">
        <f t="shared" si="2"/>
        <v>16.428571428571427</v>
      </c>
      <c r="I10">
        <f t="shared" si="3"/>
        <v>2.7990219793079367</v>
      </c>
      <c r="J10">
        <f t="shared" si="4"/>
        <v>1.4206988045211066</v>
      </c>
      <c r="K10">
        <f t="shared" si="5"/>
        <v>3.1771669123297177</v>
      </c>
      <c r="L10">
        <f t="shared" si="6"/>
        <v>1.4732026472142603</v>
      </c>
      <c r="M10">
        <f t="shared" si="7"/>
        <v>60</v>
      </c>
    </row>
    <row r="11" spans="1:13" x14ac:dyDescent="0.25">
      <c r="A11" t="s">
        <v>10</v>
      </c>
      <c r="B11">
        <v>13</v>
      </c>
      <c r="C11">
        <v>1</v>
      </c>
      <c r="D11">
        <v>13</v>
      </c>
      <c r="E11">
        <v>2</v>
      </c>
      <c r="F11">
        <f t="shared" si="0"/>
        <v>7.6923076923076927E-2</v>
      </c>
      <c r="G11">
        <f t="shared" si="1"/>
        <v>0.15384615384615385</v>
      </c>
      <c r="H11">
        <f t="shared" si="2"/>
        <v>0.5</v>
      </c>
      <c r="I11">
        <f t="shared" si="3"/>
        <v>-0.69314718055994529</v>
      </c>
      <c r="J11">
        <f t="shared" si="4"/>
        <v>1.1602387022306428</v>
      </c>
      <c r="K11">
        <f t="shared" si="5"/>
        <v>-0.78015855754957508</v>
      </c>
      <c r="L11">
        <f t="shared" si="6"/>
        <v>1.2939252004047312</v>
      </c>
      <c r="M11">
        <f t="shared" si="7"/>
        <v>26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K1" sqref="K1:K1048576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37</v>
      </c>
      <c r="H1" t="s">
        <v>368</v>
      </c>
      <c r="I1" t="s">
        <v>381</v>
      </c>
      <c r="J1" t="s">
        <v>369</v>
      </c>
    </row>
    <row r="2" spans="1:10" x14ac:dyDescent="0.25">
      <c r="A2" t="s">
        <v>1</v>
      </c>
      <c r="B2">
        <v>-1.8</v>
      </c>
      <c r="C2">
        <v>-2.875</v>
      </c>
      <c r="D2">
        <v>-0.72499999999999998</v>
      </c>
      <c r="E2">
        <v>10</v>
      </c>
      <c r="F2">
        <v>10</v>
      </c>
      <c r="G2">
        <v>0.95</v>
      </c>
      <c r="H2">
        <f>$B2</f>
        <v>-1.8</v>
      </c>
      <c r="I2">
        <f>($E2+$F2)/($E2*$F2)+$H2^2/(2*($E2+$F2))</f>
        <v>0.28100000000000003</v>
      </c>
      <c r="J2">
        <f>SQRT($I2)</f>
        <v>0.53009433122794292</v>
      </c>
    </row>
    <row r="3" spans="1:10" x14ac:dyDescent="0.25">
      <c r="A3" t="s">
        <v>5</v>
      </c>
      <c r="B3">
        <v>-1.506</v>
      </c>
      <c r="C3">
        <v>-2.1339999999999999</v>
      </c>
      <c r="D3">
        <v>-0.877</v>
      </c>
      <c r="E3">
        <v>27</v>
      </c>
      <c r="F3">
        <v>24</v>
      </c>
      <c r="G3">
        <v>0.95</v>
      </c>
      <c r="H3">
        <f t="shared" ref="H3:H7" si="0">$B3</f>
        <v>-1.506</v>
      </c>
      <c r="I3">
        <f t="shared" ref="I3:I7" si="1">($E3+$F3)/($E3*$F3)+$H3^2/(2*($E3+$F3))</f>
        <v>0.10093935076252723</v>
      </c>
      <c r="J3">
        <f t="shared" ref="J3:J7" si="2">SQRT($I3)</f>
        <v>0.31770953835622756</v>
      </c>
    </row>
    <row r="4" spans="1:10" x14ac:dyDescent="0.25">
      <c r="A4" t="s">
        <v>6</v>
      </c>
      <c r="B4">
        <v>-1.3220000000000001</v>
      </c>
      <c r="C4">
        <v>-1.91</v>
      </c>
      <c r="D4">
        <v>-0.73499999999999999</v>
      </c>
      <c r="E4">
        <v>28</v>
      </c>
      <c r="F4">
        <v>27</v>
      </c>
      <c r="G4">
        <v>0.95</v>
      </c>
      <c r="H4">
        <f t="shared" si="0"/>
        <v>-1.3220000000000001</v>
      </c>
      <c r="I4">
        <f t="shared" si="1"/>
        <v>8.8639359114959113E-2</v>
      </c>
      <c r="J4">
        <f t="shared" si="2"/>
        <v>0.29772362874813801</v>
      </c>
    </row>
    <row r="5" spans="1:10" x14ac:dyDescent="0.25">
      <c r="A5" t="s">
        <v>9</v>
      </c>
      <c r="B5">
        <v>-0.61199999999999999</v>
      </c>
      <c r="C5">
        <v>-2.06</v>
      </c>
      <c r="D5">
        <v>0.83699999999999997</v>
      </c>
      <c r="E5">
        <v>4</v>
      </c>
      <c r="F5">
        <v>4</v>
      </c>
      <c r="G5">
        <v>0.95</v>
      </c>
      <c r="H5">
        <f t="shared" si="0"/>
        <v>-0.61199999999999999</v>
      </c>
      <c r="I5">
        <f t="shared" si="1"/>
        <v>0.52340900000000001</v>
      </c>
      <c r="J5">
        <f t="shared" si="2"/>
        <v>0.723470109956175</v>
      </c>
    </row>
    <row r="6" spans="1:10" x14ac:dyDescent="0.25">
      <c r="A6" t="s">
        <v>10</v>
      </c>
      <c r="B6">
        <v>-0.92300000000000004</v>
      </c>
      <c r="C6">
        <v>-1.7390000000000001</v>
      </c>
      <c r="D6">
        <v>-0.108</v>
      </c>
      <c r="E6">
        <v>13</v>
      </c>
      <c r="F6">
        <v>13</v>
      </c>
      <c r="G6">
        <v>0.95</v>
      </c>
      <c r="H6">
        <f t="shared" si="0"/>
        <v>-0.92300000000000004</v>
      </c>
      <c r="I6">
        <f t="shared" si="1"/>
        <v>0.17022940384615387</v>
      </c>
      <c r="J6">
        <f t="shared" si="2"/>
        <v>0.41258866180028975</v>
      </c>
    </row>
    <row r="7" spans="1:10" x14ac:dyDescent="0.25">
      <c r="A7" t="s">
        <v>51</v>
      </c>
      <c r="B7">
        <v>-0.98599999999999999</v>
      </c>
      <c r="C7">
        <v>-1.714</v>
      </c>
      <c r="D7">
        <v>-0.25800000000000001</v>
      </c>
      <c r="E7">
        <v>17</v>
      </c>
      <c r="F7">
        <v>16</v>
      </c>
      <c r="G7">
        <v>0.95</v>
      </c>
      <c r="H7">
        <f t="shared" si="0"/>
        <v>-0.98599999999999999</v>
      </c>
      <c r="I7">
        <f t="shared" si="1"/>
        <v>0.13605377183600714</v>
      </c>
      <c r="J7">
        <f t="shared" si="2"/>
        <v>0.36885467576812297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J1" sqref="J1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46</v>
      </c>
      <c r="H1" t="s">
        <v>368</v>
      </c>
      <c r="I1" t="s">
        <v>381</v>
      </c>
      <c r="J1" t="s">
        <v>369</v>
      </c>
    </row>
    <row r="2" spans="1:10" x14ac:dyDescent="0.25">
      <c r="A2" t="s">
        <v>52</v>
      </c>
      <c r="B2">
        <v>-0.624</v>
      </c>
      <c r="C2">
        <v>-1.393</v>
      </c>
      <c r="D2">
        <v>0.14499999999999999</v>
      </c>
      <c r="E2">
        <v>15</v>
      </c>
      <c r="F2">
        <v>12</v>
      </c>
      <c r="G2">
        <v>0.95</v>
      </c>
      <c r="H2">
        <f>$B2</f>
        <v>-0.624</v>
      </c>
      <c r="I2">
        <f>($E2+$F2)/($E2*$F2)+$H2^2/(2*($E2+$F2))</f>
        <v>0.15721066666666667</v>
      </c>
      <c r="J2">
        <f>SQRT($I2)</f>
        <v>0.39649800335773022</v>
      </c>
    </row>
    <row r="3" spans="1:10" x14ac:dyDescent="0.25">
      <c r="A3" t="s">
        <v>53</v>
      </c>
      <c r="B3">
        <v>-1.151</v>
      </c>
      <c r="C3">
        <v>-2.097</v>
      </c>
      <c r="D3">
        <v>-0.20399999999999999</v>
      </c>
      <c r="E3">
        <v>9</v>
      </c>
      <c r="F3">
        <v>12</v>
      </c>
      <c r="G3">
        <v>0.95</v>
      </c>
      <c r="H3">
        <f t="shared" ref="H3:H6" si="0">$B3</f>
        <v>-1.151</v>
      </c>
      <c r="I3">
        <f t="shared" ref="I3:I8" si="1">($E3+$F3)/($E3*$F3)+$H3^2/(2*($E3+$F3))</f>
        <v>0.22598732539682539</v>
      </c>
      <c r="J3">
        <f t="shared" ref="J3:J8" si="2">SQRT($I3)</f>
        <v>0.47538124215920152</v>
      </c>
    </row>
    <row r="4" spans="1:10" x14ac:dyDescent="0.25">
      <c r="A4" t="s">
        <v>54</v>
      </c>
      <c r="B4">
        <v>-0.29699999999999999</v>
      </c>
      <c r="C4">
        <v>-0.81100000000000005</v>
      </c>
      <c r="D4">
        <v>0.215</v>
      </c>
      <c r="E4">
        <v>30</v>
      </c>
      <c r="F4">
        <v>29</v>
      </c>
      <c r="G4">
        <v>0.95</v>
      </c>
      <c r="H4">
        <f t="shared" si="0"/>
        <v>-0.29699999999999999</v>
      </c>
      <c r="I4">
        <f t="shared" si="1"/>
        <v>6.8563625852328086E-2</v>
      </c>
      <c r="J4">
        <f t="shared" si="2"/>
        <v>0.26184656929646433</v>
      </c>
    </row>
    <row r="5" spans="1:10" x14ac:dyDescent="0.25">
      <c r="A5" t="s">
        <v>55</v>
      </c>
      <c r="B5">
        <v>-0.42699999999999999</v>
      </c>
      <c r="C5">
        <v>-0.91500000000000004</v>
      </c>
      <c r="D5">
        <v>6.2E-2</v>
      </c>
      <c r="E5">
        <v>33</v>
      </c>
      <c r="F5">
        <v>33</v>
      </c>
      <c r="G5">
        <v>0.95</v>
      </c>
      <c r="H5">
        <f t="shared" si="0"/>
        <v>-0.42699999999999999</v>
      </c>
      <c r="I5">
        <f t="shared" si="1"/>
        <v>6.1987340909090909E-2</v>
      </c>
      <c r="J5">
        <f t="shared" si="2"/>
        <v>0.24897257059582067</v>
      </c>
    </row>
    <row r="6" spans="1:10" x14ac:dyDescent="0.25">
      <c r="A6" t="s">
        <v>56</v>
      </c>
      <c r="B6">
        <v>-0.35199999999999998</v>
      </c>
      <c r="C6">
        <v>-0.84399999999999997</v>
      </c>
      <c r="D6">
        <v>0.14000000000000001</v>
      </c>
      <c r="E6">
        <v>30</v>
      </c>
      <c r="F6">
        <v>35</v>
      </c>
      <c r="G6">
        <v>0.95</v>
      </c>
      <c r="H6">
        <f t="shared" si="0"/>
        <v>-0.35199999999999998</v>
      </c>
      <c r="I6">
        <f t="shared" si="1"/>
        <v>6.2857869597069599E-2</v>
      </c>
      <c r="J6">
        <f t="shared" si="2"/>
        <v>0.25071471755178154</v>
      </c>
    </row>
    <row r="7" spans="1:10" x14ac:dyDescent="0.25">
      <c r="A7" t="s">
        <v>57</v>
      </c>
      <c r="B7">
        <v>-2.7E-2</v>
      </c>
      <c r="C7">
        <v>-0.61799999999999999</v>
      </c>
      <c r="D7">
        <v>0.56499999999999995</v>
      </c>
      <c r="E7">
        <v>23</v>
      </c>
      <c r="F7">
        <v>21</v>
      </c>
      <c r="G7">
        <v>0.95</v>
      </c>
      <c r="H7">
        <f>$B7</f>
        <v>-2.7E-2</v>
      </c>
      <c r="I7">
        <f t="shared" si="1"/>
        <v>9.110559257952193E-2</v>
      </c>
      <c r="J7">
        <f t="shared" si="2"/>
        <v>0.30183702983484634</v>
      </c>
    </row>
    <row r="8" spans="1:10" x14ac:dyDescent="0.25">
      <c r="A8" t="s">
        <v>58</v>
      </c>
      <c r="B8">
        <v>-0.73199999999999998</v>
      </c>
      <c r="C8">
        <v>-1.36</v>
      </c>
      <c r="D8">
        <v>-0.105</v>
      </c>
      <c r="E8">
        <v>22</v>
      </c>
      <c r="F8">
        <v>20</v>
      </c>
      <c r="G8">
        <v>0.95</v>
      </c>
      <c r="H8">
        <f>$B8</f>
        <v>-0.73199999999999998</v>
      </c>
      <c r="I8">
        <f t="shared" si="1"/>
        <v>0.1018334025974026</v>
      </c>
      <c r="J8">
        <f t="shared" si="2"/>
        <v>0.31911346351635278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1" sqref="J1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59</v>
      </c>
      <c r="B2">
        <v>-1.0609999999999999</v>
      </c>
      <c r="C2">
        <v>-1.9259999999999999</v>
      </c>
      <c r="D2">
        <v>-0.19600000000000001</v>
      </c>
      <c r="E2">
        <v>12</v>
      </c>
      <c r="F2">
        <v>12</v>
      </c>
      <c r="G2">
        <v>0.95</v>
      </c>
      <c r="H2">
        <f>$B2</f>
        <v>-1.0609999999999999</v>
      </c>
      <c r="I2">
        <f>($E2+$F2)/($E2*$F2)+$H2^2/(2*($E2+$F2))</f>
        <v>0.19011918749999998</v>
      </c>
      <c r="J2">
        <f>SQRT($I2)</f>
        <v>0.4360265903588908</v>
      </c>
    </row>
    <row r="3" spans="1:10" x14ac:dyDescent="0.25">
      <c r="A3" t="s">
        <v>52</v>
      </c>
      <c r="B3">
        <v>-0.79600000000000004</v>
      </c>
      <c r="C3">
        <v>-1.577</v>
      </c>
      <c r="D3">
        <v>-1.4E-2</v>
      </c>
      <c r="E3">
        <v>16</v>
      </c>
      <c r="F3">
        <v>12</v>
      </c>
      <c r="G3">
        <v>0.95</v>
      </c>
      <c r="H3">
        <f t="shared" ref="H3:H6" si="0">$B3</f>
        <v>-0.79600000000000004</v>
      </c>
      <c r="I3">
        <f t="shared" ref="I3:I9" si="1">($E3+$F3)/($E3*$F3)+$H3^2/(2*($E3+$F3))</f>
        <v>0.15714790476190477</v>
      </c>
      <c r="J3">
        <f t="shared" ref="J3:J9" si="2">SQRT($I3)</f>
        <v>0.39641885015965722</v>
      </c>
    </row>
    <row r="4" spans="1:10" x14ac:dyDescent="0.25">
      <c r="A4" t="s">
        <v>60</v>
      </c>
      <c r="B4">
        <v>-0.45300000000000001</v>
      </c>
      <c r="C4">
        <v>-1.5189999999999999</v>
      </c>
      <c r="D4">
        <v>0.61299999999999999</v>
      </c>
      <c r="E4">
        <v>7</v>
      </c>
      <c r="F4">
        <v>7</v>
      </c>
      <c r="G4">
        <v>0.95</v>
      </c>
      <c r="H4">
        <f t="shared" si="0"/>
        <v>-0.45300000000000001</v>
      </c>
      <c r="I4">
        <f t="shared" si="1"/>
        <v>0.29304317857142853</v>
      </c>
      <c r="J4">
        <f t="shared" si="2"/>
        <v>0.54133462716828717</v>
      </c>
    </row>
    <row r="5" spans="1:10" x14ac:dyDescent="0.25">
      <c r="A5" t="s">
        <v>53</v>
      </c>
      <c r="B5">
        <v>-0.85599999999999998</v>
      </c>
      <c r="C5">
        <v>-1.766</v>
      </c>
      <c r="D5">
        <v>5.5E-2</v>
      </c>
      <c r="E5">
        <v>9</v>
      </c>
      <c r="F5">
        <v>12</v>
      </c>
      <c r="G5">
        <v>0.95</v>
      </c>
      <c r="H5">
        <f t="shared" si="0"/>
        <v>-0.85599999999999998</v>
      </c>
      <c r="I5">
        <f t="shared" si="1"/>
        <v>0.21189053968253968</v>
      </c>
      <c r="J5">
        <f t="shared" si="2"/>
        <v>0.46031569567258912</v>
      </c>
    </row>
    <row r="6" spans="1:10" x14ac:dyDescent="0.25">
      <c r="A6" t="s">
        <v>54</v>
      </c>
      <c r="B6">
        <v>-0.40799999999999997</v>
      </c>
      <c r="C6">
        <v>-0.92900000000000005</v>
      </c>
      <c r="D6">
        <v>0.113</v>
      </c>
      <c r="E6">
        <v>30</v>
      </c>
      <c r="F6">
        <v>28</v>
      </c>
      <c r="G6">
        <v>0.95</v>
      </c>
      <c r="H6">
        <f t="shared" si="0"/>
        <v>-0.40799999999999997</v>
      </c>
      <c r="I6">
        <f t="shared" si="1"/>
        <v>7.0482653530377679E-2</v>
      </c>
      <c r="J6">
        <f t="shared" si="2"/>
        <v>0.26548569364539715</v>
      </c>
    </row>
    <row r="7" spans="1:10" x14ac:dyDescent="0.25">
      <c r="A7" t="s">
        <v>61</v>
      </c>
      <c r="B7">
        <v>-0.73299999999999998</v>
      </c>
      <c r="C7">
        <v>-1.2250000000000001</v>
      </c>
      <c r="D7">
        <v>-0.24099999999999999</v>
      </c>
      <c r="E7">
        <v>34</v>
      </c>
      <c r="F7">
        <v>34</v>
      </c>
      <c r="G7">
        <v>0.95</v>
      </c>
      <c r="H7">
        <f>$B7</f>
        <v>-0.73299999999999998</v>
      </c>
      <c r="I7">
        <f t="shared" si="1"/>
        <v>6.2774183823529409E-2</v>
      </c>
      <c r="J7">
        <f t="shared" si="2"/>
        <v>0.25054776754848446</v>
      </c>
    </row>
    <row r="8" spans="1:10" x14ac:dyDescent="0.25">
      <c r="A8" t="s">
        <v>56</v>
      </c>
      <c r="B8">
        <v>-0.436</v>
      </c>
      <c r="C8">
        <v>-0.95499999999999996</v>
      </c>
      <c r="D8">
        <v>8.2000000000000003E-2</v>
      </c>
      <c r="E8">
        <v>32</v>
      </c>
      <c r="F8">
        <v>27</v>
      </c>
      <c r="G8">
        <v>0.95</v>
      </c>
      <c r="H8">
        <f>$B8</f>
        <v>-0.436</v>
      </c>
      <c r="I8">
        <f t="shared" si="1"/>
        <v>6.9898020087884496E-2</v>
      </c>
      <c r="J8">
        <f t="shared" si="2"/>
        <v>0.26438233694383689</v>
      </c>
    </row>
    <row r="9" spans="1:10" x14ac:dyDescent="0.25">
      <c r="A9" t="s">
        <v>62</v>
      </c>
      <c r="B9">
        <v>-1.419</v>
      </c>
      <c r="C9">
        <v>-2.2949999999999999</v>
      </c>
      <c r="D9">
        <v>-0.54400000000000004</v>
      </c>
      <c r="E9">
        <v>13</v>
      </c>
      <c r="F9">
        <v>13</v>
      </c>
      <c r="G9">
        <v>0.95</v>
      </c>
      <c r="H9">
        <f>$B9</f>
        <v>-1.419</v>
      </c>
      <c r="I9">
        <f t="shared" si="1"/>
        <v>0.19256848076923078</v>
      </c>
      <c r="J9">
        <f t="shared" si="2"/>
        <v>0.43882625350955334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M2" sqref="M2:M11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68</v>
      </c>
      <c r="C1" t="s">
        <v>69</v>
      </c>
      <c r="D1" t="s">
        <v>70</v>
      </c>
      <c r="E1" t="s">
        <v>71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59</v>
      </c>
      <c r="B2">
        <v>12</v>
      </c>
      <c r="C2">
        <v>3</v>
      </c>
      <c r="D2">
        <v>12</v>
      </c>
      <c r="E2">
        <v>1</v>
      </c>
      <c r="F2">
        <f>$C2/$B2</f>
        <v>0.25</v>
      </c>
      <c r="G2">
        <f>$E2/$D2</f>
        <v>8.3333333333333329E-2</v>
      </c>
      <c r="H2">
        <f>$F2/$G2</f>
        <v>3</v>
      </c>
      <c r="I2">
        <f>LN($H2)</f>
        <v>1.0986122886681098</v>
      </c>
      <c r="J2">
        <f>SQRT((1-$F2)/($B2*$F2)+(1-$G2)/($D2*$G2))</f>
        <v>1.0801234497346432</v>
      </c>
      <c r="K2">
        <f>LN(($C2*($D2-$E2))/(($B2-$C2)*$E2))</f>
        <v>1.2992829841302609</v>
      </c>
      <c r="L2">
        <f>SQRT(1/$C2+1/($B2-$C2)+1/$E2+1/($D2-$E2))</f>
        <v>1.2390938363794468</v>
      </c>
      <c r="M2">
        <f>$B2+$D2</f>
        <v>24</v>
      </c>
    </row>
    <row r="3" spans="1:13" x14ac:dyDescent="0.25">
      <c r="A3" t="s">
        <v>53</v>
      </c>
      <c r="B3">
        <v>13</v>
      </c>
      <c r="C3">
        <v>4</v>
      </c>
      <c r="D3">
        <v>14</v>
      </c>
      <c r="E3">
        <v>2</v>
      </c>
      <c r="F3">
        <f t="shared" ref="F3:F11" si="0">$C3/$B3</f>
        <v>0.30769230769230771</v>
      </c>
      <c r="G3">
        <f t="shared" ref="G3:G11" si="1">$E3/$D3</f>
        <v>0.14285714285714285</v>
      </c>
      <c r="H3">
        <f t="shared" ref="H3:H11" si="2">$F3/$G3</f>
        <v>2.1538461538461542</v>
      </c>
      <c r="I3">
        <f t="shared" ref="I3:I11" si="3">LN($H3)</f>
        <v>0.7672551527136674</v>
      </c>
      <c r="J3">
        <f t="shared" ref="J3:J11" si="4">SQRT((1-$F3)/($B3*$F3)+(1-$G3)/($D3*$G3))</f>
        <v>0.77565994588373055</v>
      </c>
      <c r="K3">
        <f t="shared" ref="K3:K11" si="5">LN(($C3*($D3-$E3))/(($B3-$C3)*$E3))</f>
        <v>0.98082925301172619</v>
      </c>
      <c r="L3">
        <f t="shared" ref="L3:L11" si="6">SQRT(1/$C3+1/($B3-$C3)+1/$E3+1/($D3-$E3))</f>
        <v>0.97182531580755016</v>
      </c>
      <c r="M3">
        <f t="shared" ref="M3:M11" si="7">$B3+$D3</f>
        <v>27</v>
      </c>
    </row>
    <row r="4" spans="1:13" x14ac:dyDescent="0.25">
      <c r="A4" t="s">
        <v>54</v>
      </c>
      <c r="B4">
        <v>30</v>
      </c>
      <c r="C4">
        <v>6</v>
      </c>
      <c r="D4">
        <v>29</v>
      </c>
      <c r="E4">
        <v>6</v>
      </c>
      <c r="F4">
        <f t="shared" si="0"/>
        <v>0.2</v>
      </c>
      <c r="G4">
        <f t="shared" si="1"/>
        <v>0.20689655172413793</v>
      </c>
      <c r="H4">
        <f t="shared" si="2"/>
        <v>0.96666666666666679</v>
      </c>
      <c r="I4">
        <f t="shared" si="3"/>
        <v>-3.3901551675681228E-2</v>
      </c>
      <c r="J4">
        <f t="shared" si="4"/>
        <v>0.51528365137981069</v>
      </c>
      <c r="K4">
        <f t="shared" si="5"/>
        <v>-4.2559614418795889E-2</v>
      </c>
      <c r="L4">
        <f t="shared" si="6"/>
        <v>0.64689895723332647</v>
      </c>
      <c r="M4">
        <f t="shared" si="7"/>
        <v>59</v>
      </c>
    </row>
    <row r="5" spans="1:13" x14ac:dyDescent="0.25">
      <c r="A5" t="s">
        <v>61</v>
      </c>
      <c r="B5">
        <v>35</v>
      </c>
      <c r="C5">
        <v>1</v>
      </c>
      <c r="D5">
        <v>35</v>
      </c>
      <c r="E5">
        <v>1</v>
      </c>
      <c r="F5">
        <f t="shared" si="0"/>
        <v>2.8571428571428571E-2</v>
      </c>
      <c r="G5">
        <f t="shared" si="1"/>
        <v>2.8571428571428571E-2</v>
      </c>
      <c r="H5">
        <f t="shared" si="2"/>
        <v>1</v>
      </c>
      <c r="I5">
        <f t="shared" si="3"/>
        <v>0</v>
      </c>
      <c r="J5">
        <f t="shared" si="4"/>
        <v>1.3938641048743392</v>
      </c>
      <c r="K5">
        <f t="shared" si="5"/>
        <v>0</v>
      </c>
      <c r="L5">
        <f t="shared" si="6"/>
        <v>1.4348601079588785</v>
      </c>
      <c r="M5">
        <f t="shared" si="7"/>
        <v>70</v>
      </c>
    </row>
    <row r="6" spans="1:13" x14ac:dyDescent="0.25">
      <c r="A6" t="s">
        <v>64</v>
      </c>
      <c r="B6">
        <v>11</v>
      </c>
      <c r="C6">
        <v>0.5</v>
      </c>
      <c r="D6">
        <v>11</v>
      </c>
      <c r="E6">
        <v>1.5</v>
      </c>
      <c r="F6">
        <f t="shared" si="0"/>
        <v>4.5454545454545456E-2</v>
      </c>
      <c r="G6">
        <f t="shared" si="1"/>
        <v>0.13636363636363635</v>
      </c>
      <c r="H6">
        <f t="shared" si="2"/>
        <v>0.33333333333333337</v>
      </c>
      <c r="I6">
        <f t="shared" si="3"/>
        <v>-1.0986122886681096</v>
      </c>
      <c r="J6">
        <f t="shared" si="4"/>
        <v>1.5763402186230246</v>
      </c>
      <c r="K6">
        <f t="shared" si="5"/>
        <v>-1.1986957472250923</v>
      </c>
      <c r="L6">
        <f t="shared" si="6"/>
        <v>1.693271366261031</v>
      </c>
      <c r="M6">
        <f t="shared" si="7"/>
        <v>22</v>
      </c>
    </row>
    <row r="7" spans="1:13" x14ac:dyDescent="0.25">
      <c r="A7" t="s">
        <v>56</v>
      </c>
      <c r="B7">
        <v>54</v>
      </c>
      <c r="C7">
        <v>11</v>
      </c>
      <c r="D7">
        <v>54</v>
      </c>
      <c r="E7">
        <v>11</v>
      </c>
      <c r="F7">
        <f t="shared" si="0"/>
        <v>0.20370370370370369</v>
      </c>
      <c r="G7">
        <f t="shared" si="1"/>
        <v>0.20370370370370369</v>
      </c>
      <c r="H7">
        <f t="shared" si="2"/>
        <v>1</v>
      </c>
      <c r="I7">
        <f t="shared" si="3"/>
        <v>0</v>
      </c>
      <c r="J7">
        <f t="shared" si="4"/>
        <v>0.38050117579469422</v>
      </c>
      <c r="K7">
        <f t="shared" si="5"/>
        <v>0</v>
      </c>
      <c r="L7">
        <f t="shared" si="6"/>
        <v>0.47783868588170897</v>
      </c>
      <c r="M7">
        <f t="shared" si="7"/>
        <v>108</v>
      </c>
    </row>
    <row r="8" spans="1:13" x14ac:dyDescent="0.25">
      <c r="A8" t="s">
        <v>65</v>
      </c>
      <c r="B8">
        <v>15</v>
      </c>
      <c r="C8">
        <v>2</v>
      </c>
      <c r="D8">
        <v>15</v>
      </c>
      <c r="E8">
        <v>2</v>
      </c>
      <c r="F8">
        <f t="shared" si="0"/>
        <v>0.13333333333333333</v>
      </c>
      <c r="G8">
        <f t="shared" si="1"/>
        <v>0.13333333333333333</v>
      </c>
      <c r="H8">
        <f t="shared" si="2"/>
        <v>1</v>
      </c>
      <c r="I8">
        <f t="shared" si="3"/>
        <v>0</v>
      </c>
      <c r="J8">
        <f t="shared" si="4"/>
        <v>0.93094933625126275</v>
      </c>
      <c r="K8">
        <f t="shared" si="5"/>
        <v>0</v>
      </c>
      <c r="L8">
        <f t="shared" si="6"/>
        <v>1.0741723110591492</v>
      </c>
      <c r="M8">
        <f t="shared" si="7"/>
        <v>30</v>
      </c>
    </row>
    <row r="9" spans="1:13" x14ac:dyDescent="0.25">
      <c r="A9" t="s">
        <v>66</v>
      </c>
      <c r="B9">
        <v>17</v>
      </c>
      <c r="C9">
        <v>2.5</v>
      </c>
      <c r="D9">
        <v>17</v>
      </c>
      <c r="E9">
        <v>0.5</v>
      </c>
      <c r="F9">
        <f t="shared" si="0"/>
        <v>0.14705882352941177</v>
      </c>
      <c r="G9">
        <f t="shared" si="1"/>
        <v>2.9411764705882353E-2</v>
      </c>
      <c r="H9">
        <f t="shared" si="2"/>
        <v>5</v>
      </c>
      <c r="I9">
        <f t="shared" si="3"/>
        <v>1.6094379124341003</v>
      </c>
      <c r="J9">
        <f t="shared" si="4"/>
        <v>1.5107458228227773</v>
      </c>
      <c r="K9">
        <f t="shared" si="5"/>
        <v>1.7386496439141066</v>
      </c>
      <c r="L9">
        <f t="shared" si="6"/>
        <v>1.5904626930071135</v>
      </c>
      <c r="M9">
        <f t="shared" si="7"/>
        <v>34</v>
      </c>
    </row>
    <row r="10" spans="1:13" x14ac:dyDescent="0.25">
      <c r="A10" t="s">
        <v>67</v>
      </c>
      <c r="B10">
        <v>8</v>
      </c>
      <c r="C10">
        <v>2.5</v>
      </c>
      <c r="D10">
        <v>8</v>
      </c>
      <c r="E10">
        <v>0.5</v>
      </c>
      <c r="F10">
        <f t="shared" si="0"/>
        <v>0.3125</v>
      </c>
      <c r="G10">
        <f t="shared" si="1"/>
        <v>6.25E-2</v>
      </c>
      <c r="H10">
        <f t="shared" si="2"/>
        <v>5</v>
      </c>
      <c r="I10">
        <f t="shared" si="3"/>
        <v>1.6094379124341003</v>
      </c>
      <c r="J10">
        <f t="shared" si="4"/>
        <v>1.4662878298615181</v>
      </c>
      <c r="K10">
        <f t="shared" si="5"/>
        <v>1.9195928407379399</v>
      </c>
      <c r="L10">
        <f t="shared" si="6"/>
        <v>1.6477716817421992</v>
      </c>
      <c r="M10">
        <f t="shared" si="7"/>
        <v>16</v>
      </c>
    </row>
    <row r="11" spans="1:13" x14ac:dyDescent="0.25">
      <c r="A11" t="s">
        <v>57</v>
      </c>
      <c r="B11">
        <v>27</v>
      </c>
      <c r="C11">
        <v>4</v>
      </c>
      <c r="D11">
        <v>22</v>
      </c>
      <c r="E11">
        <v>1</v>
      </c>
      <c r="F11">
        <f t="shared" si="0"/>
        <v>0.14814814814814814</v>
      </c>
      <c r="G11">
        <f t="shared" si="1"/>
        <v>4.5454545454545456E-2</v>
      </c>
      <c r="H11">
        <f t="shared" si="2"/>
        <v>3.2592592592592591</v>
      </c>
      <c r="I11">
        <f t="shared" si="3"/>
        <v>1.1814999484738773</v>
      </c>
      <c r="J11">
        <f t="shared" si="4"/>
        <v>1.0805130344000564</v>
      </c>
      <c r="K11">
        <f t="shared" si="5"/>
        <v>1.2953225829141639</v>
      </c>
      <c r="L11">
        <f t="shared" si="6"/>
        <v>1.1580575583659962</v>
      </c>
      <c r="M11">
        <f t="shared" si="7"/>
        <v>49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J2" sqref="J2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380</v>
      </c>
    </row>
    <row r="2" spans="1:10" x14ac:dyDescent="0.25">
      <c r="A2" t="s">
        <v>72</v>
      </c>
      <c r="B2">
        <v>0.32600000000000001</v>
      </c>
      <c r="C2">
        <v>-0.49099999999999999</v>
      </c>
      <c r="D2">
        <v>1.1439999999999999</v>
      </c>
      <c r="E2">
        <v>10</v>
      </c>
      <c r="F2">
        <v>14</v>
      </c>
      <c r="G2">
        <v>0.95</v>
      </c>
      <c r="H2">
        <f>$B2</f>
        <v>0.32600000000000001</v>
      </c>
      <c r="I2">
        <f>($E2+$F2)/($E2*$F2)+$H2^2/(2*($E2+$F2))</f>
        <v>0.17364265476190477</v>
      </c>
      <c r="J2">
        <f>SQRT($I2)</f>
        <v>0.41670451732841196</v>
      </c>
    </row>
    <row r="3" spans="1:10" x14ac:dyDescent="0.25">
      <c r="A3" t="s">
        <v>27</v>
      </c>
      <c r="B3">
        <v>1.4999999999999999E-2</v>
      </c>
      <c r="C3">
        <v>-0.78800000000000003</v>
      </c>
      <c r="D3">
        <v>0.81799999999999995</v>
      </c>
      <c r="E3">
        <v>13</v>
      </c>
      <c r="F3">
        <v>11</v>
      </c>
      <c r="G3">
        <v>0.95</v>
      </c>
      <c r="H3">
        <f t="shared" ref="H3:H6" si="0">$B3</f>
        <v>1.4999999999999999E-2</v>
      </c>
      <c r="I3">
        <f t="shared" ref="I3:I8" si="1">($E3+$F3)/($E3*$F3)+$H3^2/(2*($E3+$F3))</f>
        <v>0.16783685533216783</v>
      </c>
      <c r="J3">
        <f t="shared" ref="J3:J8" si="2">SQRT($I3)</f>
        <v>0.40967896618226307</v>
      </c>
    </row>
    <row r="4" spans="1:10" x14ac:dyDescent="0.25">
      <c r="A4" t="s">
        <v>73</v>
      </c>
      <c r="B4">
        <v>-0.65900000000000003</v>
      </c>
      <c r="C4">
        <v>-1.5649999999999999</v>
      </c>
      <c r="D4">
        <v>0.247</v>
      </c>
      <c r="E4">
        <v>10</v>
      </c>
      <c r="F4">
        <v>10</v>
      </c>
      <c r="G4">
        <v>0.95</v>
      </c>
      <c r="H4">
        <f t="shared" si="0"/>
        <v>-0.65900000000000003</v>
      </c>
      <c r="I4">
        <f t="shared" si="1"/>
        <v>0.210857025</v>
      </c>
      <c r="J4">
        <f t="shared" si="2"/>
        <v>0.45919170833106299</v>
      </c>
    </row>
    <row r="5" spans="1:10" x14ac:dyDescent="0.25">
      <c r="A5" t="s">
        <v>74</v>
      </c>
      <c r="B5">
        <v>-0.25900000000000001</v>
      </c>
      <c r="C5">
        <v>-0.79900000000000004</v>
      </c>
      <c r="D5">
        <v>0.26100000000000001</v>
      </c>
      <c r="E5">
        <v>44</v>
      </c>
      <c r="F5">
        <v>19</v>
      </c>
      <c r="G5">
        <v>0.95</v>
      </c>
      <c r="H5">
        <f t="shared" si="0"/>
        <v>-0.25900000000000001</v>
      </c>
      <c r="I5">
        <f t="shared" si="1"/>
        <v>7.5891240563530041E-2</v>
      </c>
      <c r="J5">
        <f t="shared" si="2"/>
        <v>0.27548364845037543</v>
      </c>
    </row>
    <row r="6" spans="1:10" x14ac:dyDescent="0.25">
      <c r="A6" t="s">
        <v>75</v>
      </c>
      <c r="B6">
        <v>-0.63300000000000001</v>
      </c>
      <c r="C6">
        <v>-1.369</v>
      </c>
      <c r="D6">
        <v>0.10299999999999999</v>
      </c>
      <c r="E6">
        <v>15</v>
      </c>
      <c r="F6">
        <v>15</v>
      </c>
      <c r="G6">
        <v>0.95</v>
      </c>
      <c r="H6">
        <f t="shared" si="0"/>
        <v>-0.63300000000000001</v>
      </c>
      <c r="I6">
        <f t="shared" si="1"/>
        <v>0.14001148333333333</v>
      </c>
      <c r="J6">
        <f t="shared" si="2"/>
        <v>0.3741810836123779</v>
      </c>
    </row>
    <row r="7" spans="1:10" x14ac:dyDescent="0.25">
      <c r="A7" t="s">
        <v>76</v>
      </c>
      <c r="B7">
        <v>0.183</v>
      </c>
      <c r="C7">
        <v>-0.373</v>
      </c>
      <c r="D7">
        <v>0.73799999999999999</v>
      </c>
      <c r="E7">
        <v>29</v>
      </c>
      <c r="F7">
        <v>22</v>
      </c>
      <c r="G7">
        <v>0.95</v>
      </c>
      <c r="H7">
        <f>$B7</f>
        <v>0.183</v>
      </c>
      <c r="I7">
        <f t="shared" si="1"/>
        <v>8.026562760464688E-2</v>
      </c>
      <c r="J7">
        <f t="shared" si="2"/>
        <v>0.28331189103997539</v>
      </c>
    </row>
    <row r="8" spans="1:10" x14ac:dyDescent="0.25">
      <c r="A8" t="s">
        <v>77</v>
      </c>
      <c r="B8">
        <v>9.9000000000000005E-2</v>
      </c>
      <c r="C8">
        <v>-0.77800000000000002</v>
      </c>
      <c r="D8">
        <v>0.97599999999999998</v>
      </c>
      <c r="E8">
        <v>10</v>
      </c>
      <c r="F8">
        <v>10</v>
      </c>
      <c r="G8">
        <v>0.95</v>
      </c>
      <c r="H8">
        <f>$B8</f>
        <v>9.9000000000000005E-2</v>
      </c>
      <c r="I8">
        <f t="shared" si="1"/>
        <v>0.20024502500000002</v>
      </c>
      <c r="J8">
        <f t="shared" si="2"/>
        <v>0.44748745792480044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K1" sqref="K1:K1048576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72</v>
      </c>
      <c r="B2">
        <v>0.39800000000000002</v>
      </c>
      <c r="C2">
        <v>-0.42299999999999999</v>
      </c>
      <c r="D2">
        <v>1.218</v>
      </c>
      <c r="E2">
        <v>10</v>
      </c>
      <c r="F2">
        <v>14</v>
      </c>
      <c r="G2">
        <v>0.95</v>
      </c>
      <c r="H2">
        <f>$B2</f>
        <v>0.39800000000000002</v>
      </c>
      <c r="I2">
        <f>($E2+$F2)/($E2*$F2)+$H2^2/(2*($E2+$F2))</f>
        <v>0.17472865476190477</v>
      </c>
      <c r="J2">
        <f>SQRT($I2)</f>
        <v>0.41800556785993265</v>
      </c>
    </row>
    <row r="3" spans="1:10" x14ac:dyDescent="0.25">
      <c r="A3" t="s">
        <v>27</v>
      </c>
      <c r="B3">
        <v>0</v>
      </c>
      <c r="C3">
        <v>-0.80300000000000005</v>
      </c>
      <c r="D3">
        <v>0.80300000000000005</v>
      </c>
      <c r="E3">
        <v>13</v>
      </c>
      <c r="F3">
        <v>11</v>
      </c>
      <c r="G3">
        <v>0.95</v>
      </c>
      <c r="H3">
        <f t="shared" ref="H3:H6" si="0">$B3</f>
        <v>0</v>
      </c>
      <c r="I3">
        <f t="shared" ref="I3:I7" si="1">($E3+$F3)/($E3*$F3)+$H3^2/(2*($E3+$F3))</f>
        <v>0.16783216783216784</v>
      </c>
      <c r="J3">
        <f t="shared" ref="J3:J7" si="2">SQRT($I3)</f>
        <v>0.40967324519935133</v>
      </c>
    </row>
    <row r="4" spans="1:10" x14ac:dyDescent="0.25">
      <c r="A4" t="s">
        <v>78</v>
      </c>
      <c r="B4">
        <v>-0.67</v>
      </c>
      <c r="C4">
        <v>-1.577</v>
      </c>
      <c r="D4">
        <v>0.23699999999999999</v>
      </c>
      <c r="E4">
        <v>10</v>
      </c>
      <c r="F4">
        <v>10</v>
      </c>
      <c r="G4">
        <v>0.95</v>
      </c>
      <c r="H4">
        <f t="shared" si="0"/>
        <v>-0.67</v>
      </c>
      <c r="I4">
        <f t="shared" si="1"/>
        <v>0.21122250000000001</v>
      </c>
      <c r="J4">
        <f t="shared" si="2"/>
        <v>0.45958949074146593</v>
      </c>
    </row>
    <row r="5" spans="1:10" x14ac:dyDescent="0.25">
      <c r="A5" t="s">
        <v>79</v>
      </c>
      <c r="B5">
        <v>-0.21299999999999999</v>
      </c>
      <c r="C5">
        <v>-0.8</v>
      </c>
      <c r="D5">
        <v>0.375</v>
      </c>
      <c r="E5">
        <v>44</v>
      </c>
      <c r="F5">
        <v>15</v>
      </c>
      <c r="G5">
        <v>0.95</v>
      </c>
      <c r="H5">
        <f t="shared" si="0"/>
        <v>-0.21299999999999999</v>
      </c>
      <c r="I5">
        <f t="shared" si="1"/>
        <v>8.9778422444786857E-2</v>
      </c>
      <c r="J5">
        <f t="shared" si="2"/>
        <v>0.29963047649527719</v>
      </c>
    </row>
    <row r="6" spans="1:10" x14ac:dyDescent="0.25">
      <c r="A6" t="s">
        <v>76</v>
      </c>
      <c r="B6">
        <v>-1.4999999999999999E-2</v>
      </c>
      <c r="C6">
        <v>-0.56899999999999995</v>
      </c>
      <c r="D6">
        <v>0.53900000000000003</v>
      </c>
      <c r="E6">
        <v>29</v>
      </c>
      <c r="F6">
        <v>22</v>
      </c>
      <c r="G6">
        <v>0.95</v>
      </c>
      <c r="H6">
        <f t="shared" si="0"/>
        <v>-1.4999999999999999E-2</v>
      </c>
      <c r="I6">
        <f t="shared" si="1"/>
        <v>7.9939509957588056E-2</v>
      </c>
      <c r="J6">
        <f t="shared" si="2"/>
        <v>0.28273575995545391</v>
      </c>
    </row>
    <row r="7" spans="1:10" x14ac:dyDescent="0.25">
      <c r="A7" t="s">
        <v>77</v>
      </c>
      <c r="B7">
        <v>-0.16200000000000001</v>
      </c>
      <c r="C7">
        <v>-1.0409999999999999</v>
      </c>
      <c r="D7">
        <v>0.71599999999999997</v>
      </c>
      <c r="E7">
        <v>10</v>
      </c>
      <c r="F7">
        <v>10</v>
      </c>
      <c r="G7">
        <v>0.95</v>
      </c>
      <c r="H7">
        <f>$B7</f>
        <v>-0.16200000000000001</v>
      </c>
      <c r="I7">
        <f t="shared" si="1"/>
        <v>0.2006561</v>
      </c>
      <c r="J7">
        <f t="shared" si="2"/>
        <v>0.44794653698851161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M2" sqref="M2:M7"/>
    </sheetView>
  </sheetViews>
  <sheetFormatPr defaultColWidth="11.42578125" defaultRowHeight="15" x14ac:dyDescent="0.25"/>
  <cols>
    <col min="4" max="4" width="20.42578125" customWidth="1"/>
  </cols>
  <sheetData>
    <row r="1" spans="1:13" x14ac:dyDescent="0.25">
      <c r="A1" t="s">
        <v>19</v>
      </c>
      <c r="B1" t="s">
        <v>81</v>
      </c>
      <c r="C1" t="s">
        <v>69</v>
      </c>
      <c r="D1" t="s">
        <v>82</v>
      </c>
      <c r="E1" t="s">
        <v>83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72</v>
      </c>
      <c r="B2">
        <v>14</v>
      </c>
      <c r="C2">
        <v>4</v>
      </c>
      <c r="D2">
        <v>17</v>
      </c>
      <c r="E2">
        <v>3</v>
      </c>
      <c r="F2">
        <f>$C2/$B2</f>
        <v>0.2857142857142857</v>
      </c>
      <c r="G2">
        <f>$E2/$D2</f>
        <v>0.17647058823529413</v>
      </c>
      <c r="H2">
        <f>$F2/$G2</f>
        <v>1.6190476190476188</v>
      </c>
      <c r="I2">
        <f>LN($H2)</f>
        <v>0.48183808689273827</v>
      </c>
      <c r="J2">
        <f>SQRT((1-$F2)/($B2*$F2)+(1-$G2)/($D2*$G2))</f>
        <v>0.67311309041868816</v>
      </c>
      <c r="K2">
        <f>LN(($C2*($D2-$E2))/(($B2-$C2)*$E2))</f>
        <v>0.62415430907299385</v>
      </c>
      <c r="L2">
        <f>SQRT(1/$C2+1/($B2-$C2)+1/$E2+1/($D2-$E2))</f>
        <v>0.86877034063203651</v>
      </c>
      <c r="M2">
        <f>$B2+$D2</f>
        <v>31</v>
      </c>
    </row>
    <row r="3" spans="1:13" x14ac:dyDescent="0.25">
      <c r="A3" t="s">
        <v>27</v>
      </c>
      <c r="B3">
        <v>13</v>
      </c>
      <c r="C3">
        <v>1</v>
      </c>
      <c r="D3">
        <v>11</v>
      </c>
      <c r="E3">
        <v>1</v>
      </c>
      <c r="F3">
        <f t="shared" ref="F3:F7" si="0">$C3/$B3</f>
        <v>7.6923076923076927E-2</v>
      </c>
      <c r="G3">
        <f t="shared" ref="G3:G7" si="1">$E3/$D3</f>
        <v>9.0909090909090912E-2</v>
      </c>
      <c r="H3">
        <f t="shared" ref="H3:H7" si="2">$F3/$G3</f>
        <v>0.84615384615384615</v>
      </c>
      <c r="I3">
        <f t="shared" ref="I3:I7" si="3">LN($H3)</f>
        <v>-0.16705408466316621</v>
      </c>
      <c r="J3">
        <f t="shared" ref="J3:J7" si="4">SQRT((1-$F3)/($B3*$F3)+(1-$G3)/($D3*$G3))</f>
        <v>1.3535759425196032</v>
      </c>
      <c r="K3">
        <f t="shared" ref="K3:K7" si="5">LN(($C3*($D3-$E3))/(($B3-$C3)*$E3))</f>
        <v>-0.18232155679395459</v>
      </c>
      <c r="L3">
        <f t="shared" ref="L3:L7" si="6">SQRT(1/$C3+1/($B3-$C3)+1/$E3+1/($D3-$E3))</f>
        <v>1.4776106839534333</v>
      </c>
      <c r="M3">
        <f t="shared" ref="M3:M7" si="7">$B3+$D3</f>
        <v>24</v>
      </c>
    </row>
    <row r="4" spans="1:13" x14ac:dyDescent="0.25">
      <c r="A4" t="s">
        <v>78</v>
      </c>
      <c r="B4">
        <v>10</v>
      </c>
      <c r="C4">
        <v>1</v>
      </c>
      <c r="D4">
        <v>10</v>
      </c>
      <c r="E4">
        <v>1</v>
      </c>
      <c r="F4">
        <f t="shared" si="0"/>
        <v>0.1</v>
      </c>
      <c r="G4">
        <f t="shared" si="1"/>
        <v>0.1</v>
      </c>
      <c r="H4">
        <f t="shared" si="2"/>
        <v>1</v>
      </c>
      <c r="I4">
        <f t="shared" si="3"/>
        <v>0</v>
      </c>
      <c r="J4">
        <f t="shared" si="4"/>
        <v>1.3416407864998738</v>
      </c>
      <c r="K4">
        <f t="shared" si="5"/>
        <v>0</v>
      </c>
      <c r="L4">
        <f t="shared" si="6"/>
        <v>1.4907119849998598</v>
      </c>
      <c r="M4">
        <f t="shared" si="7"/>
        <v>20</v>
      </c>
    </row>
    <row r="5" spans="1:13" x14ac:dyDescent="0.25">
      <c r="A5" t="s">
        <v>80</v>
      </c>
      <c r="B5">
        <v>66</v>
      </c>
      <c r="C5">
        <v>9</v>
      </c>
      <c r="D5">
        <v>21</v>
      </c>
      <c r="E5">
        <v>1</v>
      </c>
      <c r="F5">
        <f t="shared" si="0"/>
        <v>0.13636363636363635</v>
      </c>
      <c r="G5">
        <f t="shared" si="1"/>
        <v>4.7619047619047616E-2</v>
      </c>
      <c r="H5">
        <f t="shared" si="2"/>
        <v>2.8636363636363638</v>
      </c>
      <c r="I5">
        <f t="shared" si="3"/>
        <v>1.052092273033217</v>
      </c>
      <c r="J5">
        <f t="shared" si="4"/>
        <v>1.0238850269149111</v>
      </c>
      <c r="K5">
        <f t="shared" si="5"/>
        <v>1.1499055830556602</v>
      </c>
      <c r="L5">
        <f t="shared" si="6"/>
        <v>1.0856587727091023</v>
      </c>
      <c r="M5">
        <f t="shared" si="7"/>
        <v>87</v>
      </c>
    </row>
    <row r="6" spans="1:13" x14ac:dyDescent="0.25">
      <c r="A6" t="s">
        <v>79</v>
      </c>
      <c r="B6">
        <v>55</v>
      </c>
      <c r="C6">
        <v>10</v>
      </c>
      <c r="D6">
        <v>26</v>
      </c>
      <c r="E6">
        <v>7</v>
      </c>
      <c r="F6">
        <f t="shared" si="0"/>
        <v>0.18181818181818182</v>
      </c>
      <c r="G6">
        <f t="shared" si="1"/>
        <v>0.26923076923076922</v>
      </c>
      <c r="H6">
        <f t="shared" si="2"/>
        <v>0.67532467532467533</v>
      </c>
      <c r="I6">
        <f t="shared" si="3"/>
        <v>-0.39256170327225648</v>
      </c>
      <c r="J6">
        <f t="shared" si="4"/>
        <v>0.43152495433495641</v>
      </c>
      <c r="K6">
        <f t="shared" si="5"/>
        <v>-0.50554856666514703</v>
      </c>
      <c r="L6">
        <f t="shared" si="6"/>
        <v>0.56365853495421636</v>
      </c>
      <c r="M6">
        <f t="shared" si="7"/>
        <v>81</v>
      </c>
    </row>
    <row r="7" spans="1:13" x14ac:dyDescent="0.25">
      <c r="A7" t="s">
        <v>75</v>
      </c>
      <c r="B7">
        <v>22</v>
      </c>
      <c r="C7">
        <v>7</v>
      </c>
      <c r="D7">
        <v>19</v>
      </c>
      <c r="E7">
        <v>4</v>
      </c>
      <c r="F7">
        <f t="shared" si="0"/>
        <v>0.31818181818181818</v>
      </c>
      <c r="G7">
        <f t="shared" si="1"/>
        <v>0.21052631578947367</v>
      </c>
      <c r="H7">
        <f t="shared" si="2"/>
        <v>1.5113636363636365</v>
      </c>
      <c r="I7">
        <f t="shared" si="3"/>
        <v>0.41301231374354735</v>
      </c>
      <c r="J7">
        <f t="shared" si="4"/>
        <v>0.5429281890408979</v>
      </c>
      <c r="K7">
        <f t="shared" si="5"/>
        <v>0.55961578793542266</v>
      </c>
      <c r="L7">
        <f t="shared" si="6"/>
        <v>0.72538987874830196</v>
      </c>
      <c r="M7">
        <f t="shared" si="7"/>
        <v>41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M2" sqref="M2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99</v>
      </c>
      <c r="C1" t="s">
        <v>100</v>
      </c>
      <c r="D1" t="s">
        <v>101</v>
      </c>
      <c r="E1" t="s">
        <v>102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84</v>
      </c>
      <c r="B2">
        <v>4</v>
      </c>
      <c r="C2">
        <v>31</v>
      </c>
      <c r="D2">
        <v>1</v>
      </c>
      <c r="E2">
        <v>23</v>
      </c>
      <c r="F2">
        <f>$B2/$C2</f>
        <v>0.12903225806451613</v>
      </c>
      <c r="G2">
        <f>$D2/$E2</f>
        <v>4.3478260869565216E-2</v>
      </c>
      <c r="H2">
        <f>$F2/$G2</f>
        <v>2.967741935483871</v>
      </c>
      <c r="I2">
        <f>LN($H2)</f>
        <v>1.087801372563894</v>
      </c>
      <c r="J2">
        <f>SQRT((1-$F2)/($C2*$F2)+(1-$G2)/($E2*$G2))</f>
        <v>1.0836344746335389</v>
      </c>
      <c r="K2">
        <f>LN(($B2*($E2-$D2))/(($C2-$B2)*$D2))</f>
        <v>1.1814999484738773</v>
      </c>
      <c r="L2">
        <f>SQRT(1/$B2+1/($C2-$B2)+1/$D2+1/($E2-$D2))</f>
        <v>1.1543359920281366</v>
      </c>
      <c r="M2">
        <f>$C2+$E2</f>
        <v>54</v>
      </c>
    </row>
    <row r="3" spans="1:13" x14ac:dyDescent="0.25">
      <c r="A3" t="s">
        <v>85</v>
      </c>
      <c r="B3">
        <v>1</v>
      </c>
      <c r="C3">
        <v>11</v>
      </c>
      <c r="D3">
        <v>1</v>
      </c>
      <c r="E3">
        <v>13</v>
      </c>
      <c r="F3">
        <f t="shared" ref="F3:F16" si="0">$B3/$C3</f>
        <v>9.0909090909090912E-2</v>
      </c>
      <c r="G3">
        <f t="shared" ref="G3:G16" si="1">$D3/$E3</f>
        <v>7.6923076923076927E-2</v>
      </c>
      <c r="H3">
        <f t="shared" ref="H3:H16" si="2">$F3/$G3</f>
        <v>1.1818181818181819</v>
      </c>
      <c r="I3">
        <f t="shared" ref="I3:I16" si="3">LN($H3)</f>
        <v>0.16705408466316624</v>
      </c>
      <c r="J3">
        <f t="shared" ref="J3:J16" si="4">SQRT((1-$F3)/($C3*$F3)+(1-$G3)/($E3*$G3))</f>
        <v>1.3535759425196032</v>
      </c>
      <c r="K3">
        <f t="shared" ref="K3:K16" si="5">LN(($B3*($E3-$D3))/(($C3-$B3)*$D3))</f>
        <v>0.18232155679395459</v>
      </c>
      <c r="L3">
        <f t="shared" ref="L3:L16" si="6">SQRT(1/$B3+1/($C3-$B3)+1/$D3+1/($E3-$D3))</f>
        <v>1.4776106839534335</v>
      </c>
      <c r="M3">
        <f t="shared" ref="M3:M16" si="7">$C3+$E3</f>
        <v>24</v>
      </c>
    </row>
    <row r="4" spans="1:13" x14ac:dyDescent="0.25">
      <c r="A4" t="s">
        <v>86</v>
      </c>
      <c r="B4">
        <v>4</v>
      </c>
      <c r="C4">
        <v>14</v>
      </c>
      <c r="D4">
        <v>1</v>
      </c>
      <c r="E4">
        <v>10</v>
      </c>
      <c r="F4">
        <f t="shared" si="0"/>
        <v>0.2857142857142857</v>
      </c>
      <c r="G4">
        <f t="shared" si="1"/>
        <v>0.1</v>
      </c>
      <c r="H4">
        <f t="shared" si="2"/>
        <v>2.8571428571428568</v>
      </c>
      <c r="I4">
        <f t="shared" si="3"/>
        <v>1.0498221244986776</v>
      </c>
      <c r="J4">
        <f t="shared" si="4"/>
        <v>1.0385429353529052</v>
      </c>
      <c r="K4">
        <f t="shared" si="5"/>
        <v>1.2809338454620642</v>
      </c>
      <c r="L4">
        <f t="shared" si="6"/>
        <v>1.208764290964583</v>
      </c>
      <c r="M4">
        <f t="shared" si="7"/>
        <v>24</v>
      </c>
    </row>
    <row r="5" spans="1:13" x14ac:dyDescent="0.25">
      <c r="A5" t="s">
        <v>87</v>
      </c>
      <c r="B5">
        <v>1</v>
      </c>
      <c r="C5">
        <v>13</v>
      </c>
      <c r="D5">
        <v>1</v>
      </c>
      <c r="E5">
        <v>17</v>
      </c>
      <c r="F5">
        <f t="shared" si="0"/>
        <v>7.6923076923076927E-2</v>
      </c>
      <c r="G5">
        <f t="shared" si="1"/>
        <v>5.8823529411764705E-2</v>
      </c>
      <c r="H5">
        <f t="shared" si="2"/>
        <v>1.3076923076923077</v>
      </c>
      <c r="I5">
        <f t="shared" si="3"/>
        <v>0.26826398659467937</v>
      </c>
      <c r="J5">
        <f t="shared" si="4"/>
        <v>1.3653766490112385</v>
      </c>
      <c r="K5">
        <f t="shared" si="5"/>
        <v>0.28768207245178085</v>
      </c>
      <c r="L5">
        <f t="shared" si="6"/>
        <v>1.4648663192705786</v>
      </c>
      <c r="M5">
        <f t="shared" si="7"/>
        <v>30</v>
      </c>
    </row>
    <row r="6" spans="1:13" x14ac:dyDescent="0.25">
      <c r="A6" t="s">
        <v>88</v>
      </c>
      <c r="B6">
        <v>2</v>
      </c>
      <c r="C6">
        <v>12</v>
      </c>
      <c r="D6">
        <v>1</v>
      </c>
      <c r="E6">
        <v>11</v>
      </c>
      <c r="F6">
        <f t="shared" si="0"/>
        <v>0.16666666666666666</v>
      </c>
      <c r="G6">
        <f t="shared" si="1"/>
        <v>9.0909090909090912E-2</v>
      </c>
      <c r="H6">
        <f t="shared" si="2"/>
        <v>1.8333333333333333</v>
      </c>
      <c r="I6">
        <f t="shared" si="3"/>
        <v>0.60613580357031549</v>
      </c>
      <c r="J6">
        <f t="shared" si="4"/>
        <v>1.1514154661795957</v>
      </c>
      <c r="K6">
        <f t="shared" si="5"/>
        <v>0.69314718055994529</v>
      </c>
      <c r="L6">
        <f t="shared" si="6"/>
        <v>1.3038404810405297</v>
      </c>
      <c r="M6">
        <f t="shared" si="7"/>
        <v>23</v>
      </c>
    </row>
    <row r="7" spans="1:13" x14ac:dyDescent="0.25">
      <c r="A7" t="s">
        <v>89</v>
      </c>
      <c r="B7">
        <v>10</v>
      </c>
      <c r="C7">
        <v>55</v>
      </c>
      <c r="D7">
        <v>1</v>
      </c>
      <c r="E7">
        <v>15</v>
      </c>
      <c r="F7">
        <f t="shared" si="0"/>
        <v>0.18181818181818182</v>
      </c>
      <c r="G7">
        <f t="shared" si="1"/>
        <v>6.6666666666666666E-2</v>
      </c>
      <c r="H7">
        <f t="shared" si="2"/>
        <v>2.7272727272727275</v>
      </c>
      <c r="I7">
        <f t="shared" si="3"/>
        <v>1.003302108863785</v>
      </c>
      <c r="J7">
        <f t="shared" si="4"/>
        <v>1.0075472768815938</v>
      </c>
      <c r="K7">
        <f t="shared" si="5"/>
        <v>1.1349799328389845</v>
      </c>
      <c r="L7">
        <f t="shared" si="6"/>
        <v>1.0925432685485703</v>
      </c>
      <c r="M7">
        <f t="shared" si="7"/>
        <v>70</v>
      </c>
    </row>
    <row r="8" spans="1:13" x14ac:dyDescent="0.25">
      <c r="A8" t="s">
        <v>90</v>
      </c>
      <c r="B8">
        <v>1</v>
      </c>
      <c r="C8">
        <v>22</v>
      </c>
      <c r="D8">
        <v>1</v>
      </c>
      <c r="E8">
        <v>20</v>
      </c>
      <c r="F8">
        <f t="shared" si="0"/>
        <v>4.5454545454545456E-2</v>
      </c>
      <c r="G8">
        <f t="shared" si="1"/>
        <v>0.05</v>
      </c>
      <c r="H8">
        <f t="shared" si="2"/>
        <v>0.90909090909090906</v>
      </c>
      <c r="I8">
        <f t="shared" si="3"/>
        <v>-9.5310179804324893E-2</v>
      </c>
      <c r="J8">
        <f t="shared" si="4"/>
        <v>1.3800526999160048</v>
      </c>
      <c r="K8">
        <f t="shared" si="5"/>
        <v>-0.10008345855698253</v>
      </c>
      <c r="L8">
        <f t="shared" si="6"/>
        <v>1.4492241464198752</v>
      </c>
      <c r="M8">
        <f t="shared" si="7"/>
        <v>42</v>
      </c>
    </row>
    <row r="9" spans="1:13" x14ac:dyDescent="0.25">
      <c r="A9" t="s">
        <v>91</v>
      </c>
      <c r="B9">
        <v>9</v>
      </c>
      <c r="C9">
        <v>31</v>
      </c>
      <c r="D9">
        <v>3</v>
      </c>
      <c r="E9">
        <v>27</v>
      </c>
      <c r="F9">
        <f t="shared" si="0"/>
        <v>0.29032258064516131</v>
      </c>
      <c r="G9">
        <f t="shared" si="1"/>
        <v>0.1111111111111111</v>
      </c>
      <c r="H9">
        <f t="shared" si="2"/>
        <v>2.612903225806452</v>
      </c>
      <c r="I9">
        <f t="shared" si="3"/>
        <v>0.96046195018729263</v>
      </c>
      <c r="J9">
        <f t="shared" si="4"/>
        <v>0.61249436151794767</v>
      </c>
      <c r="K9">
        <f t="shared" si="5"/>
        <v>1.1856236656577395</v>
      </c>
      <c r="L9">
        <f t="shared" si="6"/>
        <v>0.72908549331724914</v>
      </c>
      <c r="M9">
        <f t="shared" si="7"/>
        <v>58</v>
      </c>
    </row>
    <row r="10" spans="1:13" x14ac:dyDescent="0.25">
      <c r="A10" t="s">
        <v>92</v>
      </c>
      <c r="B10">
        <v>12</v>
      </c>
      <c r="C10">
        <v>37</v>
      </c>
      <c r="D10">
        <v>5</v>
      </c>
      <c r="E10">
        <v>29</v>
      </c>
      <c r="F10">
        <f t="shared" si="0"/>
        <v>0.32432432432432434</v>
      </c>
      <c r="G10">
        <f t="shared" si="1"/>
        <v>0.17241379310344829</v>
      </c>
      <c r="H10">
        <f t="shared" si="2"/>
        <v>1.881081081081081</v>
      </c>
      <c r="I10">
        <f t="shared" si="3"/>
        <v>0.63184665469614942</v>
      </c>
      <c r="J10">
        <f t="shared" si="4"/>
        <v>0.47098147276258823</v>
      </c>
      <c r="K10">
        <f t="shared" si="5"/>
        <v>0.83464674283364471</v>
      </c>
      <c r="L10">
        <f t="shared" si="6"/>
        <v>0.60415229867972864</v>
      </c>
      <c r="M10">
        <f t="shared" si="7"/>
        <v>66</v>
      </c>
    </row>
    <row r="11" spans="1:13" x14ac:dyDescent="0.25">
      <c r="A11" t="s">
        <v>93</v>
      </c>
      <c r="B11">
        <v>33</v>
      </c>
      <c r="C11">
        <v>124</v>
      </c>
      <c r="D11">
        <v>7</v>
      </c>
      <c r="E11">
        <v>47</v>
      </c>
      <c r="F11">
        <f t="shared" si="0"/>
        <v>0.2661290322580645</v>
      </c>
      <c r="G11">
        <f t="shared" si="1"/>
        <v>0.14893617021276595</v>
      </c>
      <c r="H11">
        <f t="shared" si="2"/>
        <v>1.7868663594470047</v>
      </c>
      <c r="I11">
        <f t="shared" si="3"/>
        <v>0.5804634485161887</v>
      </c>
      <c r="J11">
        <f t="shared" si="4"/>
        <v>0.3792348365939765</v>
      </c>
      <c r="K11">
        <f t="shared" si="5"/>
        <v>0.72861736000825306</v>
      </c>
      <c r="L11">
        <f t="shared" si="6"/>
        <v>0.45732831111706185</v>
      </c>
      <c r="M11">
        <f t="shared" si="7"/>
        <v>171</v>
      </c>
    </row>
    <row r="12" spans="1:13" x14ac:dyDescent="0.25">
      <c r="A12" t="s">
        <v>94</v>
      </c>
      <c r="B12">
        <v>10</v>
      </c>
      <c r="C12">
        <v>37</v>
      </c>
      <c r="D12">
        <v>1</v>
      </c>
      <c r="E12">
        <v>25</v>
      </c>
      <c r="F12">
        <f t="shared" si="0"/>
        <v>0.27027027027027029</v>
      </c>
      <c r="G12">
        <f t="shared" si="1"/>
        <v>0.04</v>
      </c>
      <c r="H12">
        <f t="shared" si="2"/>
        <v>6.756756756756757</v>
      </c>
      <c r="I12">
        <f t="shared" si="3"/>
        <v>1.9105430052180221</v>
      </c>
      <c r="J12">
        <f t="shared" si="4"/>
        <v>1.016352779783168</v>
      </c>
      <c r="K12">
        <f t="shared" si="5"/>
        <v>2.1848020573376621</v>
      </c>
      <c r="L12">
        <f t="shared" si="6"/>
        <v>1.0856812164275957</v>
      </c>
      <c r="M12">
        <f t="shared" si="7"/>
        <v>62</v>
      </c>
    </row>
    <row r="13" spans="1:13" x14ac:dyDescent="0.25">
      <c r="A13" t="s">
        <v>95</v>
      </c>
      <c r="B13">
        <v>1</v>
      </c>
      <c r="C13">
        <v>14</v>
      </c>
      <c r="D13">
        <v>1</v>
      </c>
      <c r="E13">
        <v>14</v>
      </c>
      <c r="F13">
        <f t="shared" si="0"/>
        <v>7.1428571428571425E-2</v>
      </c>
      <c r="G13">
        <f t="shared" si="1"/>
        <v>7.1428571428571425E-2</v>
      </c>
      <c r="H13">
        <f t="shared" si="2"/>
        <v>1</v>
      </c>
      <c r="I13">
        <f t="shared" si="3"/>
        <v>0</v>
      </c>
      <c r="J13">
        <f t="shared" si="4"/>
        <v>1.3627702877384937</v>
      </c>
      <c r="K13">
        <f t="shared" si="5"/>
        <v>0</v>
      </c>
      <c r="L13">
        <f t="shared" si="6"/>
        <v>1.4675987714106855</v>
      </c>
      <c r="M13">
        <f t="shared" si="7"/>
        <v>28</v>
      </c>
    </row>
    <row r="14" spans="1:13" x14ac:dyDescent="0.25">
      <c r="A14" t="s">
        <v>96</v>
      </c>
      <c r="B14">
        <v>1</v>
      </c>
      <c r="C14">
        <v>19</v>
      </c>
      <c r="D14">
        <v>4</v>
      </c>
      <c r="E14">
        <v>18</v>
      </c>
      <c r="F14">
        <f t="shared" si="0"/>
        <v>5.2631578947368418E-2</v>
      </c>
      <c r="G14">
        <f t="shared" si="1"/>
        <v>0.22222222222222221</v>
      </c>
      <c r="H14">
        <f t="shared" si="2"/>
        <v>0.23684210526315788</v>
      </c>
      <c r="I14">
        <f t="shared" si="3"/>
        <v>-1.4403615823901665</v>
      </c>
      <c r="J14">
        <f t="shared" si="4"/>
        <v>1.0685564400147876</v>
      </c>
      <c r="K14">
        <f t="shared" si="5"/>
        <v>-1.6376087894007967</v>
      </c>
      <c r="L14">
        <f t="shared" si="6"/>
        <v>1.173449669557296</v>
      </c>
      <c r="M14">
        <f t="shared" si="7"/>
        <v>37</v>
      </c>
    </row>
    <row r="15" spans="1:13" x14ac:dyDescent="0.25">
      <c r="A15" t="s">
        <v>97</v>
      </c>
      <c r="B15">
        <v>18</v>
      </c>
      <c r="C15">
        <v>63</v>
      </c>
      <c r="D15">
        <v>22</v>
      </c>
      <c r="E15">
        <v>62</v>
      </c>
      <c r="F15">
        <f t="shared" si="0"/>
        <v>0.2857142857142857</v>
      </c>
      <c r="G15">
        <f t="shared" si="1"/>
        <v>0.35483870967741937</v>
      </c>
      <c r="H15">
        <f t="shared" si="2"/>
        <v>0.80519480519480513</v>
      </c>
      <c r="I15">
        <f t="shared" si="3"/>
        <v>-0.21667103680859237</v>
      </c>
      <c r="J15">
        <f t="shared" si="4"/>
        <v>0.26269383867731011</v>
      </c>
      <c r="K15">
        <f t="shared" si="5"/>
        <v>-0.31845373111853459</v>
      </c>
      <c r="L15">
        <f t="shared" si="6"/>
        <v>0.38500951057386001</v>
      </c>
      <c r="M15">
        <f t="shared" si="7"/>
        <v>125</v>
      </c>
    </row>
    <row r="16" spans="1:13" x14ac:dyDescent="0.25">
      <c r="A16" t="s">
        <v>98</v>
      </c>
      <c r="B16">
        <v>3</v>
      </c>
      <c r="C16">
        <v>23</v>
      </c>
      <c r="D16">
        <v>4</v>
      </c>
      <c r="E16">
        <v>24</v>
      </c>
      <c r="F16">
        <f t="shared" si="0"/>
        <v>0.13043478260869565</v>
      </c>
      <c r="G16">
        <f t="shared" si="1"/>
        <v>0.16666666666666666</v>
      </c>
      <c r="H16">
        <f t="shared" si="2"/>
        <v>0.78260869565217395</v>
      </c>
      <c r="I16">
        <f t="shared" si="3"/>
        <v>-0.24512245803298496</v>
      </c>
      <c r="J16">
        <f t="shared" si="4"/>
        <v>0.70582462821659986</v>
      </c>
      <c r="K16">
        <f t="shared" si="5"/>
        <v>-0.2876820724517809</v>
      </c>
      <c r="L16">
        <f t="shared" si="6"/>
        <v>0.82663978450914966</v>
      </c>
      <c r="M16">
        <f t="shared" si="7"/>
        <v>47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M2" sqref="M2:M7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106</v>
      </c>
      <c r="C1" t="s">
        <v>107</v>
      </c>
      <c r="D1" t="s">
        <v>108</v>
      </c>
      <c r="E1" t="s">
        <v>22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103</v>
      </c>
      <c r="B2">
        <v>2</v>
      </c>
      <c r="C2">
        <v>15</v>
      </c>
      <c r="D2">
        <v>2</v>
      </c>
      <c r="E2">
        <v>14</v>
      </c>
      <c r="F2">
        <f>$B2/$C2</f>
        <v>0.13333333333333333</v>
      </c>
      <c r="G2">
        <f>$D2/$E2</f>
        <v>0.14285714285714285</v>
      </c>
      <c r="H2">
        <f>$F2/$G2</f>
        <v>0.93333333333333335</v>
      </c>
      <c r="I2">
        <f>LN($H2)</f>
        <v>-6.8992871486951435E-2</v>
      </c>
      <c r="J2">
        <f>SQRT((1-$F2)/($C2*$F2)+(1-$G2)/($E2*$G2))</f>
        <v>0.92838826032256672</v>
      </c>
      <c r="K2">
        <f>LN(($B2*($E2-$D2))/(($C2-$B2)*$D2))</f>
        <v>-8.004270767353637E-2</v>
      </c>
      <c r="L2">
        <f>SQRT(1/$B2+1/($C2-$B2)+1/$D2+1/($E2-$D2))</f>
        <v>1.0771519903228188</v>
      </c>
      <c r="M2">
        <f>$C2+$E2</f>
        <v>29</v>
      </c>
    </row>
    <row r="3" spans="1:13" x14ac:dyDescent="0.25">
      <c r="A3" t="s">
        <v>87</v>
      </c>
      <c r="B3">
        <v>1</v>
      </c>
      <c r="C3">
        <v>13</v>
      </c>
      <c r="D3">
        <v>1</v>
      </c>
      <c r="E3">
        <v>17</v>
      </c>
      <c r="F3">
        <f t="shared" ref="F3:F7" si="0">$B3/$C3</f>
        <v>7.6923076923076927E-2</v>
      </c>
      <c r="G3">
        <f t="shared" ref="G3:G7" si="1">$D3/$E3</f>
        <v>5.8823529411764705E-2</v>
      </c>
      <c r="H3">
        <f t="shared" ref="H3:H7" si="2">$F3/$G3</f>
        <v>1.3076923076923077</v>
      </c>
      <c r="I3">
        <f t="shared" ref="I3:I7" si="3">LN($H3)</f>
        <v>0.26826398659467937</v>
      </c>
      <c r="J3">
        <f t="shared" ref="J3:J7" si="4">SQRT((1-$F3)/($C3*$F3)+(1-$G3)/($E3*$G3))</f>
        <v>1.3653766490112385</v>
      </c>
      <c r="K3">
        <f t="shared" ref="K3:K7" si="5">LN(($B3*($E3-$D3))/(($C3-$B3)*$D3))</f>
        <v>0.28768207245178085</v>
      </c>
      <c r="L3">
        <f t="shared" ref="L3:L7" si="6">SQRT(1/$B3+1/($C3-$B3)+1/$D3+1/($E3-$D3))</f>
        <v>1.4648663192705786</v>
      </c>
      <c r="M3">
        <f t="shared" ref="M3:M7" si="7">$C3+$E3</f>
        <v>30</v>
      </c>
    </row>
    <row r="4" spans="1:13" x14ac:dyDescent="0.25">
      <c r="A4" t="s">
        <v>104</v>
      </c>
      <c r="B4">
        <v>1</v>
      </c>
      <c r="C4">
        <v>11</v>
      </c>
      <c r="D4">
        <v>2</v>
      </c>
      <c r="E4">
        <v>8</v>
      </c>
      <c r="F4">
        <f t="shared" si="0"/>
        <v>9.0909090909090912E-2</v>
      </c>
      <c r="G4">
        <f t="shared" si="1"/>
        <v>0.25</v>
      </c>
      <c r="H4">
        <f t="shared" si="2"/>
        <v>0.36363636363636365</v>
      </c>
      <c r="I4">
        <f t="shared" si="3"/>
        <v>-1.0116009116784799</v>
      </c>
      <c r="J4">
        <f t="shared" si="4"/>
        <v>1.13317735111981</v>
      </c>
      <c r="K4">
        <f t="shared" si="5"/>
        <v>-1.2039728043259361</v>
      </c>
      <c r="L4">
        <f t="shared" si="6"/>
        <v>1.3291601358251257</v>
      </c>
      <c r="M4">
        <f t="shared" si="7"/>
        <v>19</v>
      </c>
    </row>
    <row r="5" spans="1:13" x14ac:dyDescent="0.25">
      <c r="A5" t="s">
        <v>105</v>
      </c>
      <c r="B5">
        <v>1</v>
      </c>
      <c r="C5">
        <v>10</v>
      </c>
      <c r="D5">
        <v>1</v>
      </c>
      <c r="E5">
        <v>12</v>
      </c>
      <c r="F5">
        <f t="shared" si="0"/>
        <v>0.1</v>
      </c>
      <c r="G5">
        <f t="shared" si="1"/>
        <v>8.3333333333333329E-2</v>
      </c>
      <c r="H5">
        <f t="shared" si="2"/>
        <v>1.2000000000000002</v>
      </c>
      <c r="I5">
        <f t="shared" si="3"/>
        <v>0.18232155679395479</v>
      </c>
      <c r="J5">
        <f t="shared" si="4"/>
        <v>1.347837774610382</v>
      </c>
      <c r="K5">
        <f t="shared" si="5"/>
        <v>0.20067069546215124</v>
      </c>
      <c r="L5">
        <f t="shared" si="6"/>
        <v>1.483920551114581</v>
      </c>
      <c r="M5">
        <f t="shared" si="7"/>
        <v>22</v>
      </c>
    </row>
    <row r="6" spans="1:13" x14ac:dyDescent="0.25">
      <c r="A6" t="s">
        <v>92</v>
      </c>
      <c r="B6">
        <v>12</v>
      </c>
      <c r="C6">
        <v>39</v>
      </c>
      <c r="D6">
        <v>5</v>
      </c>
      <c r="E6">
        <v>29</v>
      </c>
      <c r="F6">
        <f t="shared" si="0"/>
        <v>0.30769230769230771</v>
      </c>
      <c r="G6">
        <f t="shared" si="1"/>
        <v>0.17241379310344829</v>
      </c>
      <c r="H6">
        <f t="shared" si="2"/>
        <v>1.7846153846153845</v>
      </c>
      <c r="I6">
        <f t="shared" si="3"/>
        <v>0.57920292121072747</v>
      </c>
      <c r="J6">
        <f t="shared" si="4"/>
        <v>0.47245057844352145</v>
      </c>
      <c r="K6">
        <f t="shared" si="5"/>
        <v>0.75768570169751648</v>
      </c>
      <c r="L6">
        <f t="shared" si="6"/>
        <v>0.60169513629165816</v>
      </c>
      <c r="M6">
        <f t="shared" si="7"/>
        <v>68</v>
      </c>
    </row>
    <row r="7" spans="1:13" x14ac:dyDescent="0.25">
      <c r="A7" t="s">
        <v>98</v>
      </c>
      <c r="B7">
        <v>5</v>
      </c>
      <c r="C7">
        <v>25</v>
      </c>
      <c r="D7">
        <v>4</v>
      </c>
      <c r="E7">
        <v>24</v>
      </c>
      <c r="F7">
        <f t="shared" si="0"/>
        <v>0.2</v>
      </c>
      <c r="G7">
        <f t="shared" si="1"/>
        <v>0.16666666666666666</v>
      </c>
      <c r="H7">
        <f t="shared" si="2"/>
        <v>1.2000000000000002</v>
      </c>
      <c r="I7">
        <f t="shared" si="3"/>
        <v>0.18232155679395479</v>
      </c>
      <c r="J7">
        <f t="shared" si="4"/>
        <v>0.60690471520110412</v>
      </c>
      <c r="K7">
        <f t="shared" si="5"/>
        <v>0.22314355131420976</v>
      </c>
      <c r="L7">
        <f t="shared" si="6"/>
        <v>0.74161984870956632</v>
      </c>
      <c r="M7">
        <f t="shared" si="7"/>
        <v>49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M2" sqref="M2:M9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106</v>
      </c>
      <c r="C1" t="s">
        <v>107</v>
      </c>
      <c r="D1" t="s">
        <v>114</v>
      </c>
      <c r="E1" t="s">
        <v>81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87</v>
      </c>
      <c r="B2">
        <v>1</v>
      </c>
      <c r="C2">
        <v>12</v>
      </c>
      <c r="D2">
        <v>1</v>
      </c>
      <c r="E2">
        <v>13</v>
      </c>
      <c r="F2">
        <f>$B2/$C2</f>
        <v>8.3333333333333329E-2</v>
      </c>
      <c r="G2">
        <f>$D2/$E2</f>
        <v>7.6923076923076927E-2</v>
      </c>
      <c r="H2">
        <f>$F2/$G2</f>
        <v>1.0833333333333333</v>
      </c>
      <c r="I2">
        <f>LN($H2)</f>
        <v>8.0042707673536356E-2</v>
      </c>
      <c r="J2">
        <f>SQRT((1-$F2)/($C2*$F2)+(1-$G2)/($E2*$G2))</f>
        <v>1.3563714792576516</v>
      </c>
      <c r="K2">
        <f>LN(($B2*($E2-$D2))/(($C2-$B2)*$D2))</f>
        <v>8.7011376989629699E-2</v>
      </c>
      <c r="L2">
        <f>SQRT(1/$B2+1/($C2-$B2)+1/$D2+1/($E2-$D2))</f>
        <v>1.4745312557699224</v>
      </c>
      <c r="M2">
        <f>$C2+$E2</f>
        <v>25</v>
      </c>
    </row>
    <row r="3" spans="1:13" x14ac:dyDescent="0.25">
      <c r="A3" t="s">
        <v>109</v>
      </c>
      <c r="B3">
        <v>6</v>
      </c>
      <c r="C3">
        <v>17</v>
      </c>
      <c r="D3">
        <v>3</v>
      </c>
      <c r="E3">
        <v>15</v>
      </c>
      <c r="F3">
        <f t="shared" ref="F3:F9" si="0">$B3/$C3</f>
        <v>0.35294117647058826</v>
      </c>
      <c r="G3">
        <f t="shared" ref="G3:G9" si="1">$D3/$E3</f>
        <v>0.2</v>
      </c>
      <c r="H3">
        <f t="shared" ref="H3:H9" si="2">$F3/$G3</f>
        <v>1.7647058823529411</v>
      </c>
      <c r="I3">
        <f t="shared" ref="I3:I9" si="3">LN($H3)</f>
        <v>0.5679840376059393</v>
      </c>
      <c r="J3">
        <f t="shared" ref="J3:J9" si="4">SQRT((1-$F3)/($C3*$F3)+(1-$G3)/($E3*$G3))</f>
        <v>0.61197206138970806</v>
      </c>
      <c r="K3">
        <f t="shared" ref="K3:K9" si="5">LN(($B3*($E3-$D3))/(($C3-$B3)*$D3))</f>
        <v>0.78015855754957497</v>
      </c>
      <c r="L3">
        <f t="shared" ref="L3:L9" si="6">SQRT(1/$B3+1/($C3-$B3)+1/$D3+1/($E3-$D3))</f>
        <v>0.82112266089934716</v>
      </c>
      <c r="M3">
        <f t="shared" ref="M3:M9" si="7">$C3+$E3</f>
        <v>32</v>
      </c>
    </row>
    <row r="4" spans="1:13" x14ac:dyDescent="0.25">
      <c r="A4" t="s">
        <v>110</v>
      </c>
      <c r="B4">
        <v>3</v>
      </c>
      <c r="C4">
        <v>10</v>
      </c>
      <c r="D4">
        <v>1</v>
      </c>
      <c r="E4">
        <v>10</v>
      </c>
      <c r="F4">
        <f t="shared" si="0"/>
        <v>0.3</v>
      </c>
      <c r="G4">
        <f t="shared" si="1"/>
        <v>0.1</v>
      </c>
      <c r="H4">
        <f t="shared" si="2"/>
        <v>2.9999999999999996</v>
      </c>
      <c r="I4">
        <f t="shared" si="3"/>
        <v>1.0986122886681096</v>
      </c>
      <c r="J4">
        <f t="shared" si="4"/>
        <v>1.0645812948447542</v>
      </c>
      <c r="K4">
        <f t="shared" si="5"/>
        <v>1.3499267169490159</v>
      </c>
      <c r="L4">
        <f t="shared" si="6"/>
        <v>1.2598815766974241</v>
      </c>
      <c r="M4">
        <f t="shared" si="7"/>
        <v>20</v>
      </c>
    </row>
    <row r="5" spans="1:13" x14ac:dyDescent="0.25">
      <c r="A5" t="s">
        <v>111</v>
      </c>
      <c r="B5">
        <v>1</v>
      </c>
      <c r="C5">
        <v>10</v>
      </c>
      <c r="D5">
        <v>6</v>
      </c>
      <c r="E5">
        <v>12</v>
      </c>
      <c r="F5">
        <f t="shared" si="0"/>
        <v>0.1</v>
      </c>
      <c r="G5">
        <f t="shared" si="1"/>
        <v>0.5</v>
      </c>
      <c r="H5">
        <f t="shared" si="2"/>
        <v>0.2</v>
      </c>
      <c r="I5">
        <f t="shared" si="3"/>
        <v>-1.6094379124341003</v>
      </c>
      <c r="J5">
        <f t="shared" si="4"/>
        <v>0.99163165204290116</v>
      </c>
      <c r="K5">
        <f t="shared" si="5"/>
        <v>-2.1972245773362196</v>
      </c>
      <c r="L5">
        <f t="shared" si="6"/>
        <v>1.2018504251546631</v>
      </c>
      <c r="M5">
        <f t="shared" si="7"/>
        <v>22</v>
      </c>
    </row>
    <row r="6" spans="1:13" x14ac:dyDescent="0.25">
      <c r="A6" t="s">
        <v>112</v>
      </c>
      <c r="B6">
        <v>2</v>
      </c>
      <c r="C6">
        <v>12</v>
      </c>
      <c r="D6">
        <v>1</v>
      </c>
      <c r="E6">
        <v>12</v>
      </c>
      <c r="F6">
        <f t="shared" si="0"/>
        <v>0.16666666666666666</v>
      </c>
      <c r="G6">
        <f t="shared" si="1"/>
        <v>8.3333333333333329E-2</v>
      </c>
      <c r="H6">
        <f t="shared" si="2"/>
        <v>2</v>
      </c>
      <c r="I6">
        <f t="shared" si="3"/>
        <v>0.69314718055994529</v>
      </c>
      <c r="J6">
        <f t="shared" si="4"/>
        <v>1.1547005383792515</v>
      </c>
      <c r="K6">
        <f t="shared" si="5"/>
        <v>0.78845736036427028</v>
      </c>
      <c r="L6">
        <f t="shared" si="6"/>
        <v>1.300349603340998</v>
      </c>
      <c r="M6">
        <f t="shared" si="7"/>
        <v>24</v>
      </c>
    </row>
    <row r="7" spans="1:13" x14ac:dyDescent="0.25">
      <c r="A7" t="s">
        <v>92</v>
      </c>
      <c r="B7">
        <v>12</v>
      </c>
      <c r="C7">
        <v>39</v>
      </c>
      <c r="D7">
        <v>16</v>
      </c>
      <c r="E7">
        <v>37</v>
      </c>
      <c r="F7">
        <f t="shared" si="0"/>
        <v>0.30769230769230771</v>
      </c>
      <c r="G7">
        <f t="shared" si="1"/>
        <v>0.43243243243243246</v>
      </c>
      <c r="H7">
        <f t="shared" si="2"/>
        <v>0.71153846153846156</v>
      </c>
      <c r="I7">
        <f t="shared" si="3"/>
        <v>-0.34032580593720285</v>
      </c>
      <c r="J7">
        <f t="shared" si="4"/>
        <v>0.30522988167163556</v>
      </c>
      <c r="K7">
        <f t="shared" si="5"/>
        <v>-0.5389965007326869</v>
      </c>
      <c r="L7">
        <f t="shared" si="6"/>
        <v>0.48009313470348436</v>
      </c>
      <c r="M7">
        <f t="shared" si="7"/>
        <v>76</v>
      </c>
    </row>
    <row r="8" spans="1:13" x14ac:dyDescent="0.25">
      <c r="A8" t="s">
        <v>113</v>
      </c>
      <c r="B8">
        <v>4</v>
      </c>
      <c r="C8">
        <v>19</v>
      </c>
      <c r="D8">
        <v>7</v>
      </c>
      <c r="E8">
        <v>22</v>
      </c>
      <c r="F8">
        <f t="shared" si="0"/>
        <v>0.21052631578947367</v>
      </c>
      <c r="G8">
        <f t="shared" si="1"/>
        <v>0.31818181818181818</v>
      </c>
      <c r="H8">
        <f t="shared" si="2"/>
        <v>0.66165413533834583</v>
      </c>
      <c r="I8">
        <f t="shared" si="3"/>
        <v>-0.41301231374354735</v>
      </c>
      <c r="J8">
        <f t="shared" si="4"/>
        <v>0.5429281890408979</v>
      </c>
      <c r="K8">
        <f t="shared" si="5"/>
        <v>-0.55961578793542277</v>
      </c>
      <c r="L8">
        <f t="shared" si="6"/>
        <v>0.72538987874830196</v>
      </c>
      <c r="M8">
        <f t="shared" si="7"/>
        <v>41</v>
      </c>
    </row>
    <row r="9" spans="1:13" x14ac:dyDescent="0.25">
      <c r="A9" t="s">
        <v>98</v>
      </c>
      <c r="B9">
        <v>4</v>
      </c>
      <c r="C9">
        <v>20</v>
      </c>
      <c r="D9">
        <v>3</v>
      </c>
      <c r="E9">
        <v>20</v>
      </c>
      <c r="F9">
        <f t="shared" si="0"/>
        <v>0.2</v>
      </c>
      <c r="G9">
        <f t="shared" si="1"/>
        <v>0.15</v>
      </c>
      <c r="H9">
        <f t="shared" si="2"/>
        <v>1.3333333333333335</v>
      </c>
      <c r="I9">
        <f t="shared" si="3"/>
        <v>0.28768207245178101</v>
      </c>
      <c r="J9">
        <f t="shared" si="4"/>
        <v>0.695221787153807</v>
      </c>
      <c r="K9">
        <f t="shared" si="5"/>
        <v>0.34830669426821581</v>
      </c>
      <c r="L9">
        <f t="shared" si="6"/>
        <v>0.83943842105606414</v>
      </c>
      <c r="M9">
        <f t="shared" si="7"/>
        <v>40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M2" sqref="M2:M30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69</v>
      </c>
      <c r="C1" t="s">
        <v>81</v>
      </c>
      <c r="D1" t="s">
        <v>23</v>
      </c>
      <c r="E1" t="s">
        <v>124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115</v>
      </c>
      <c r="B2">
        <v>1</v>
      </c>
      <c r="C2">
        <v>16</v>
      </c>
      <c r="D2">
        <v>2</v>
      </c>
      <c r="E2">
        <v>18</v>
      </c>
      <c r="F2">
        <f>$B2/$C2</f>
        <v>6.25E-2</v>
      </c>
      <c r="G2">
        <f>$D2/$E2</f>
        <v>0.1111111111111111</v>
      </c>
      <c r="H2">
        <f>$F2/$G2</f>
        <v>0.5625</v>
      </c>
      <c r="I2">
        <f>LN($H2)</f>
        <v>-0.5753641449035618</v>
      </c>
      <c r="J2">
        <f>SQRT((1-$F2)/($C2*$F2)+(1-$G2)/($E2*$G2))</f>
        <v>1.1755613316388236</v>
      </c>
      <c r="K2">
        <f>LN(($B2*($E2-$D2))/(($C2-$B2)*$D2))</f>
        <v>-0.62860865942237421</v>
      </c>
      <c r="L2">
        <f>SQRT(1/$B2+1/($C2-$B2)+1/$D2+1/($E2-$D2))</f>
        <v>1.2763881332363862</v>
      </c>
      <c r="M2">
        <f>$C2+$E2</f>
        <v>34</v>
      </c>
    </row>
    <row r="3" spans="1:13" x14ac:dyDescent="0.25">
      <c r="A3" t="s">
        <v>116</v>
      </c>
      <c r="B3">
        <v>3</v>
      </c>
      <c r="C3">
        <v>12</v>
      </c>
      <c r="D3">
        <v>1</v>
      </c>
      <c r="E3">
        <v>12</v>
      </c>
      <c r="F3">
        <f t="shared" ref="F3:F30" si="0">$B3/$C3</f>
        <v>0.25</v>
      </c>
      <c r="G3">
        <f t="shared" ref="G3:G30" si="1">$D3/$E3</f>
        <v>8.3333333333333329E-2</v>
      </c>
      <c r="H3">
        <f t="shared" ref="H3:H30" si="2">$F3/$G3</f>
        <v>3</v>
      </c>
      <c r="I3">
        <f t="shared" ref="I3:I30" si="3">LN($H3)</f>
        <v>1.0986122886681098</v>
      </c>
      <c r="J3">
        <f t="shared" ref="J3:J30" si="4">SQRT((1-$F3)/($C3*$F3)+(1-$G3)/($E3*$G3))</f>
        <v>1.0801234497346432</v>
      </c>
      <c r="K3">
        <f t="shared" ref="K3:K30" si="5">LN(($B3*($E3-$D3))/(($C3-$B3)*$D3))</f>
        <v>1.2992829841302609</v>
      </c>
      <c r="L3">
        <f t="shared" ref="L3:L30" si="6">SQRT(1/$B3+1/($C3-$B3)+1/$D3+1/($E3-$D3))</f>
        <v>1.2390938363794468</v>
      </c>
      <c r="M3">
        <f t="shared" ref="M3:M30" si="7">$C3+$E3</f>
        <v>24</v>
      </c>
    </row>
    <row r="4" spans="1:13" x14ac:dyDescent="0.25">
      <c r="A4" t="s">
        <v>5</v>
      </c>
      <c r="B4">
        <v>10</v>
      </c>
      <c r="C4">
        <v>37</v>
      </c>
      <c r="D4">
        <v>1</v>
      </c>
      <c r="E4">
        <v>25</v>
      </c>
      <c r="F4">
        <f t="shared" si="0"/>
        <v>0.27027027027027029</v>
      </c>
      <c r="G4">
        <f t="shared" si="1"/>
        <v>0.04</v>
      </c>
      <c r="H4">
        <f t="shared" si="2"/>
        <v>6.756756756756757</v>
      </c>
      <c r="I4">
        <f t="shared" si="3"/>
        <v>1.9105430052180221</v>
      </c>
      <c r="J4">
        <f t="shared" si="4"/>
        <v>1.016352779783168</v>
      </c>
      <c r="K4">
        <f t="shared" si="5"/>
        <v>2.1848020573376621</v>
      </c>
      <c r="L4">
        <f t="shared" si="6"/>
        <v>1.0856812164275957</v>
      </c>
      <c r="M4">
        <f t="shared" si="7"/>
        <v>62</v>
      </c>
    </row>
    <row r="5" spans="1:13" x14ac:dyDescent="0.25">
      <c r="A5" t="s">
        <v>0</v>
      </c>
      <c r="B5">
        <v>4</v>
      </c>
      <c r="C5">
        <v>31</v>
      </c>
      <c r="D5">
        <v>1</v>
      </c>
      <c r="E5">
        <v>23</v>
      </c>
      <c r="F5">
        <f t="shared" si="0"/>
        <v>0.12903225806451613</v>
      </c>
      <c r="G5">
        <f t="shared" si="1"/>
        <v>4.3478260869565216E-2</v>
      </c>
      <c r="H5">
        <f t="shared" si="2"/>
        <v>2.967741935483871</v>
      </c>
      <c r="I5">
        <f t="shared" si="3"/>
        <v>1.087801372563894</v>
      </c>
      <c r="J5">
        <f t="shared" si="4"/>
        <v>1.0836344746335389</v>
      </c>
      <c r="K5">
        <f t="shared" si="5"/>
        <v>1.1814999484738773</v>
      </c>
      <c r="L5">
        <f t="shared" si="6"/>
        <v>1.1543359920281366</v>
      </c>
      <c r="M5">
        <f t="shared" si="7"/>
        <v>54</v>
      </c>
    </row>
    <row r="6" spans="1:13" x14ac:dyDescent="0.25">
      <c r="A6" t="s">
        <v>2</v>
      </c>
      <c r="B6">
        <v>9</v>
      </c>
      <c r="C6">
        <v>31</v>
      </c>
      <c r="D6">
        <v>3</v>
      </c>
      <c r="E6">
        <v>27</v>
      </c>
      <c r="F6">
        <f t="shared" si="0"/>
        <v>0.29032258064516131</v>
      </c>
      <c r="G6">
        <f t="shared" si="1"/>
        <v>0.1111111111111111</v>
      </c>
      <c r="H6">
        <f t="shared" si="2"/>
        <v>2.612903225806452</v>
      </c>
      <c r="I6">
        <f t="shared" si="3"/>
        <v>0.96046195018729263</v>
      </c>
      <c r="J6">
        <f t="shared" si="4"/>
        <v>0.61249436151794767</v>
      </c>
      <c r="K6">
        <f t="shared" si="5"/>
        <v>1.1856236656577395</v>
      </c>
      <c r="L6">
        <f t="shared" si="6"/>
        <v>0.72908549331724914</v>
      </c>
      <c r="M6">
        <f t="shared" si="7"/>
        <v>58</v>
      </c>
    </row>
    <row r="7" spans="1:13" x14ac:dyDescent="0.25">
      <c r="A7" t="s">
        <v>60</v>
      </c>
      <c r="B7">
        <v>4</v>
      </c>
      <c r="C7">
        <v>11</v>
      </c>
      <c r="D7">
        <v>4</v>
      </c>
      <c r="E7">
        <v>11</v>
      </c>
      <c r="F7">
        <f t="shared" si="0"/>
        <v>0.36363636363636365</v>
      </c>
      <c r="G7">
        <f t="shared" si="1"/>
        <v>0.36363636363636365</v>
      </c>
      <c r="H7">
        <f t="shared" si="2"/>
        <v>1</v>
      </c>
      <c r="I7">
        <f t="shared" si="3"/>
        <v>0</v>
      </c>
      <c r="J7">
        <f t="shared" si="4"/>
        <v>0.56407607481776623</v>
      </c>
      <c r="K7">
        <f t="shared" si="5"/>
        <v>0</v>
      </c>
      <c r="L7">
        <f t="shared" si="6"/>
        <v>0.88640526042791823</v>
      </c>
      <c r="M7">
        <f t="shared" si="7"/>
        <v>22</v>
      </c>
    </row>
    <row r="8" spans="1:13" x14ac:dyDescent="0.25">
      <c r="A8" t="s">
        <v>8</v>
      </c>
      <c r="B8">
        <v>9</v>
      </c>
      <c r="C8">
        <v>29</v>
      </c>
      <c r="D8">
        <v>3</v>
      </c>
      <c r="E8">
        <v>29</v>
      </c>
      <c r="F8">
        <f t="shared" si="0"/>
        <v>0.31034482758620691</v>
      </c>
      <c r="G8">
        <f t="shared" si="1"/>
        <v>0.10344827586206896</v>
      </c>
      <c r="H8">
        <f t="shared" si="2"/>
        <v>3</v>
      </c>
      <c r="I8">
        <f t="shared" si="3"/>
        <v>1.0986122886681098</v>
      </c>
      <c r="J8">
        <f t="shared" si="4"/>
        <v>0.61276335334537202</v>
      </c>
      <c r="K8">
        <f t="shared" si="5"/>
        <v>1.3609765531356006</v>
      </c>
      <c r="L8">
        <f t="shared" si="6"/>
        <v>0.73000409786930842</v>
      </c>
      <c r="M8">
        <f t="shared" si="7"/>
        <v>58</v>
      </c>
    </row>
    <row r="9" spans="1:13" x14ac:dyDescent="0.25">
      <c r="A9" t="s">
        <v>117</v>
      </c>
      <c r="B9">
        <v>1</v>
      </c>
      <c r="C9">
        <v>13</v>
      </c>
      <c r="D9">
        <v>2</v>
      </c>
      <c r="E9">
        <v>13</v>
      </c>
      <c r="F9">
        <f t="shared" si="0"/>
        <v>7.6923076923076927E-2</v>
      </c>
      <c r="G9">
        <f t="shared" si="1"/>
        <v>0.15384615384615385</v>
      </c>
      <c r="H9">
        <f t="shared" si="2"/>
        <v>0.5</v>
      </c>
      <c r="I9">
        <f t="shared" si="3"/>
        <v>-0.69314718055994529</v>
      </c>
      <c r="J9">
        <f t="shared" si="4"/>
        <v>1.1602387022306428</v>
      </c>
      <c r="K9">
        <f t="shared" si="5"/>
        <v>-0.78015855754957508</v>
      </c>
      <c r="L9">
        <f t="shared" si="6"/>
        <v>1.2939252004047312</v>
      </c>
      <c r="M9">
        <f t="shared" si="7"/>
        <v>26</v>
      </c>
    </row>
    <row r="10" spans="1:13" x14ac:dyDescent="0.25">
      <c r="A10" t="s">
        <v>6</v>
      </c>
      <c r="B10">
        <v>0.5</v>
      </c>
      <c r="C10">
        <v>23</v>
      </c>
      <c r="D10">
        <v>2.5</v>
      </c>
      <c r="E10">
        <v>24</v>
      </c>
      <c r="F10">
        <f>$B10/$C10</f>
        <v>2.1739130434782608E-2</v>
      </c>
      <c r="G10">
        <f>$D10/$E10</f>
        <v>0.10416666666666667</v>
      </c>
      <c r="H10">
        <f>$F10/$G10</f>
        <v>0.20869565217391303</v>
      </c>
      <c r="I10">
        <f>LN($H10)</f>
        <v>-1.5668782980153044</v>
      </c>
      <c r="J10">
        <f>SQRT((1-$F10)/($C10*$F10)+(1-$G10)/($E10*$G10))</f>
        <v>1.5214647785814064</v>
      </c>
      <c r="K10">
        <f t="shared" si="5"/>
        <v>-1.6549002865108577</v>
      </c>
      <c r="L10">
        <f t="shared" si="6"/>
        <v>1.5782762978488338</v>
      </c>
      <c r="M10">
        <f t="shared" si="7"/>
        <v>47</v>
      </c>
    </row>
    <row r="11" spans="1:13" x14ac:dyDescent="0.25">
      <c r="A11" t="s">
        <v>1</v>
      </c>
      <c r="B11">
        <v>2</v>
      </c>
      <c r="C11">
        <v>12</v>
      </c>
      <c r="D11">
        <v>1</v>
      </c>
      <c r="E11">
        <v>11</v>
      </c>
      <c r="F11">
        <f t="shared" si="0"/>
        <v>0.16666666666666666</v>
      </c>
      <c r="G11">
        <f t="shared" si="1"/>
        <v>9.0909090909090912E-2</v>
      </c>
      <c r="H11">
        <f t="shared" si="2"/>
        <v>1.8333333333333333</v>
      </c>
      <c r="I11">
        <f t="shared" si="3"/>
        <v>0.60613580357031549</v>
      </c>
      <c r="J11">
        <f t="shared" si="4"/>
        <v>1.1514154661795957</v>
      </c>
      <c r="K11">
        <f t="shared" si="5"/>
        <v>0.69314718055994529</v>
      </c>
      <c r="L11">
        <f t="shared" si="6"/>
        <v>1.3038404810405297</v>
      </c>
      <c r="M11">
        <f t="shared" si="7"/>
        <v>23</v>
      </c>
    </row>
    <row r="12" spans="1:13" x14ac:dyDescent="0.25">
      <c r="A12" t="s">
        <v>72</v>
      </c>
      <c r="B12">
        <v>4</v>
      </c>
      <c r="C12">
        <v>14</v>
      </c>
      <c r="D12">
        <v>1</v>
      </c>
      <c r="E12">
        <v>10</v>
      </c>
      <c r="F12">
        <f t="shared" si="0"/>
        <v>0.2857142857142857</v>
      </c>
      <c r="G12">
        <f t="shared" si="1"/>
        <v>0.1</v>
      </c>
      <c r="H12">
        <f t="shared" si="2"/>
        <v>2.8571428571428568</v>
      </c>
      <c r="I12">
        <f t="shared" si="3"/>
        <v>1.0498221244986776</v>
      </c>
      <c r="J12">
        <f t="shared" si="4"/>
        <v>1.0385429353529052</v>
      </c>
      <c r="K12">
        <f t="shared" si="5"/>
        <v>1.2809338454620642</v>
      </c>
      <c r="L12">
        <f t="shared" si="6"/>
        <v>1.208764290964583</v>
      </c>
      <c r="M12">
        <f t="shared" si="7"/>
        <v>24</v>
      </c>
    </row>
    <row r="13" spans="1:13" x14ac:dyDescent="0.25">
      <c r="A13" t="s">
        <v>79</v>
      </c>
      <c r="B13">
        <v>10</v>
      </c>
      <c r="C13">
        <v>55</v>
      </c>
      <c r="D13">
        <v>1</v>
      </c>
      <c r="E13">
        <v>15</v>
      </c>
      <c r="F13">
        <f t="shared" si="0"/>
        <v>0.18181818181818182</v>
      </c>
      <c r="G13">
        <f t="shared" si="1"/>
        <v>6.6666666666666666E-2</v>
      </c>
      <c r="H13">
        <f t="shared" si="2"/>
        <v>2.7272727272727275</v>
      </c>
      <c r="I13">
        <f t="shared" si="3"/>
        <v>1.003302108863785</v>
      </c>
      <c r="J13">
        <f t="shared" si="4"/>
        <v>1.0075472768815938</v>
      </c>
      <c r="K13">
        <f t="shared" si="5"/>
        <v>1.1349799328389845</v>
      </c>
      <c r="L13">
        <f t="shared" si="6"/>
        <v>1.0925432685485703</v>
      </c>
      <c r="M13">
        <f t="shared" si="7"/>
        <v>70</v>
      </c>
    </row>
    <row r="14" spans="1:13" x14ac:dyDescent="0.25">
      <c r="A14" t="s">
        <v>118</v>
      </c>
      <c r="B14">
        <v>57</v>
      </c>
      <c r="C14">
        <v>153</v>
      </c>
      <c r="D14">
        <v>1</v>
      </c>
      <c r="E14">
        <v>26</v>
      </c>
      <c r="F14">
        <f t="shared" si="0"/>
        <v>0.37254901960784315</v>
      </c>
      <c r="G14">
        <f t="shared" si="1"/>
        <v>3.8461538461538464E-2</v>
      </c>
      <c r="H14">
        <f t="shared" si="2"/>
        <v>9.6862745098039209</v>
      </c>
      <c r="I14">
        <f t="shared" si="3"/>
        <v>2.2707098844635967</v>
      </c>
      <c r="J14">
        <f t="shared" si="4"/>
        <v>0.98617765817076086</v>
      </c>
      <c r="K14">
        <f t="shared" si="5"/>
        <v>2.6975789012349147</v>
      </c>
      <c r="L14">
        <f t="shared" si="6"/>
        <v>1.033421756262074</v>
      </c>
      <c r="M14">
        <f t="shared" si="7"/>
        <v>179</v>
      </c>
    </row>
    <row r="15" spans="1:13" x14ac:dyDescent="0.25">
      <c r="A15" t="s">
        <v>54</v>
      </c>
      <c r="B15">
        <v>6</v>
      </c>
      <c r="C15">
        <v>30</v>
      </c>
      <c r="D15">
        <v>6</v>
      </c>
      <c r="E15">
        <v>29</v>
      </c>
      <c r="F15">
        <f t="shared" si="0"/>
        <v>0.2</v>
      </c>
      <c r="G15">
        <f t="shared" si="1"/>
        <v>0.20689655172413793</v>
      </c>
      <c r="H15">
        <f t="shared" si="2"/>
        <v>0.96666666666666679</v>
      </c>
      <c r="I15">
        <f t="shared" si="3"/>
        <v>-3.3901551675681228E-2</v>
      </c>
      <c r="J15">
        <f t="shared" si="4"/>
        <v>0.51528365137981069</v>
      </c>
      <c r="K15">
        <f t="shared" si="5"/>
        <v>-4.2559614418795889E-2</v>
      </c>
      <c r="L15">
        <f t="shared" si="6"/>
        <v>0.64689895723332647</v>
      </c>
      <c r="M15">
        <f t="shared" si="7"/>
        <v>59</v>
      </c>
    </row>
    <row r="16" spans="1:13" x14ac:dyDescent="0.25">
      <c r="A16" t="s">
        <v>119</v>
      </c>
      <c r="B16">
        <v>14</v>
      </c>
      <c r="C16">
        <v>47</v>
      </c>
      <c r="D16">
        <v>7</v>
      </c>
      <c r="E16">
        <v>53</v>
      </c>
      <c r="F16">
        <f t="shared" si="0"/>
        <v>0.2978723404255319</v>
      </c>
      <c r="G16">
        <f t="shared" si="1"/>
        <v>0.13207547169811321</v>
      </c>
      <c r="H16">
        <f t="shared" si="2"/>
        <v>2.2553191489361701</v>
      </c>
      <c r="I16">
        <f t="shared" si="3"/>
        <v>0.81329149240200849</v>
      </c>
      <c r="J16">
        <f t="shared" si="4"/>
        <v>0.41730228134139352</v>
      </c>
      <c r="K16">
        <f t="shared" si="5"/>
        <v>1.0252810155825602</v>
      </c>
      <c r="L16">
        <f t="shared" si="6"/>
        <v>0.51606964164105529</v>
      </c>
      <c r="M16">
        <f t="shared" si="7"/>
        <v>100</v>
      </c>
    </row>
    <row r="17" spans="1:13" x14ac:dyDescent="0.25">
      <c r="A17" t="s">
        <v>120</v>
      </c>
      <c r="B17">
        <v>1.5</v>
      </c>
      <c r="C17">
        <v>8</v>
      </c>
      <c r="D17">
        <v>0.5</v>
      </c>
      <c r="E17">
        <v>4</v>
      </c>
      <c r="F17">
        <f t="shared" si="0"/>
        <v>0.1875</v>
      </c>
      <c r="G17">
        <f t="shared" si="1"/>
        <v>0.125</v>
      </c>
      <c r="H17">
        <f t="shared" si="2"/>
        <v>1.5</v>
      </c>
      <c r="I17">
        <f t="shared" si="3"/>
        <v>0.40546510810816438</v>
      </c>
      <c r="J17">
        <f t="shared" si="4"/>
        <v>1.5138251770487459</v>
      </c>
      <c r="K17">
        <f t="shared" si="5"/>
        <v>0.47957308026188628</v>
      </c>
      <c r="L17">
        <f t="shared" si="6"/>
        <v>1.7624491783387985</v>
      </c>
      <c r="M17">
        <f t="shared" si="7"/>
        <v>12</v>
      </c>
    </row>
    <row r="18" spans="1:13" x14ac:dyDescent="0.25">
      <c r="A18" t="s">
        <v>28</v>
      </c>
      <c r="B18">
        <v>1</v>
      </c>
      <c r="C18">
        <v>22</v>
      </c>
      <c r="D18">
        <v>1</v>
      </c>
      <c r="E18">
        <v>20</v>
      </c>
      <c r="F18">
        <f>$B18/$C18</f>
        <v>4.5454545454545456E-2</v>
      </c>
      <c r="G18">
        <f>$D18/$E18</f>
        <v>0.05</v>
      </c>
      <c r="H18">
        <f>$F18/$G18</f>
        <v>0.90909090909090906</v>
      </c>
      <c r="I18">
        <f>LN($H18)</f>
        <v>-9.5310179804324893E-2</v>
      </c>
      <c r="J18">
        <f>SQRT((1-$F18)/($C18*$F18)+(1-$G18)/($E18*$G18))</f>
        <v>1.3800526999160048</v>
      </c>
      <c r="K18">
        <f t="shared" si="5"/>
        <v>-0.10008345855698253</v>
      </c>
      <c r="L18">
        <f t="shared" si="6"/>
        <v>1.4492241464198752</v>
      </c>
      <c r="M18">
        <f t="shared" si="7"/>
        <v>42</v>
      </c>
    </row>
    <row r="19" spans="1:13" x14ac:dyDescent="0.25">
      <c r="A19" t="s">
        <v>26</v>
      </c>
      <c r="B19">
        <v>1</v>
      </c>
      <c r="C19">
        <v>11</v>
      </c>
      <c r="D19">
        <v>1</v>
      </c>
      <c r="E19">
        <v>13</v>
      </c>
      <c r="F19">
        <f t="shared" si="0"/>
        <v>9.0909090909090912E-2</v>
      </c>
      <c r="G19">
        <f t="shared" si="1"/>
        <v>7.6923076923076927E-2</v>
      </c>
      <c r="H19">
        <f t="shared" si="2"/>
        <v>1.1818181818181819</v>
      </c>
      <c r="I19">
        <f t="shared" si="3"/>
        <v>0.16705408466316624</v>
      </c>
      <c r="J19">
        <f t="shared" si="4"/>
        <v>1.3535759425196032</v>
      </c>
      <c r="K19">
        <f t="shared" si="5"/>
        <v>0.18232155679395459</v>
      </c>
      <c r="L19">
        <f t="shared" si="6"/>
        <v>1.4776106839534335</v>
      </c>
      <c r="M19">
        <f t="shared" si="7"/>
        <v>24</v>
      </c>
    </row>
    <row r="20" spans="1:13" x14ac:dyDescent="0.25">
      <c r="A20" t="s">
        <v>121</v>
      </c>
      <c r="B20">
        <v>1</v>
      </c>
      <c r="C20">
        <v>19</v>
      </c>
      <c r="D20">
        <v>4</v>
      </c>
      <c r="E20">
        <v>18</v>
      </c>
      <c r="F20">
        <f t="shared" si="0"/>
        <v>5.2631578947368418E-2</v>
      </c>
      <c r="G20">
        <f t="shared" si="1"/>
        <v>0.22222222222222221</v>
      </c>
      <c r="H20">
        <f t="shared" si="2"/>
        <v>0.23684210526315788</v>
      </c>
      <c r="I20">
        <f t="shared" si="3"/>
        <v>-1.4403615823901665</v>
      </c>
      <c r="J20">
        <f t="shared" si="4"/>
        <v>1.0685564400147876</v>
      </c>
      <c r="K20">
        <f t="shared" si="5"/>
        <v>-1.6376087894007967</v>
      </c>
      <c r="L20">
        <f t="shared" si="6"/>
        <v>1.173449669557296</v>
      </c>
      <c r="M20">
        <f t="shared" si="7"/>
        <v>37</v>
      </c>
    </row>
    <row r="21" spans="1:13" x14ac:dyDescent="0.25">
      <c r="A21" t="s">
        <v>122</v>
      </c>
      <c r="B21">
        <v>18</v>
      </c>
      <c r="C21">
        <v>63</v>
      </c>
      <c r="D21">
        <v>22</v>
      </c>
      <c r="E21">
        <v>62</v>
      </c>
      <c r="F21">
        <f t="shared" si="0"/>
        <v>0.2857142857142857</v>
      </c>
      <c r="G21">
        <f t="shared" si="1"/>
        <v>0.35483870967741937</v>
      </c>
      <c r="H21">
        <f t="shared" si="2"/>
        <v>0.80519480519480513</v>
      </c>
      <c r="I21">
        <f t="shared" si="3"/>
        <v>-0.21667103680859237</v>
      </c>
      <c r="J21">
        <f t="shared" si="4"/>
        <v>0.26269383867731011</v>
      </c>
      <c r="K21">
        <f t="shared" si="5"/>
        <v>-0.31845373111853459</v>
      </c>
      <c r="L21">
        <f t="shared" si="6"/>
        <v>0.38500951057386001</v>
      </c>
      <c r="M21">
        <f t="shared" si="7"/>
        <v>125</v>
      </c>
    </row>
    <row r="22" spans="1:13" x14ac:dyDescent="0.25">
      <c r="A22" t="s">
        <v>30</v>
      </c>
      <c r="B22">
        <v>3</v>
      </c>
      <c r="C22">
        <v>12</v>
      </c>
      <c r="D22">
        <v>1</v>
      </c>
      <c r="E22">
        <v>12</v>
      </c>
      <c r="F22">
        <f t="shared" si="0"/>
        <v>0.25</v>
      </c>
      <c r="G22">
        <f t="shared" si="1"/>
        <v>8.3333333333333329E-2</v>
      </c>
      <c r="H22">
        <f t="shared" si="2"/>
        <v>3</v>
      </c>
      <c r="I22">
        <f t="shared" si="3"/>
        <v>1.0986122886681098</v>
      </c>
      <c r="J22">
        <f t="shared" si="4"/>
        <v>1.0801234497346432</v>
      </c>
      <c r="K22">
        <f t="shared" si="5"/>
        <v>1.2992829841302609</v>
      </c>
      <c r="L22">
        <f t="shared" si="6"/>
        <v>1.2390938363794468</v>
      </c>
      <c r="M22">
        <f t="shared" si="7"/>
        <v>24</v>
      </c>
    </row>
    <row r="23" spans="1:13" x14ac:dyDescent="0.25">
      <c r="A23" t="s">
        <v>39</v>
      </c>
      <c r="B23">
        <v>12</v>
      </c>
      <c r="C23">
        <v>29</v>
      </c>
      <c r="D23">
        <v>3</v>
      </c>
      <c r="E23">
        <v>23</v>
      </c>
      <c r="F23">
        <f t="shared" si="0"/>
        <v>0.41379310344827586</v>
      </c>
      <c r="G23">
        <f t="shared" si="1"/>
        <v>0.13043478260869565</v>
      </c>
      <c r="H23">
        <f t="shared" si="2"/>
        <v>3.1724137931034484</v>
      </c>
      <c r="I23">
        <f t="shared" si="3"/>
        <v>1.1544927470625663</v>
      </c>
      <c r="J23">
        <f t="shared" si="4"/>
        <v>0.58198423275584699</v>
      </c>
      <c r="K23">
        <f t="shared" si="5"/>
        <v>1.5488132906176655</v>
      </c>
      <c r="L23">
        <f t="shared" si="6"/>
        <v>0.72490702581671218</v>
      </c>
      <c r="M23">
        <f t="shared" si="7"/>
        <v>52</v>
      </c>
    </row>
    <row r="24" spans="1:13" x14ac:dyDescent="0.25">
      <c r="A24" t="s">
        <v>31</v>
      </c>
      <c r="B24">
        <v>6</v>
      </c>
      <c r="C24">
        <v>30</v>
      </c>
      <c r="D24">
        <v>4</v>
      </c>
      <c r="E24">
        <v>30</v>
      </c>
      <c r="F24">
        <f t="shared" si="0"/>
        <v>0.2</v>
      </c>
      <c r="G24">
        <f t="shared" si="1"/>
        <v>0.13333333333333333</v>
      </c>
      <c r="H24">
        <f t="shared" si="2"/>
        <v>1.5</v>
      </c>
      <c r="I24">
        <f t="shared" si="3"/>
        <v>0.40546510810816438</v>
      </c>
      <c r="J24">
        <f t="shared" si="4"/>
        <v>0.59160797830996159</v>
      </c>
      <c r="K24">
        <f t="shared" si="5"/>
        <v>0.48550781578170082</v>
      </c>
      <c r="L24">
        <f t="shared" si="6"/>
        <v>0.70483676961043384</v>
      </c>
      <c r="M24">
        <f t="shared" si="7"/>
        <v>60</v>
      </c>
    </row>
    <row r="25" spans="1:13" x14ac:dyDescent="0.25">
      <c r="A25" t="s">
        <v>56</v>
      </c>
      <c r="B25">
        <v>11</v>
      </c>
      <c r="C25">
        <v>54</v>
      </c>
      <c r="D25">
        <v>11</v>
      </c>
      <c r="E25">
        <v>54</v>
      </c>
      <c r="F25">
        <f t="shared" si="0"/>
        <v>0.20370370370370369</v>
      </c>
      <c r="G25">
        <f t="shared" si="1"/>
        <v>0.20370370370370369</v>
      </c>
      <c r="H25">
        <f t="shared" si="2"/>
        <v>1</v>
      </c>
      <c r="I25">
        <f t="shared" si="3"/>
        <v>0</v>
      </c>
      <c r="J25">
        <f t="shared" si="4"/>
        <v>0.38050117579469422</v>
      </c>
      <c r="K25">
        <f t="shared" si="5"/>
        <v>0</v>
      </c>
      <c r="L25">
        <f t="shared" si="6"/>
        <v>0.47783868588170897</v>
      </c>
      <c r="M25">
        <f t="shared" si="7"/>
        <v>108</v>
      </c>
    </row>
    <row r="26" spans="1:13" x14ac:dyDescent="0.25">
      <c r="A26" t="s">
        <v>66</v>
      </c>
      <c r="B26">
        <v>2.5</v>
      </c>
      <c r="C26">
        <v>17</v>
      </c>
      <c r="D26">
        <v>0.5</v>
      </c>
      <c r="E26">
        <v>17</v>
      </c>
      <c r="F26">
        <f>$B26/$C26</f>
        <v>0.14705882352941177</v>
      </c>
      <c r="G26">
        <f>$D26/$E26</f>
        <v>2.9411764705882353E-2</v>
      </c>
      <c r="H26">
        <f>$F26/$G26</f>
        <v>5</v>
      </c>
      <c r="I26">
        <f>LN($H26)</f>
        <v>1.6094379124341003</v>
      </c>
      <c r="J26">
        <f>SQRT((1-$F26)/($C26*$F26)+(1-$G26)/($E26*$G26))</f>
        <v>1.5107458228227773</v>
      </c>
      <c r="K26">
        <f t="shared" si="5"/>
        <v>1.7386496439141066</v>
      </c>
      <c r="L26">
        <f t="shared" si="6"/>
        <v>1.5904626930071135</v>
      </c>
      <c r="M26">
        <f t="shared" si="7"/>
        <v>34</v>
      </c>
    </row>
    <row r="27" spans="1:13" x14ac:dyDescent="0.25">
      <c r="A27" t="s">
        <v>123</v>
      </c>
      <c r="B27">
        <v>1</v>
      </c>
      <c r="C27">
        <v>14</v>
      </c>
      <c r="D27">
        <v>1</v>
      </c>
      <c r="E27">
        <v>15</v>
      </c>
      <c r="F27">
        <f t="shared" si="0"/>
        <v>7.1428571428571425E-2</v>
      </c>
      <c r="G27">
        <f t="shared" si="1"/>
        <v>6.6666666666666666E-2</v>
      </c>
      <c r="H27">
        <f t="shared" si="2"/>
        <v>1.0714285714285714</v>
      </c>
      <c r="I27">
        <f t="shared" si="3"/>
        <v>6.8992871486951421E-2</v>
      </c>
      <c r="J27">
        <f t="shared" si="4"/>
        <v>1.3645163106041502</v>
      </c>
      <c r="K27">
        <f t="shared" si="5"/>
        <v>7.4107972153721835E-2</v>
      </c>
      <c r="L27">
        <f t="shared" si="6"/>
        <v>1.4657256388395641</v>
      </c>
      <c r="M27">
        <f t="shared" si="7"/>
        <v>29</v>
      </c>
    </row>
    <row r="28" spans="1:13" x14ac:dyDescent="0.25">
      <c r="A28" t="s">
        <v>3</v>
      </c>
      <c r="B28">
        <v>12</v>
      </c>
      <c r="C28">
        <v>37</v>
      </c>
      <c r="D28">
        <v>5</v>
      </c>
      <c r="E28">
        <v>29</v>
      </c>
      <c r="F28">
        <f t="shared" si="0"/>
        <v>0.32432432432432434</v>
      </c>
      <c r="G28">
        <f t="shared" si="1"/>
        <v>0.17241379310344829</v>
      </c>
      <c r="H28">
        <f t="shared" si="2"/>
        <v>1.881081081081081</v>
      </c>
      <c r="I28">
        <f t="shared" si="3"/>
        <v>0.63184665469614942</v>
      </c>
      <c r="J28">
        <f t="shared" si="4"/>
        <v>0.47098147276258823</v>
      </c>
      <c r="K28">
        <f t="shared" si="5"/>
        <v>0.83464674283364471</v>
      </c>
      <c r="L28">
        <f t="shared" si="6"/>
        <v>0.60415229867972864</v>
      </c>
      <c r="M28">
        <f t="shared" si="7"/>
        <v>66</v>
      </c>
    </row>
    <row r="29" spans="1:13" x14ac:dyDescent="0.25">
      <c r="A29" t="s">
        <v>4</v>
      </c>
      <c r="B29">
        <v>33</v>
      </c>
      <c r="C29">
        <v>124</v>
      </c>
      <c r="D29">
        <v>7</v>
      </c>
      <c r="E29">
        <v>47</v>
      </c>
      <c r="F29">
        <f t="shared" si="0"/>
        <v>0.2661290322580645</v>
      </c>
      <c r="G29">
        <f t="shared" si="1"/>
        <v>0.14893617021276595</v>
      </c>
      <c r="H29">
        <f t="shared" si="2"/>
        <v>1.7868663594470047</v>
      </c>
      <c r="I29">
        <f t="shared" si="3"/>
        <v>0.5804634485161887</v>
      </c>
      <c r="J29">
        <f t="shared" si="4"/>
        <v>0.3792348365939765</v>
      </c>
      <c r="K29">
        <f t="shared" si="5"/>
        <v>0.72861736000825306</v>
      </c>
      <c r="L29">
        <f t="shared" si="6"/>
        <v>0.45732831111706185</v>
      </c>
      <c r="M29">
        <f t="shared" si="7"/>
        <v>171</v>
      </c>
    </row>
    <row r="30" spans="1:13" x14ac:dyDescent="0.25">
      <c r="A30" t="s">
        <v>27</v>
      </c>
      <c r="B30">
        <v>1</v>
      </c>
      <c r="C30">
        <v>13</v>
      </c>
      <c r="D30">
        <v>1</v>
      </c>
      <c r="E30">
        <v>17</v>
      </c>
      <c r="F30">
        <f t="shared" si="0"/>
        <v>7.6923076923076927E-2</v>
      </c>
      <c r="G30">
        <f t="shared" si="1"/>
        <v>5.8823529411764705E-2</v>
      </c>
      <c r="H30">
        <f t="shared" si="2"/>
        <v>1.3076923076923077</v>
      </c>
      <c r="I30">
        <f t="shared" si="3"/>
        <v>0.26826398659467937</v>
      </c>
      <c r="J30">
        <f t="shared" si="4"/>
        <v>1.3653766490112385</v>
      </c>
      <c r="K30">
        <f t="shared" si="5"/>
        <v>0.28768207245178085</v>
      </c>
      <c r="L30">
        <f t="shared" si="6"/>
        <v>1.4648663192705786</v>
      </c>
      <c r="M30">
        <f t="shared" si="7"/>
        <v>30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M2" sqref="M2:M8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69</v>
      </c>
      <c r="C1" t="s">
        <v>81</v>
      </c>
      <c r="D1" t="s">
        <v>126</v>
      </c>
      <c r="E1" t="s">
        <v>127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73</v>
      </c>
      <c r="B2">
        <v>0.5</v>
      </c>
      <c r="C2">
        <v>11</v>
      </c>
      <c r="D2">
        <v>0.5</v>
      </c>
      <c r="E2">
        <v>11</v>
      </c>
      <c r="F2">
        <f>$B2/$C2</f>
        <v>4.5454545454545456E-2</v>
      </c>
      <c r="G2">
        <f>$D2/$E2</f>
        <v>4.5454545454545456E-2</v>
      </c>
      <c r="H2">
        <f>$F2/$G2</f>
        <v>1</v>
      </c>
      <c r="I2">
        <f>LN($H2)</f>
        <v>0</v>
      </c>
      <c r="J2">
        <f>SQRT((1-$F2)/($C2*$F2)+(1-$G2)/($E2*$G2))</f>
        <v>1.9540168418367889</v>
      </c>
      <c r="K2">
        <f>LN(($B2*($E2-$D2))/(($C2-$B2)*$D2))</f>
        <v>0</v>
      </c>
      <c r="L2">
        <f>SQRT(1/$B2+1/($C2-$B2)+1/$D2+1/($E2-$D2))</f>
        <v>2.0470652628766359</v>
      </c>
      <c r="M2">
        <f>$C2+$E2</f>
        <v>22</v>
      </c>
    </row>
    <row r="3" spans="1:13" x14ac:dyDescent="0.25">
      <c r="A3" t="s">
        <v>72</v>
      </c>
      <c r="B3">
        <v>4</v>
      </c>
      <c r="C3">
        <v>14</v>
      </c>
      <c r="D3">
        <v>3</v>
      </c>
      <c r="E3">
        <v>17</v>
      </c>
      <c r="F3">
        <f t="shared" ref="F3:F8" si="0">$B3/$C3</f>
        <v>0.2857142857142857</v>
      </c>
      <c r="G3">
        <f t="shared" ref="G3:G8" si="1">$D3/$E3</f>
        <v>0.17647058823529413</v>
      </c>
      <c r="H3">
        <f t="shared" ref="H3:H8" si="2">$F3/$G3</f>
        <v>1.6190476190476188</v>
      </c>
      <c r="I3">
        <f t="shared" ref="I3:I8" si="3">LN($H3)</f>
        <v>0.48183808689273827</v>
      </c>
      <c r="J3">
        <f t="shared" ref="J3:J8" si="4">SQRT((1-$F3)/($C3*$F3)+(1-$G3)/($E3*$G3))</f>
        <v>0.67311309041868816</v>
      </c>
      <c r="K3">
        <f t="shared" ref="K3:K8" si="5">LN(($B3*($E3-$D3))/(($C3-$B3)*$D3))</f>
        <v>0.62415430907299385</v>
      </c>
      <c r="L3">
        <f t="shared" ref="L3:L8" si="6">SQRT(1/$B3+1/($C3-$B3)+1/$D3+1/($E3-$D3))</f>
        <v>0.86877034063203651</v>
      </c>
      <c r="M3">
        <f t="shared" ref="M3:M8" si="7">$C3+$E3</f>
        <v>31</v>
      </c>
    </row>
    <row r="4" spans="1:13" x14ac:dyDescent="0.25">
      <c r="A4" t="s">
        <v>79</v>
      </c>
      <c r="B4">
        <v>10</v>
      </c>
      <c r="C4">
        <v>55</v>
      </c>
      <c r="D4">
        <v>7</v>
      </c>
      <c r="E4">
        <v>26</v>
      </c>
      <c r="F4">
        <f t="shared" si="0"/>
        <v>0.18181818181818182</v>
      </c>
      <c r="G4">
        <f t="shared" si="1"/>
        <v>0.26923076923076922</v>
      </c>
      <c r="H4">
        <f t="shared" si="2"/>
        <v>0.67532467532467533</v>
      </c>
      <c r="I4">
        <f t="shared" si="3"/>
        <v>-0.39256170327225648</v>
      </c>
      <c r="J4">
        <f t="shared" si="4"/>
        <v>0.43152495433495641</v>
      </c>
      <c r="K4">
        <f t="shared" si="5"/>
        <v>-0.50554856666514703</v>
      </c>
      <c r="L4">
        <f t="shared" si="6"/>
        <v>0.56365853495421636</v>
      </c>
      <c r="M4">
        <f t="shared" si="7"/>
        <v>81</v>
      </c>
    </row>
    <row r="5" spans="1:13" x14ac:dyDescent="0.25">
      <c r="A5" t="s">
        <v>125</v>
      </c>
      <c r="B5">
        <v>3</v>
      </c>
      <c r="C5">
        <v>15</v>
      </c>
      <c r="D5">
        <v>2</v>
      </c>
      <c r="E5">
        <v>13</v>
      </c>
      <c r="F5">
        <f t="shared" si="0"/>
        <v>0.2</v>
      </c>
      <c r="G5">
        <f t="shared" si="1"/>
        <v>0.15384615384615385</v>
      </c>
      <c r="H5">
        <f t="shared" si="2"/>
        <v>1.3</v>
      </c>
      <c r="I5">
        <f t="shared" si="3"/>
        <v>0.26236426446749106</v>
      </c>
      <c r="J5">
        <f t="shared" si="4"/>
        <v>0.83050803111323956</v>
      </c>
      <c r="K5">
        <f t="shared" si="5"/>
        <v>0.31845373111853459</v>
      </c>
      <c r="L5">
        <f t="shared" si="6"/>
        <v>1.0037807318213263</v>
      </c>
      <c r="M5">
        <f t="shared" si="7"/>
        <v>28</v>
      </c>
    </row>
    <row r="6" spans="1:13" x14ac:dyDescent="0.25">
      <c r="A6" t="s">
        <v>80</v>
      </c>
      <c r="B6">
        <v>9</v>
      </c>
      <c r="C6">
        <v>66</v>
      </c>
      <c r="D6">
        <v>1</v>
      </c>
      <c r="E6">
        <v>21</v>
      </c>
      <c r="F6">
        <f t="shared" si="0"/>
        <v>0.13636363636363635</v>
      </c>
      <c r="G6">
        <f t="shared" si="1"/>
        <v>4.7619047619047616E-2</v>
      </c>
      <c r="H6">
        <f t="shared" si="2"/>
        <v>2.8636363636363638</v>
      </c>
      <c r="I6">
        <f t="shared" si="3"/>
        <v>1.052092273033217</v>
      </c>
      <c r="J6">
        <f t="shared" si="4"/>
        <v>1.0238850269149111</v>
      </c>
      <c r="K6">
        <f t="shared" si="5"/>
        <v>1.1499055830556602</v>
      </c>
      <c r="L6">
        <f t="shared" si="6"/>
        <v>1.0856587727091023</v>
      </c>
      <c r="M6">
        <f t="shared" si="7"/>
        <v>87</v>
      </c>
    </row>
    <row r="7" spans="1:13" x14ac:dyDescent="0.25">
      <c r="A7" t="s">
        <v>75</v>
      </c>
      <c r="B7">
        <v>7</v>
      </c>
      <c r="C7">
        <v>22</v>
      </c>
      <c r="D7">
        <v>4</v>
      </c>
      <c r="E7">
        <v>19</v>
      </c>
      <c r="F7">
        <f t="shared" si="0"/>
        <v>0.31818181818181818</v>
      </c>
      <c r="G7">
        <f t="shared" si="1"/>
        <v>0.21052631578947367</v>
      </c>
      <c r="H7">
        <f t="shared" si="2"/>
        <v>1.5113636363636365</v>
      </c>
      <c r="I7">
        <f t="shared" si="3"/>
        <v>0.41301231374354735</v>
      </c>
      <c r="J7">
        <f t="shared" si="4"/>
        <v>0.5429281890408979</v>
      </c>
      <c r="K7">
        <f t="shared" si="5"/>
        <v>0.55961578793542266</v>
      </c>
      <c r="L7">
        <f t="shared" si="6"/>
        <v>0.72538987874830196</v>
      </c>
      <c r="M7">
        <f t="shared" si="7"/>
        <v>41</v>
      </c>
    </row>
    <row r="8" spans="1:13" x14ac:dyDescent="0.25">
      <c r="A8" t="s">
        <v>27</v>
      </c>
      <c r="B8">
        <v>1</v>
      </c>
      <c r="C8">
        <v>13</v>
      </c>
      <c r="D8">
        <v>1</v>
      </c>
      <c r="E8">
        <v>11</v>
      </c>
      <c r="F8">
        <f t="shared" si="0"/>
        <v>7.6923076923076927E-2</v>
      </c>
      <c r="G8">
        <f t="shared" si="1"/>
        <v>9.0909090909090912E-2</v>
      </c>
      <c r="H8">
        <f t="shared" si="2"/>
        <v>0.84615384615384615</v>
      </c>
      <c r="I8">
        <f t="shared" si="3"/>
        <v>-0.16705408466316621</v>
      </c>
      <c r="J8">
        <f t="shared" si="4"/>
        <v>1.3535759425196032</v>
      </c>
      <c r="K8">
        <f t="shared" si="5"/>
        <v>-0.18232155679395459</v>
      </c>
      <c r="L8">
        <f t="shared" si="6"/>
        <v>1.4776106839534333</v>
      </c>
      <c r="M8">
        <f t="shared" si="7"/>
        <v>24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A7" sqref="A7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12</v>
      </c>
      <c r="C1" t="s">
        <v>33</v>
      </c>
      <c r="D1" t="s">
        <v>34</v>
      </c>
      <c r="E1" t="s">
        <v>44</v>
      </c>
      <c r="F1" t="s">
        <v>44</v>
      </c>
      <c r="G1" t="s">
        <v>129</v>
      </c>
      <c r="H1" t="s">
        <v>368</v>
      </c>
      <c r="I1" t="s">
        <v>381</v>
      </c>
      <c r="J1" t="s">
        <v>369</v>
      </c>
    </row>
    <row r="2" spans="1:10" x14ac:dyDescent="0.25">
      <c r="A2" t="s">
        <v>73</v>
      </c>
      <c r="B2">
        <v>-0.66</v>
      </c>
      <c r="C2">
        <v>-1.56</v>
      </c>
      <c r="D2">
        <v>0.25</v>
      </c>
      <c r="E2">
        <v>10</v>
      </c>
      <c r="F2">
        <v>10</v>
      </c>
      <c r="G2">
        <v>0.95</v>
      </c>
      <c r="H2">
        <f>$B2</f>
        <v>-0.66</v>
      </c>
      <c r="I2">
        <f>($E2+$F2)/($E2*$F2)+$H2^2/(2*($E2+$F2))</f>
        <v>0.21089000000000002</v>
      </c>
      <c r="J2">
        <f>SQRT($I2)</f>
        <v>0.45922761241022958</v>
      </c>
    </row>
    <row r="3" spans="1:10" x14ac:dyDescent="0.25">
      <c r="A3" t="s">
        <v>72</v>
      </c>
      <c r="B3">
        <v>0.33</v>
      </c>
      <c r="C3">
        <v>-0.49</v>
      </c>
      <c r="D3">
        <v>1.1399999999999999</v>
      </c>
      <c r="E3">
        <v>10</v>
      </c>
      <c r="F3">
        <v>14</v>
      </c>
      <c r="G3">
        <v>0.95</v>
      </c>
      <c r="H3">
        <f t="shared" ref="H3:H6" si="0">$B3</f>
        <v>0.33</v>
      </c>
      <c r="I3">
        <f t="shared" ref="I3:I7" si="1">($E3+$F3)/($E3*$F3)+$H3^2/(2*($E3+$F3))</f>
        <v>0.17369732142857144</v>
      </c>
      <c r="J3">
        <f t="shared" ref="J3:J7" si="2">SQRT($I3)</f>
        <v>0.41677010620793264</v>
      </c>
    </row>
    <row r="4" spans="1:10" x14ac:dyDescent="0.25">
      <c r="A4" t="s">
        <v>79</v>
      </c>
      <c r="B4">
        <v>-0.26</v>
      </c>
      <c r="C4">
        <v>-0.8</v>
      </c>
      <c r="D4">
        <v>0.28000000000000003</v>
      </c>
      <c r="E4">
        <v>44</v>
      </c>
      <c r="F4">
        <v>19</v>
      </c>
      <c r="G4">
        <v>0.95</v>
      </c>
      <c r="H4">
        <f t="shared" si="0"/>
        <v>-0.26</v>
      </c>
      <c r="I4">
        <f t="shared" si="1"/>
        <v>7.5895359611149085E-2</v>
      </c>
      <c r="J4">
        <f t="shared" si="2"/>
        <v>0.27549112437817136</v>
      </c>
    </row>
    <row r="5" spans="1:10" x14ac:dyDescent="0.25">
      <c r="A5" t="s">
        <v>128</v>
      </c>
      <c r="B5">
        <v>-0.37</v>
      </c>
      <c r="C5">
        <v>-1.1200000000000001</v>
      </c>
      <c r="D5">
        <v>0.38</v>
      </c>
      <c r="E5">
        <v>15</v>
      </c>
      <c r="F5">
        <v>13</v>
      </c>
      <c r="G5">
        <v>0.95</v>
      </c>
      <c r="H5">
        <f t="shared" si="0"/>
        <v>-0.37</v>
      </c>
      <c r="I5">
        <f t="shared" si="1"/>
        <v>0.14603438644688643</v>
      </c>
      <c r="J5">
        <f t="shared" si="2"/>
        <v>0.38214445756400345</v>
      </c>
    </row>
    <row r="6" spans="1:10" x14ac:dyDescent="0.25">
      <c r="A6" t="s">
        <v>75</v>
      </c>
      <c r="B6">
        <v>-0.63</v>
      </c>
      <c r="C6">
        <v>-1.37</v>
      </c>
      <c r="D6">
        <v>0.1</v>
      </c>
      <c r="E6">
        <v>15</v>
      </c>
      <c r="F6">
        <v>15</v>
      </c>
      <c r="G6">
        <v>0.95</v>
      </c>
      <c r="H6">
        <f t="shared" si="0"/>
        <v>-0.63</v>
      </c>
      <c r="I6">
        <f t="shared" si="1"/>
        <v>0.13994833333333334</v>
      </c>
      <c r="J6">
        <f t="shared" si="2"/>
        <v>0.37409668981873301</v>
      </c>
    </row>
    <row r="7" spans="1:10" x14ac:dyDescent="0.25">
      <c r="A7" t="s">
        <v>27</v>
      </c>
      <c r="B7">
        <v>0.01</v>
      </c>
      <c r="C7">
        <v>-0.79</v>
      </c>
      <c r="D7">
        <v>0.82</v>
      </c>
      <c r="E7">
        <v>13</v>
      </c>
      <c r="F7">
        <v>11</v>
      </c>
      <c r="G7">
        <v>0.95</v>
      </c>
      <c r="H7">
        <f>$B7</f>
        <v>0.01</v>
      </c>
      <c r="I7">
        <f t="shared" si="1"/>
        <v>0.16783425116550119</v>
      </c>
      <c r="J7">
        <f t="shared" si="2"/>
        <v>0.4096757878682864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M2" sqref="M2:M7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130</v>
      </c>
      <c r="C1" t="s">
        <v>81</v>
      </c>
      <c r="D1" t="s">
        <v>131</v>
      </c>
      <c r="E1" t="s">
        <v>127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73</v>
      </c>
      <c r="B2">
        <v>1</v>
      </c>
      <c r="C2">
        <v>10</v>
      </c>
      <c r="D2">
        <v>9</v>
      </c>
      <c r="E2">
        <v>10</v>
      </c>
      <c r="F2">
        <f>$B2/$C2</f>
        <v>0.1</v>
      </c>
      <c r="G2">
        <f>$D2/$E2</f>
        <v>0.9</v>
      </c>
      <c r="H2">
        <f>$F2/$G2</f>
        <v>0.11111111111111112</v>
      </c>
      <c r="I2">
        <f>LN($H2)</f>
        <v>-2.1972245773362191</v>
      </c>
      <c r="J2">
        <f>SQRT((1-$F2)/($C2*$F2)+(1-$G2)/($E2*$G2))</f>
        <v>0.95452140421842357</v>
      </c>
      <c r="K2">
        <f>LN(($B2*($E2-$D2))/(($C2-$B2)*$D2))</f>
        <v>-4.3944491546724391</v>
      </c>
      <c r="L2">
        <f>SQRT(1/$B2+1/($C2-$B2)+1/$D2+1/($E2-$D2))</f>
        <v>1.4907119849998598</v>
      </c>
      <c r="M2">
        <f>$C2+$E2</f>
        <v>20</v>
      </c>
    </row>
    <row r="3" spans="1:13" x14ac:dyDescent="0.25">
      <c r="A3" t="s">
        <v>72</v>
      </c>
      <c r="B3">
        <v>10</v>
      </c>
      <c r="C3">
        <v>14</v>
      </c>
      <c r="D3">
        <v>10</v>
      </c>
      <c r="E3">
        <v>17</v>
      </c>
      <c r="F3">
        <f t="shared" ref="F3:F7" si="0">$B3/$C3</f>
        <v>0.7142857142857143</v>
      </c>
      <c r="G3">
        <f t="shared" ref="G3:G7" si="1">$D3/$E3</f>
        <v>0.58823529411764708</v>
      </c>
      <c r="H3">
        <f t="shared" ref="H3:H7" si="2">$F3/$G3</f>
        <v>1.2142857142857142</v>
      </c>
      <c r="I3">
        <f t="shared" ref="I3:I7" si="3">LN($H3)</f>
        <v>0.1941560144409574</v>
      </c>
      <c r="J3">
        <f t="shared" ref="J3:J7" si="4">SQRT((1-$F3)/($C3*$F3)+(1-$G3)/($E3*$G3))</f>
        <v>0.26409827557116661</v>
      </c>
      <c r="K3">
        <f t="shared" ref="K3:K7" si="5">LN(($B3*($E3-$D3))/(($C3-$B3)*$D3))</f>
        <v>0.55961578793542266</v>
      </c>
      <c r="L3">
        <f t="shared" ref="L3:L7" si="6">SQRT(1/$B3+1/($C3-$B3)+1/$D3+1/($E3-$D3))</f>
        <v>0.76997217018353514</v>
      </c>
      <c r="M3">
        <f t="shared" ref="M3:M7" si="7">$C3+$E3</f>
        <v>31</v>
      </c>
    </row>
    <row r="4" spans="1:13" x14ac:dyDescent="0.25">
      <c r="A4" t="s">
        <v>79</v>
      </c>
      <c r="B4">
        <v>28</v>
      </c>
      <c r="C4">
        <v>55</v>
      </c>
      <c r="D4">
        <v>15</v>
      </c>
      <c r="E4">
        <v>26</v>
      </c>
      <c r="F4">
        <f t="shared" si="0"/>
        <v>0.50909090909090904</v>
      </c>
      <c r="G4">
        <f t="shared" si="1"/>
        <v>0.57692307692307687</v>
      </c>
      <c r="H4">
        <f t="shared" si="2"/>
        <v>0.88242424242424244</v>
      </c>
      <c r="I4">
        <f t="shared" si="3"/>
        <v>-0.12508233813799499</v>
      </c>
      <c r="J4">
        <f t="shared" si="4"/>
        <v>0.21386349790835216</v>
      </c>
      <c r="K4">
        <f t="shared" si="5"/>
        <v>-0.27378728413296466</v>
      </c>
      <c r="L4">
        <f t="shared" si="6"/>
        <v>0.47992403599640676</v>
      </c>
      <c r="M4">
        <f t="shared" si="7"/>
        <v>81</v>
      </c>
    </row>
    <row r="5" spans="1:13" x14ac:dyDescent="0.25">
      <c r="A5" t="s">
        <v>80</v>
      </c>
      <c r="B5">
        <v>27</v>
      </c>
      <c r="C5">
        <v>66</v>
      </c>
      <c r="D5">
        <v>10</v>
      </c>
      <c r="E5">
        <v>21</v>
      </c>
      <c r="F5">
        <f t="shared" si="0"/>
        <v>0.40909090909090912</v>
      </c>
      <c r="G5">
        <f t="shared" si="1"/>
        <v>0.47619047619047616</v>
      </c>
      <c r="H5">
        <f t="shared" si="2"/>
        <v>0.85909090909090924</v>
      </c>
      <c r="I5">
        <f t="shared" si="3"/>
        <v>-0.15188053129271897</v>
      </c>
      <c r="J5">
        <f t="shared" si="4"/>
        <v>0.27251875947625009</v>
      </c>
      <c r="K5">
        <f t="shared" si="5"/>
        <v>-0.27241460032099257</v>
      </c>
      <c r="L5">
        <f t="shared" si="6"/>
        <v>0.50357437741326116</v>
      </c>
      <c r="M5">
        <f t="shared" si="7"/>
        <v>87</v>
      </c>
    </row>
    <row r="6" spans="1:13" x14ac:dyDescent="0.25">
      <c r="A6" t="s">
        <v>75</v>
      </c>
      <c r="B6">
        <v>9</v>
      </c>
      <c r="C6">
        <v>22</v>
      </c>
      <c r="D6">
        <v>13</v>
      </c>
      <c r="E6">
        <v>19</v>
      </c>
      <c r="F6">
        <f t="shared" si="0"/>
        <v>0.40909090909090912</v>
      </c>
      <c r="G6">
        <f t="shared" si="1"/>
        <v>0.68421052631578949</v>
      </c>
      <c r="H6">
        <f t="shared" si="2"/>
        <v>0.59790209790209792</v>
      </c>
      <c r="I6">
        <f t="shared" si="3"/>
        <v>-0.51432825431719276</v>
      </c>
      <c r="J6">
        <f t="shared" si="4"/>
        <v>0.29991342689561956</v>
      </c>
      <c r="K6">
        <f t="shared" si="5"/>
        <v>-1.140914668358799</v>
      </c>
      <c r="L6">
        <f t="shared" si="6"/>
        <v>0.65698092181122858</v>
      </c>
      <c r="M6">
        <f t="shared" si="7"/>
        <v>41</v>
      </c>
    </row>
    <row r="7" spans="1:13" x14ac:dyDescent="0.25">
      <c r="A7" t="s">
        <v>27</v>
      </c>
      <c r="B7">
        <v>6</v>
      </c>
      <c r="C7">
        <v>13</v>
      </c>
      <c r="D7">
        <v>5</v>
      </c>
      <c r="E7">
        <v>11</v>
      </c>
      <c r="F7">
        <f t="shared" si="0"/>
        <v>0.46153846153846156</v>
      </c>
      <c r="G7">
        <f t="shared" si="1"/>
        <v>0.45454545454545453</v>
      </c>
      <c r="H7">
        <f t="shared" si="2"/>
        <v>1.0153846153846156</v>
      </c>
      <c r="I7">
        <f t="shared" si="3"/>
        <v>1.5267472130788599E-2</v>
      </c>
      <c r="J7">
        <f t="shared" si="4"/>
        <v>0.44590862161938383</v>
      </c>
      <c r="K7">
        <f t="shared" si="5"/>
        <v>2.8170876966696224E-2</v>
      </c>
      <c r="L7">
        <f t="shared" si="6"/>
        <v>0.8223080178318074</v>
      </c>
      <c r="M7">
        <f t="shared" si="7"/>
        <v>24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L2" sqref="L2"/>
    </sheetView>
  </sheetViews>
  <sheetFormatPr defaultColWidth="11.42578125" defaultRowHeight="15" x14ac:dyDescent="0.25"/>
  <cols>
    <col min="2" max="3" width="11.28515625" customWidth="1"/>
  </cols>
  <sheetData>
    <row r="1" spans="1:13" x14ac:dyDescent="0.25">
      <c r="A1" t="s">
        <v>19</v>
      </c>
      <c r="B1" t="s">
        <v>69</v>
      </c>
      <c r="C1" t="s">
        <v>81</v>
      </c>
      <c r="D1" t="s">
        <v>138</v>
      </c>
      <c r="E1" t="s">
        <v>137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5</v>
      </c>
      <c r="B2">
        <v>10</v>
      </c>
      <c r="C2">
        <v>37</v>
      </c>
      <c r="D2">
        <v>9</v>
      </c>
      <c r="E2">
        <v>36</v>
      </c>
      <c r="F2">
        <f>$B2/$C2</f>
        <v>0.27027027027027029</v>
      </c>
      <c r="G2">
        <f>$D2/$E2</f>
        <v>0.25</v>
      </c>
      <c r="H2">
        <f>$F2/$G2</f>
        <v>1.0810810810810811</v>
      </c>
      <c r="I2">
        <f>LN($H2)</f>
        <v>7.7961541469711917E-2</v>
      </c>
      <c r="J2">
        <f>SQRT((1-$F2)/($C2*$F2)+(1-$G2)/($E2*$G2))</f>
        <v>0.39535592357558819</v>
      </c>
      <c r="K2">
        <f>LN(($B2*($E2-$D2))/(($C2-$B2)*$D2))</f>
        <v>0.10536051565782635</v>
      </c>
      <c r="L2">
        <f>SQRT(1/$B2+1/($C2-$B2)+1/$D2+1/($E2-$D2))</f>
        <v>0.53402732625324068</v>
      </c>
      <c r="M2">
        <f>$C2+$E2</f>
        <v>73</v>
      </c>
    </row>
    <row r="3" spans="1:13" x14ac:dyDescent="0.25">
      <c r="A3" t="s">
        <v>0</v>
      </c>
      <c r="B3">
        <v>4</v>
      </c>
      <c r="C3">
        <v>31</v>
      </c>
      <c r="D3">
        <v>8</v>
      </c>
      <c r="E3">
        <v>58</v>
      </c>
      <c r="F3">
        <f t="shared" ref="F3:F12" si="0">$B3/$C3</f>
        <v>0.12903225806451613</v>
      </c>
      <c r="G3">
        <f t="shared" ref="G3:G12" si="1">$D3/$E3</f>
        <v>0.13793103448275862</v>
      </c>
      <c r="H3">
        <f t="shared" ref="H3:H12" si="2">$F3/$G3</f>
        <v>0.93548387096774188</v>
      </c>
      <c r="I3">
        <f t="shared" ref="I3:I12" si="3">LN($H3)</f>
        <v>-6.6691374498672282E-2</v>
      </c>
      <c r="J3">
        <f t="shared" ref="J3:J12" si="4">SQRT((1-$F3)/($C3*$F3)+(1-$G3)/($E3*$G3))</f>
        <v>0.57052656044528383</v>
      </c>
      <c r="K3">
        <f t="shared" ref="K3:K12" si="5">LN(($B3*($E3-$D3))/(($C3-$B3)*$D3))</f>
        <v>-7.6961041136128325E-2</v>
      </c>
      <c r="L3">
        <f t="shared" ref="L3:L12" si="6">SQRT(1/$B3+1/($C3-$B3)+1/$D3+1/($E3-$D3))</f>
        <v>0.65729524343101486</v>
      </c>
      <c r="M3">
        <f t="shared" ref="M3:M12" si="7">$C3+$E3</f>
        <v>89</v>
      </c>
    </row>
    <row r="4" spans="1:13" x14ac:dyDescent="0.25">
      <c r="A4" t="s">
        <v>132</v>
      </c>
      <c r="B4">
        <v>10</v>
      </c>
      <c r="C4">
        <v>40</v>
      </c>
      <c r="D4">
        <v>3</v>
      </c>
      <c r="E4">
        <v>18</v>
      </c>
      <c r="F4">
        <f t="shared" si="0"/>
        <v>0.25</v>
      </c>
      <c r="G4">
        <f t="shared" si="1"/>
        <v>0.16666666666666666</v>
      </c>
      <c r="H4">
        <f t="shared" si="2"/>
        <v>1.5</v>
      </c>
      <c r="I4">
        <f t="shared" si="3"/>
        <v>0.40546510810816438</v>
      </c>
      <c r="J4">
        <f t="shared" si="4"/>
        <v>0.59395098937351543</v>
      </c>
      <c r="K4">
        <f t="shared" si="5"/>
        <v>0.51082562376599072</v>
      </c>
      <c r="L4">
        <f t="shared" si="6"/>
        <v>0.73029674334022143</v>
      </c>
      <c r="M4">
        <f t="shared" si="7"/>
        <v>58</v>
      </c>
    </row>
    <row r="5" spans="1:13" x14ac:dyDescent="0.25">
      <c r="A5" t="s">
        <v>52</v>
      </c>
      <c r="B5">
        <v>0.5</v>
      </c>
      <c r="C5">
        <v>17</v>
      </c>
      <c r="D5">
        <v>0.5</v>
      </c>
      <c r="E5">
        <v>13</v>
      </c>
      <c r="F5">
        <f t="shared" si="0"/>
        <v>2.9411764705882353E-2</v>
      </c>
      <c r="G5">
        <f t="shared" si="1"/>
        <v>3.8461538461538464E-2</v>
      </c>
      <c r="H5">
        <f t="shared" si="2"/>
        <v>0.76470588235294112</v>
      </c>
      <c r="I5">
        <f t="shared" si="3"/>
        <v>-0.26826398659467943</v>
      </c>
      <c r="J5">
        <f t="shared" si="4"/>
        <v>1.9657704325951082</v>
      </c>
      <c r="K5">
        <f t="shared" si="5"/>
        <v>-0.2776317365982795</v>
      </c>
      <c r="L5">
        <f t="shared" si="6"/>
        <v>2.0348479207562566</v>
      </c>
      <c r="M5">
        <f t="shared" si="7"/>
        <v>30</v>
      </c>
    </row>
    <row r="6" spans="1:13" x14ac:dyDescent="0.25">
      <c r="A6" t="s">
        <v>133</v>
      </c>
      <c r="B6">
        <v>13</v>
      </c>
      <c r="C6">
        <v>33</v>
      </c>
      <c r="D6">
        <v>10</v>
      </c>
      <c r="E6">
        <v>38</v>
      </c>
      <c r="F6">
        <f t="shared" si="0"/>
        <v>0.39393939393939392</v>
      </c>
      <c r="G6">
        <f t="shared" si="1"/>
        <v>0.26315789473684209</v>
      </c>
      <c r="H6">
        <f t="shared" si="2"/>
        <v>1.4969696969696971</v>
      </c>
      <c r="I6">
        <f t="shared" si="3"/>
        <v>0.40344286272739666</v>
      </c>
      <c r="J6">
        <f t="shared" si="4"/>
        <v>0.34684904086124041</v>
      </c>
      <c r="K6">
        <f t="shared" si="5"/>
        <v>0.59883650108870401</v>
      </c>
      <c r="L6">
        <f t="shared" si="6"/>
        <v>0.51248157297347052</v>
      </c>
      <c r="M6">
        <f t="shared" si="7"/>
        <v>71</v>
      </c>
    </row>
    <row r="7" spans="1:13" x14ac:dyDescent="0.25">
      <c r="A7" t="s">
        <v>53</v>
      </c>
      <c r="B7">
        <v>2</v>
      </c>
      <c r="C7">
        <v>13</v>
      </c>
      <c r="D7">
        <v>1</v>
      </c>
      <c r="E7">
        <v>14</v>
      </c>
      <c r="F7">
        <f t="shared" si="0"/>
        <v>0.15384615384615385</v>
      </c>
      <c r="G7">
        <f t="shared" si="1"/>
        <v>7.1428571428571425E-2</v>
      </c>
      <c r="H7">
        <f t="shared" si="2"/>
        <v>2.1538461538461542</v>
      </c>
      <c r="I7">
        <f t="shared" si="3"/>
        <v>0.7672551527136674</v>
      </c>
      <c r="J7">
        <f t="shared" si="4"/>
        <v>1.162604125077987</v>
      </c>
      <c r="K7">
        <f t="shared" si="5"/>
        <v>0.86020126522311158</v>
      </c>
      <c r="L7">
        <f t="shared" si="6"/>
        <v>1.2914457665082835</v>
      </c>
      <c r="M7">
        <f t="shared" si="7"/>
        <v>27</v>
      </c>
    </row>
    <row r="8" spans="1:13" x14ac:dyDescent="0.25">
      <c r="A8" t="s">
        <v>72</v>
      </c>
      <c r="B8">
        <v>4</v>
      </c>
      <c r="C8">
        <v>14</v>
      </c>
      <c r="D8">
        <v>2</v>
      </c>
      <c r="E8">
        <v>14</v>
      </c>
      <c r="F8">
        <f t="shared" si="0"/>
        <v>0.2857142857142857</v>
      </c>
      <c r="G8">
        <f t="shared" si="1"/>
        <v>0.14285714285714285</v>
      </c>
      <c r="H8">
        <f t="shared" si="2"/>
        <v>2</v>
      </c>
      <c r="I8">
        <f t="shared" si="3"/>
        <v>0.69314718055994529</v>
      </c>
      <c r="J8">
        <f t="shared" si="4"/>
        <v>0.77919372247397967</v>
      </c>
      <c r="K8">
        <f t="shared" si="5"/>
        <v>0.87546873735389985</v>
      </c>
      <c r="L8">
        <f t="shared" si="6"/>
        <v>0.96609178307929588</v>
      </c>
      <c r="M8">
        <f t="shared" si="7"/>
        <v>28</v>
      </c>
    </row>
    <row r="9" spans="1:13" x14ac:dyDescent="0.25">
      <c r="A9" t="s">
        <v>39</v>
      </c>
      <c r="B9">
        <v>12</v>
      </c>
      <c r="C9">
        <v>29</v>
      </c>
      <c r="D9">
        <v>2</v>
      </c>
      <c r="E9">
        <v>22</v>
      </c>
      <c r="F9">
        <f t="shared" si="0"/>
        <v>0.41379310344827586</v>
      </c>
      <c r="G9">
        <f t="shared" si="1"/>
        <v>9.0909090909090912E-2</v>
      </c>
      <c r="H9">
        <f t="shared" si="2"/>
        <v>4.5517241379310347</v>
      </c>
      <c r="I9">
        <f t="shared" si="3"/>
        <v>1.5155060925998969</v>
      </c>
      <c r="J9">
        <f t="shared" si="4"/>
        <v>0.70950407275652638</v>
      </c>
      <c r="K9">
        <f t="shared" si="5"/>
        <v>1.9542783987258299</v>
      </c>
      <c r="L9">
        <f t="shared" si="6"/>
        <v>0.83195965211366951</v>
      </c>
      <c r="M9">
        <f t="shared" si="7"/>
        <v>51</v>
      </c>
    </row>
    <row r="10" spans="1:13" x14ac:dyDescent="0.25">
      <c r="A10" t="s">
        <v>134</v>
      </c>
      <c r="B10">
        <v>0.5</v>
      </c>
      <c r="C10">
        <v>17</v>
      </c>
      <c r="D10">
        <v>2.5</v>
      </c>
      <c r="E10">
        <v>27</v>
      </c>
      <c r="F10">
        <f t="shared" si="0"/>
        <v>2.9411764705882353E-2</v>
      </c>
      <c r="G10">
        <f t="shared" si="1"/>
        <v>9.2592592592592587E-2</v>
      </c>
      <c r="H10">
        <f t="shared" si="2"/>
        <v>0.31764705882352945</v>
      </c>
      <c r="I10">
        <f t="shared" si="3"/>
        <v>-1.1468143904859873</v>
      </c>
      <c r="J10">
        <f t="shared" si="4"/>
        <v>1.5179392061446988</v>
      </c>
      <c r="K10">
        <f t="shared" si="5"/>
        <v>-1.2141251757899538</v>
      </c>
      <c r="L10">
        <f t="shared" si="6"/>
        <v>1.5815885644302923</v>
      </c>
      <c r="M10">
        <f t="shared" si="7"/>
        <v>44</v>
      </c>
    </row>
    <row r="11" spans="1:13" x14ac:dyDescent="0.25">
      <c r="A11" t="s">
        <v>135</v>
      </c>
      <c r="B11">
        <v>1</v>
      </c>
      <c r="C11">
        <v>6</v>
      </c>
      <c r="D11">
        <v>1</v>
      </c>
      <c r="E11">
        <v>5</v>
      </c>
      <c r="F11">
        <f t="shared" si="0"/>
        <v>0.16666666666666666</v>
      </c>
      <c r="G11">
        <f t="shared" si="1"/>
        <v>0.2</v>
      </c>
      <c r="H11">
        <f t="shared" si="2"/>
        <v>0.83333333333333326</v>
      </c>
      <c r="I11">
        <f t="shared" si="3"/>
        <v>-0.1823215567939547</v>
      </c>
      <c r="J11">
        <f t="shared" si="4"/>
        <v>1.2780193008453875</v>
      </c>
      <c r="K11">
        <f t="shared" si="5"/>
        <v>-0.22314355131420971</v>
      </c>
      <c r="L11">
        <f t="shared" si="6"/>
        <v>1.5652475842498528</v>
      </c>
      <c r="M11">
        <f t="shared" si="7"/>
        <v>11</v>
      </c>
    </row>
    <row r="12" spans="1:13" x14ac:dyDescent="0.25">
      <c r="A12" t="s">
        <v>136</v>
      </c>
      <c r="B12">
        <v>21</v>
      </c>
      <c r="C12">
        <v>141</v>
      </c>
      <c r="D12">
        <v>17</v>
      </c>
      <c r="E12">
        <v>143</v>
      </c>
      <c r="F12">
        <f t="shared" si="0"/>
        <v>0.14893617021276595</v>
      </c>
      <c r="G12">
        <f t="shared" si="1"/>
        <v>0.11888111888111888</v>
      </c>
      <c r="H12">
        <f t="shared" si="2"/>
        <v>1.2528160200250313</v>
      </c>
      <c r="I12">
        <f t="shared" si="3"/>
        <v>0.22539383354894596</v>
      </c>
      <c r="J12">
        <f t="shared" si="4"/>
        <v>0.30390355617571352</v>
      </c>
      <c r="K12">
        <f t="shared" si="5"/>
        <v>0.26009925783663895</v>
      </c>
      <c r="L12">
        <f t="shared" si="6"/>
        <v>0.35030332327948815</v>
      </c>
      <c r="M12">
        <f t="shared" si="7"/>
        <v>284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K1" sqref="K1:K1048576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5</v>
      </c>
      <c r="B2">
        <v>-0.65</v>
      </c>
      <c r="C2">
        <v>-1.2</v>
      </c>
      <c r="D2">
        <v>-0.11</v>
      </c>
      <c r="E2">
        <v>27</v>
      </c>
      <c r="F2">
        <v>27</v>
      </c>
      <c r="G2">
        <v>0.95</v>
      </c>
      <c r="H2">
        <f>$B2</f>
        <v>-0.65</v>
      </c>
      <c r="I2">
        <f>($E2+$F2)/($E2*$F2)+$H2^2/(2*($E2+$F2))</f>
        <v>7.7986111111111103E-2</v>
      </c>
      <c r="J2">
        <f>SQRT($I2)</f>
        <v>0.27925993466860066</v>
      </c>
    </row>
    <row r="3" spans="1:10" x14ac:dyDescent="0.25">
      <c r="A3" t="s">
        <v>132</v>
      </c>
      <c r="B3">
        <v>-0.96</v>
      </c>
      <c r="C3">
        <v>-1.61</v>
      </c>
      <c r="D3">
        <v>-0.3</v>
      </c>
      <c r="E3">
        <v>30</v>
      </c>
      <c r="F3">
        <v>15</v>
      </c>
      <c r="G3">
        <v>0.95</v>
      </c>
      <c r="H3">
        <f t="shared" ref="H3:H9" si="0">$B3</f>
        <v>-0.96</v>
      </c>
      <c r="I3">
        <f t="shared" ref="I3:I10" si="1">($E3+$F3)/($E3*$F3)+$H3^2/(2*($E3+$F3))</f>
        <v>0.11024</v>
      </c>
      <c r="J3">
        <f t="shared" ref="J3:J10" si="2">SQRT($I3)</f>
        <v>0.33202409551115414</v>
      </c>
    </row>
    <row r="4" spans="1:10" x14ac:dyDescent="0.25">
      <c r="A4" t="s">
        <v>52</v>
      </c>
      <c r="B4">
        <v>-0.12</v>
      </c>
      <c r="C4">
        <v>-0.87</v>
      </c>
      <c r="D4">
        <v>0.63</v>
      </c>
      <c r="E4">
        <v>16</v>
      </c>
      <c r="F4">
        <v>12</v>
      </c>
      <c r="G4">
        <v>0.95</v>
      </c>
      <c r="H4">
        <f t="shared" si="0"/>
        <v>-0.12</v>
      </c>
      <c r="I4">
        <f t="shared" si="1"/>
        <v>0.14609047619047619</v>
      </c>
      <c r="J4">
        <f t="shared" si="2"/>
        <v>0.38221783866072523</v>
      </c>
    </row>
    <row r="5" spans="1:10" x14ac:dyDescent="0.25">
      <c r="A5" t="s">
        <v>133</v>
      </c>
      <c r="B5">
        <v>0.11</v>
      </c>
      <c r="C5">
        <v>-0.36</v>
      </c>
      <c r="D5">
        <v>0.57999999999999996</v>
      </c>
      <c r="E5">
        <v>33</v>
      </c>
      <c r="F5">
        <v>38</v>
      </c>
      <c r="G5">
        <v>0.95</v>
      </c>
      <c r="H5">
        <f t="shared" si="0"/>
        <v>0.11</v>
      </c>
      <c r="I5">
        <f t="shared" si="1"/>
        <v>5.6704031044320147E-2</v>
      </c>
      <c r="J5">
        <f t="shared" si="2"/>
        <v>0.23812608224283233</v>
      </c>
    </row>
    <row r="6" spans="1:10" x14ac:dyDescent="0.25">
      <c r="A6" t="s">
        <v>53</v>
      </c>
      <c r="B6">
        <v>-0.86</v>
      </c>
      <c r="C6">
        <v>-1.77</v>
      </c>
      <c r="D6">
        <v>0.06</v>
      </c>
      <c r="E6">
        <v>9</v>
      </c>
      <c r="F6">
        <v>12</v>
      </c>
      <c r="G6">
        <v>0.95</v>
      </c>
      <c r="H6">
        <f t="shared" si="0"/>
        <v>-0.86</v>
      </c>
      <c r="I6">
        <f t="shared" si="1"/>
        <v>0.21205396825396824</v>
      </c>
      <c r="J6">
        <f t="shared" si="2"/>
        <v>0.46049317937833589</v>
      </c>
    </row>
    <row r="7" spans="1:10" x14ac:dyDescent="0.25">
      <c r="A7" t="s">
        <v>72</v>
      </c>
      <c r="B7">
        <v>-0.13</v>
      </c>
      <c r="C7">
        <v>-0.99</v>
      </c>
      <c r="D7">
        <v>0.72</v>
      </c>
      <c r="E7">
        <v>10</v>
      </c>
      <c r="F7">
        <v>11</v>
      </c>
      <c r="G7">
        <v>0.95</v>
      </c>
      <c r="H7">
        <f>$B7</f>
        <v>-0.13</v>
      </c>
      <c r="I7">
        <f t="shared" si="1"/>
        <v>0.19131147186147188</v>
      </c>
      <c r="J7">
        <f t="shared" si="2"/>
        <v>0.4373916687152053</v>
      </c>
    </row>
    <row r="8" spans="1:10" x14ac:dyDescent="0.25">
      <c r="A8" t="s">
        <v>39</v>
      </c>
      <c r="B8">
        <v>-0.31</v>
      </c>
      <c r="C8">
        <v>-0.96</v>
      </c>
      <c r="D8">
        <v>0.34</v>
      </c>
      <c r="E8">
        <v>17</v>
      </c>
      <c r="F8">
        <v>20</v>
      </c>
      <c r="G8">
        <v>0.95</v>
      </c>
      <c r="H8">
        <f t="shared" si="0"/>
        <v>-0.31</v>
      </c>
      <c r="I8">
        <f t="shared" si="1"/>
        <v>0.11012217806041336</v>
      </c>
      <c r="J8">
        <f t="shared" si="2"/>
        <v>0.33184661827478873</v>
      </c>
    </row>
    <row r="9" spans="1:10" x14ac:dyDescent="0.25">
      <c r="A9" t="s">
        <v>135</v>
      </c>
      <c r="B9">
        <v>-1.62</v>
      </c>
      <c r="C9">
        <v>-3.27</v>
      </c>
      <c r="D9">
        <v>0.03</v>
      </c>
      <c r="E9">
        <v>5</v>
      </c>
      <c r="F9">
        <v>4</v>
      </c>
      <c r="G9">
        <v>0.95</v>
      </c>
      <c r="H9">
        <f t="shared" si="0"/>
        <v>-1.62</v>
      </c>
      <c r="I9">
        <f t="shared" si="1"/>
        <v>0.59580000000000011</v>
      </c>
      <c r="J9">
        <f t="shared" si="2"/>
        <v>0.77188081981611645</v>
      </c>
    </row>
    <row r="10" spans="1:10" x14ac:dyDescent="0.25">
      <c r="A10" t="s">
        <v>136</v>
      </c>
      <c r="B10">
        <v>-0.2</v>
      </c>
      <c r="C10">
        <v>-0.44</v>
      </c>
      <c r="D10">
        <v>0.03</v>
      </c>
      <c r="E10">
        <v>141</v>
      </c>
      <c r="F10">
        <v>143</v>
      </c>
      <c r="G10">
        <v>0.95</v>
      </c>
      <c r="H10">
        <f>$B10</f>
        <v>-0.2</v>
      </c>
      <c r="I10">
        <f t="shared" si="1"/>
        <v>1.4155628109778546E-2</v>
      </c>
      <c r="J10">
        <f t="shared" si="2"/>
        <v>0.11897742689173668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M2" sqref="M2:M8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69</v>
      </c>
      <c r="C1" t="s">
        <v>81</v>
      </c>
      <c r="D1" t="s">
        <v>138</v>
      </c>
      <c r="E1" t="s">
        <v>139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5</v>
      </c>
      <c r="B2">
        <v>16</v>
      </c>
      <c r="C2">
        <v>37</v>
      </c>
      <c r="D2">
        <v>21</v>
      </c>
      <c r="E2">
        <v>36</v>
      </c>
      <c r="F2">
        <f>$B2/$C2</f>
        <v>0.43243243243243246</v>
      </c>
      <c r="G2">
        <f>$D2/$E2</f>
        <v>0.58333333333333337</v>
      </c>
      <c r="H2">
        <f>$F2/$G2</f>
        <v>0.74131274131274127</v>
      </c>
      <c r="I2">
        <f>LN($H2)</f>
        <v>-0.29933268967175625</v>
      </c>
      <c r="J2">
        <f>SQRT((1-$F2)/($C2*$F2)+(1-$G2)/($E2*$G2))</f>
        <v>0.23518980167992576</v>
      </c>
      <c r="K2">
        <f>LN(($B2*($E2-$D2))/(($C2-$B2)*$D2))</f>
        <v>-0.6084059521048546</v>
      </c>
      <c r="L2">
        <f>SQRT(1/$B2+1/($C2-$B2)+1/$D2+1/($E2-$D2))</f>
        <v>0.4737137974608317</v>
      </c>
      <c r="M2">
        <f>$C2+$E2</f>
        <v>73</v>
      </c>
    </row>
    <row r="3" spans="1:13" x14ac:dyDescent="0.25">
      <c r="A3" t="s">
        <v>0</v>
      </c>
      <c r="B3">
        <v>12</v>
      </c>
      <c r="C3">
        <v>31</v>
      </c>
      <c r="D3">
        <v>23</v>
      </c>
      <c r="E3">
        <v>58</v>
      </c>
      <c r="F3">
        <f t="shared" ref="F3:F8" si="0">$B3/$C3</f>
        <v>0.38709677419354838</v>
      </c>
      <c r="G3">
        <f t="shared" ref="G3:G8" si="1">$D3/$E3</f>
        <v>0.39655172413793105</v>
      </c>
      <c r="H3">
        <f t="shared" ref="H3:H8" si="2">$F3/$G3</f>
        <v>0.97615708274894808</v>
      </c>
      <c r="I3">
        <f t="shared" ref="I3:I8" si="3">LN($H3)</f>
        <v>-2.4131760079876316E-2</v>
      </c>
      <c r="J3">
        <f t="shared" ref="J3:J8" si="4">SQRT((1-$F3)/($C3*$F3)+(1-$G3)/($E3*$G3))</f>
        <v>0.2780506255638075</v>
      </c>
      <c r="K3">
        <f t="shared" ref="K3:K8" si="5">LN(($B3*($E3-$D3))/(($C3-$B3)*$D3))</f>
        <v>-3.9678483818176145E-2</v>
      </c>
      <c r="L3">
        <f t="shared" ref="L3:L8" si="6">SQRT(1/$B3+1/($C3-$B3)+1/$D3+1/($E3-$D3))</f>
        <v>0.45608617795510481</v>
      </c>
      <c r="M3">
        <f t="shared" ref="M3:M8" si="7">$C3+$E3</f>
        <v>89</v>
      </c>
    </row>
    <row r="4" spans="1:13" x14ac:dyDescent="0.25">
      <c r="A4" t="s">
        <v>132</v>
      </c>
      <c r="B4">
        <v>17</v>
      </c>
      <c r="C4">
        <v>40</v>
      </c>
      <c r="D4">
        <v>12</v>
      </c>
      <c r="E4">
        <v>18</v>
      </c>
      <c r="F4">
        <f t="shared" si="0"/>
        <v>0.42499999999999999</v>
      </c>
      <c r="G4">
        <f t="shared" si="1"/>
        <v>0.66666666666666663</v>
      </c>
      <c r="H4">
        <f t="shared" si="2"/>
        <v>0.63750000000000007</v>
      </c>
      <c r="I4">
        <f t="shared" si="3"/>
        <v>-0.45020100194955576</v>
      </c>
      <c r="J4">
        <f t="shared" si="4"/>
        <v>0.24819610631422581</v>
      </c>
      <c r="K4">
        <f t="shared" si="5"/>
        <v>-0.99542805243287902</v>
      </c>
      <c r="L4">
        <f t="shared" si="6"/>
        <v>0.59355015818490853</v>
      </c>
      <c r="M4">
        <f t="shared" si="7"/>
        <v>58</v>
      </c>
    </row>
    <row r="5" spans="1:13" x14ac:dyDescent="0.25">
      <c r="A5" t="s">
        <v>53</v>
      </c>
      <c r="B5">
        <v>3</v>
      </c>
      <c r="C5">
        <v>9</v>
      </c>
      <c r="D5">
        <v>10</v>
      </c>
      <c r="E5">
        <v>12</v>
      </c>
      <c r="F5">
        <f t="shared" si="0"/>
        <v>0.33333333333333331</v>
      </c>
      <c r="G5">
        <f t="shared" si="1"/>
        <v>0.83333333333333337</v>
      </c>
      <c r="H5">
        <f t="shared" si="2"/>
        <v>0.39999999999999997</v>
      </c>
      <c r="I5">
        <f t="shared" si="3"/>
        <v>-0.91629073187415511</v>
      </c>
      <c r="J5">
        <f t="shared" si="4"/>
        <v>0.48876260995383936</v>
      </c>
      <c r="K5">
        <f t="shared" si="5"/>
        <v>-2.3025850929940455</v>
      </c>
      <c r="L5">
        <f t="shared" si="6"/>
        <v>1.0488088481701516</v>
      </c>
      <c r="M5">
        <f t="shared" si="7"/>
        <v>21</v>
      </c>
    </row>
    <row r="6" spans="1:13" x14ac:dyDescent="0.25">
      <c r="A6" t="s">
        <v>72</v>
      </c>
      <c r="B6">
        <v>10</v>
      </c>
      <c r="C6">
        <v>14</v>
      </c>
      <c r="D6">
        <v>13</v>
      </c>
      <c r="E6">
        <v>14</v>
      </c>
      <c r="F6">
        <f t="shared" si="0"/>
        <v>0.7142857142857143</v>
      </c>
      <c r="G6">
        <f t="shared" si="1"/>
        <v>0.9285714285714286</v>
      </c>
      <c r="H6">
        <f t="shared" si="2"/>
        <v>0.76923076923076927</v>
      </c>
      <c r="I6">
        <f t="shared" si="3"/>
        <v>-0.262364264467491</v>
      </c>
      <c r="J6">
        <f t="shared" si="4"/>
        <v>0.18456959139016932</v>
      </c>
      <c r="K6">
        <f t="shared" si="5"/>
        <v>-1.6486586255873816</v>
      </c>
      <c r="L6">
        <f t="shared" si="6"/>
        <v>1.1945388553425447</v>
      </c>
      <c r="M6">
        <f t="shared" si="7"/>
        <v>28</v>
      </c>
    </row>
    <row r="7" spans="1:13" x14ac:dyDescent="0.25">
      <c r="A7" t="s">
        <v>39</v>
      </c>
      <c r="B7">
        <v>21</v>
      </c>
      <c r="C7">
        <v>29</v>
      </c>
      <c r="D7">
        <v>15</v>
      </c>
      <c r="E7">
        <v>22</v>
      </c>
      <c r="F7">
        <f t="shared" si="0"/>
        <v>0.72413793103448276</v>
      </c>
      <c r="G7">
        <f t="shared" si="1"/>
        <v>0.68181818181818177</v>
      </c>
      <c r="H7">
        <f t="shared" si="2"/>
        <v>1.0620689655172415</v>
      </c>
      <c r="I7">
        <f t="shared" si="3"/>
        <v>6.0218859993054874E-2</v>
      </c>
      <c r="J7">
        <f t="shared" si="4"/>
        <v>0.18533324097549037</v>
      </c>
      <c r="K7">
        <f t="shared" si="5"/>
        <v>0.20294084399669038</v>
      </c>
      <c r="L7">
        <f t="shared" si="6"/>
        <v>0.61817704352625158</v>
      </c>
      <c r="M7">
        <f t="shared" si="7"/>
        <v>51</v>
      </c>
    </row>
    <row r="8" spans="1:13" x14ac:dyDescent="0.25">
      <c r="A8" t="s">
        <v>134</v>
      </c>
      <c r="B8">
        <v>4</v>
      </c>
      <c r="C8">
        <v>14</v>
      </c>
      <c r="D8">
        <v>19</v>
      </c>
      <c r="E8">
        <v>24</v>
      </c>
      <c r="F8">
        <f t="shared" si="0"/>
        <v>0.2857142857142857</v>
      </c>
      <c r="G8">
        <f t="shared" si="1"/>
        <v>0.79166666666666663</v>
      </c>
      <c r="H8">
        <f t="shared" si="2"/>
        <v>0.36090225563909772</v>
      </c>
      <c r="I8">
        <f t="shared" si="3"/>
        <v>-1.0191481173138628</v>
      </c>
      <c r="J8">
        <f t="shared" si="4"/>
        <v>0.43535771596714617</v>
      </c>
      <c r="K8">
        <f t="shared" si="5"/>
        <v>-2.2512917986064953</v>
      </c>
      <c r="L8">
        <f t="shared" si="6"/>
        <v>0.77629348763683981</v>
      </c>
      <c r="M8">
        <f t="shared" si="7"/>
        <v>38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L2" sqref="L2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145</v>
      </c>
      <c r="C1" t="s">
        <v>107</v>
      </c>
      <c r="D1" t="s">
        <v>23</v>
      </c>
      <c r="E1" t="s">
        <v>124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140</v>
      </c>
      <c r="B2">
        <v>1</v>
      </c>
      <c r="C2">
        <v>10</v>
      </c>
      <c r="D2">
        <v>1</v>
      </c>
      <c r="E2">
        <v>12</v>
      </c>
      <c r="F2">
        <f>$B2/$C2</f>
        <v>0.1</v>
      </c>
      <c r="G2">
        <f>$D2/$E2</f>
        <v>8.3333333333333329E-2</v>
      </c>
      <c r="H2">
        <f>$F2/$G2</f>
        <v>1.2000000000000002</v>
      </c>
      <c r="I2">
        <f>LN($H2)</f>
        <v>0.18232155679395479</v>
      </c>
      <c r="J2">
        <f>SQRT((1-$F2)/($C2*$F2)+(1-$G2)/($E2*$G2))</f>
        <v>1.347837774610382</v>
      </c>
      <c r="K2">
        <f>LN(($B2*($E2-$D2))/(($C2-$B2)*$D2))</f>
        <v>0.20067069546215124</v>
      </c>
      <c r="L2">
        <f>SQRT(1/$B2+1/($C2-$B2)+1/$D2+1/($E2-$D2))</f>
        <v>1.483920551114581</v>
      </c>
      <c r="M2">
        <f>$C2+$E2</f>
        <v>22</v>
      </c>
    </row>
    <row r="3" spans="1:13" x14ac:dyDescent="0.25">
      <c r="A3" t="s">
        <v>141</v>
      </c>
      <c r="B3">
        <v>6</v>
      </c>
      <c r="C3">
        <v>19</v>
      </c>
      <c r="D3">
        <v>6</v>
      </c>
      <c r="E3">
        <v>16</v>
      </c>
      <c r="F3">
        <f t="shared" ref="F3:F8" si="0">$B3/$C3</f>
        <v>0.31578947368421051</v>
      </c>
      <c r="G3">
        <f t="shared" ref="G3:G8" si="1">$D3/$E3</f>
        <v>0.375</v>
      </c>
      <c r="H3">
        <f t="shared" ref="H3:H8" si="2">$F3/$G3</f>
        <v>0.84210526315789469</v>
      </c>
      <c r="I3">
        <f t="shared" ref="I3:I8" si="3">LN($H3)</f>
        <v>-0.17185025692665928</v>
      </c>
      <c r="J3">
        <f t="shared" ref="J3:J8" si="4">SQRT((1-$F3)/($C3*$F3)+(1-$G3)/($E3*$G3))</f>
        <v>0.46712070644102788</v>
      </c>
      <c r="K3">
        <f t="shared" ref="K3:K8" si="5">LN(($B3*($E3-$D3))/(($C3-$B3)*$D3))</f>
        <v>-0.262364264467491</v>
      </c>
      <c r="L3">
        <f t="shared" ref="L3:L8" si="6">SQRT(1/$B3+1/($C3-$B3)+1/$D3+1/($E3-$D3))</f>
        <v>0.7143223433831607</v>
      </c>
      <c r="M3">
        <f t="shared" ref="M3:M8" si="7">$C3+$E3</f>
        <v>35</v>
      </c>
    </row>
    <row r="4" spans="1:13" x14ac:dyDescent="0.25">
      <c r="A4" t="s">
        <v>142</v>
      </c>
      <c r="B4">
        <v>1</v>
      </c>
      <c r="C4">
        <v>13</v>
      </c>
      <c r="D4">
        <v>2</v>
      </c>
      <c r="E4">
        <v>11</v>
      </c>
      <c r="F4">
        <f t="shared" si="0"/>
        <v>7.6923076923076927E-2</v>
      </c>
      <c r="G4">
        <f t="shared" si="1"/>
        <v>0.18181818181818182</v>
      </c>
      <c r="H4">
        <f t="shared" si="2"/>
        <v>0.42307692307692307</v>
      </c>
      <c r="I4">
        <f t="shared" si="3"/>
        <v>-0.86020126522311147</v>
      </c>
      <c r="J4">
        <f t="shared" si="4"/>
        <v>1.154195751234526</v>
      </c>
      <c r="K4">
        <f t="shared" si="5"/>
        <v>-0.98082925301172619</v>
      </c>
      <c r="L4">
        <f t="shared" si="6"/>
        <v>1.3017082793177757</v>
      </c>
      <c r="M4">
        <f t="shared" si="7"/>
        <v>24</v>
      </c>
    </row>
    <row r="5" spans="1:13" x14ac:dyDescent="0.25">
      <c r="A5" t="s">
        <v>143</v>
      </c>
      <c r="B5">
        <v>2</v>
      </c>
      <c r="C5">
        <v>15</v>
      </c>
      <c r="D5">
        <v>2</v>
      </c>
      <c r="E5">
        <v>14</v>
      </c>
      <c r="F5">
        <f t="shared" si="0"/>
        <v>0.13333333333333333</v>
      </c>
      <c r="G5">
        <f t="shared" si="1"/>
        <v>0.14285714285714285</v>
      </c>
      <c r="H5">
        <f t="shared" si="2"/>
        <v>0.93333333333333335</v>
      </c>
      <c r="I5">
        <f t="shared" si="3"/>
        <v>-6.8992871486951435E-2</v>
      </c>
      <c r="J5">
        <f t="shared" si="4"/>
        <v>0.92838826032256672</v>
      </c>
      <c r="K5">
        <f t="shared" si="5"/>
        <v>-8.004270767353637E-2</v>
      </c>
      <c r="L5">
        <f t="shared" si="6"/>
        <v>1.0771519903228188</v>
      </c>
      <c r="M5">
        <f t="shared" si="7"/>
        <v>29</v>
      </c>
    </row>
    <row r="6" spans="1:13" x14ac:dyDescent="0.25">
      <c r="A6" t="s">
        <v>3</v>
      </c>
      <c r="B6">
        <v>12</v>
      </c>
      <c r="C6">
        <v>39</v>
      </c>
      <c r="D6">
        <v>5</v>
      </c>
      <c r="E6">
        <v>29</v>
      </c>
      <c r="F6">
        <f t="shared" si="0"/>
        <v>0.30769230769230771</v>
      </c>
      <c r="G6">
        <f t="shared" si="1"/>
        <v>0.17241379310344829</v>
      </c>
      <c r="H6">
        <f t="shared" si="2"/>
        <v>1.7846153846153845</v>
      </c>
      <c r="I6">
        <f t="shared" si="3"/>
        <v>0.57920292121072747</v>
      </c>
      <c r="J6">
        <f t="shared" si="4"/>
        <v>0.47245057844352145</v>
      </c>
      <c r="K6">
        <f t="shared" si="5"/>
        <v>0.75768570169751648</v>
      </c>
      <c r="L6">
        <f t="shared" si="6"/>
        <v>0.60169513629165816</v>
      </c>
      <c r="M6">
        <f t="shared" si="7"/>
        <v>68</v>
      </c>
    </row>
    <row r="7" spans="1:13" x14ac:dyDescent="0.25">
      <c r="A7" t="s">
        <v>144</v>
      </c>
      <c r="B7">
        <v>1</v>
      </c>
      <c r="C7">
        <v>11</v>
      </c>
      <c r="D7">
        <v>2</v>
      </c>
      <c r="E7">
        <v>8</v>
      </c>
      <c r="F7">
        <f t="shared" si="0"/>
        <v>9.0909090909090912E-2</v>
      </c>
      <c r="G7">
        <f t="shared" si="1"/>
        <v>0.25</v>
      </c>
      <c r="H7">
        <f t="shared" si="2"/>
        <v>0.36363636363636365</v>
      </c>
      <c r="I7">
        <f t="shared" si="3"/>
        <v>-1.0116009116784799</v>
      </c>
      <c r="J7">
        <f t="shared" si="4"/>
        <v>1.13317735111981</v>
      </c>
      <c r="K7">
        <f t="shared" si="5"/>
        <v>-1.2039728043259361</v>
      </c>
      <c r="L7">
        <f t="shared" si="6"/>
        <v>1.3291601358251257</v>
      </c>
      <c r="M7">
        <f t="shared" si="7"/>
        <v>19</v>
      </c>
    </row>
    <row r="8" spans="1:13" x14ac:dyDescent="0.25">
      <c r="A8" t="s">
        <v>27</v>
      </c>
      <c r="B8">
        <v>1</v>
      </c>
      <c r="C8">
        <v>13</v>
      </c>
      <c r="D8">
        <v>1</v>
      </c>
      <c r="E8">
        <v>17</v>
      </c>
      <c r="F8">
        <f t="shared" si="0"/>
        <v>7.6923076923076927E-2</v>
      </c>
      <c r="G8">
        <f t="shared" si="1"/>
        <v>5.8823529411764705E-2</v>
      </c>
      <c r="H8">
        <f t="shared" si="2"/>
        <v>1.3076923076923077</v>
      </c>
      <c r="I8">
        <f t="shared" si="3"/>
        <v>0.26826398659467937</v>
      </c>
      <c r="J8">
        <f t="shared" si="4"/>
        <v>1.3653766490112385</v>
      </c>
      <c r="K8">
        <f t="shared" si="5"/>
        <v>0.28768207245178085</v>
      </c>
      <c r="L8">
        <f t="shared" si="6"/>
        <v>1.4648663192705786</v>
      </c>
      <c r="M8">
        <f t="shared" si="7"/>
        <v>30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K1" sqref="K1:K1048576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140</v>
      </c>
      <c r="B2">
        <v>-1.55</v>
      </c>
      <c r="C2">
        <v>-2.5299999999999998</v>
      </c>
      <c r="D2">
        <v>-0.56999999999999995</v>
      </c>
      <c r="E2">
        <v>10</v>
      </c>
      <c r="F2">
        <v>12</v>
      </c>
      <c r="G2">
        <v>0.95</v>
      </c>
      <c r="H2">
        <f>$B2</f>
        <v>-1.55</v>
      </c>
      <c r="I2">
        <f>($E2+$F2)/($E2*$F2)+$H2^2/(2*($E2+$F2))</f>
        <v>0.23793560606060604</v>
      </c>
      <c r="J2">
        <f>SQRT($I2)</f>
        <v>0.4877864348878575</v>
      </c>
    </row>
    <row r="3" spans="1:10" x14ac:dyDescent="0.25">
      <c r="A3" t="s">
        <v>141</v>
      </c>
      <c r="B3">
        <v>-0.23</v>
      </c>
      <c r="C3">
        <v>-1.05</v>
      </c>
      <c r="D3">
        <v>0.6</v>
      </c>
      <c r="E3">
        <v>13</v>
      </c>
      <c r="F3">
        <v>10</v>
      </c>
      <c r="G3">
        <v>0.95</v>
      </c>
      <c r="H3">
        <f t="shared" ref="H3:H8" si="0">$B3</f>
        <v>-0.23</v>
      </c>
      <c r="I3">
        <f t="shared" ref="I3:I8" si="1">($E3+$F3)/($E3*$F3)+$H3^2/(2*($E3+$F3))</f>
        <v>0.17807307692307695</v>
      </c>
      <c r="J3">
        <f t="shared" ref="J3:J8" si="2">SQRT($I3)</f>
        <v>0.42198705776726964</v>
      </c>
    </row>
    <row r="4" spans="1:10" x14ac:dyDescent="0.25">
      <c r="A4" t="s">
        <v>142</v>
      </c>
      <c r="B4">
        <v>-0.9</v>
      </c>
      <c r="C4">
        <v>-1.82</v>
      </c>
      <c r="D4">
        <v>0.01</v>
      </c>
      <c r="E4">
        <v>12</v>
      </c>
      <c r="F4">
        <v>9</v>
      </c>
      <c r="G4">
        <v>0.95</v>
      </c>
      <c r="H4">
        <f t="shared" si="0"/>
        <v>-0.9</v>
      </c>
      <c r="I4">
        <f t="shared" si="1"/>
        <v>0.21373015873015874</v>
      </c>
      <c r="J4">
        <f t="shared" si="2"/>
        <v>0.46230959186475762</v>
      </c>
    </row>
    <row r="5" spans="1:10" x14ac:dyDescent="0.25">
      <c r="A5" t="s">
        <v>3</v>
      </c>
      <c r="B5">
        <v>-1.64</v>
      </c>
      <c r="C5">
        <v>-2.2799999999999998</v>
      </c>
      <c r="D5">
        <v>-1</v>
      </c>
      <c r="E5">
        <v>27</v>
      </c>
      <c r="F5">
        <v>24</v>
      </c>
      <c r="G5">
        <v>0.95</v>
      </c>
      <c r="H5">
        <f t="shared" si="0"/>
        <v>-1.64</v>
      </c>
      <c r="I5">
        <f t="shared" si="1"/>
        <v>0.10507233115468409</v>
      </c>
      <c r="J5">
        <f t="shared" si="2"/>
        <v>0.32414862510071529</v>
      </c>
    </row>
    <row r="6" spans="1:10" x14ac:dyDescent="0.25">
      <c r="A6" t="s">
        <v>144</v>
      </c>
      <c r="B6">
        <v>-1.02</v>
      </c>
      <c r="C6">
        <v>-1.69</v>
      </c>
      <c r="D6">
        <v>-0.36</v>
      </c>
      <c r="E6">
        <v>20</v>
      </c>
      <c r="F6">
        <v>20</v>
      </c>
      <c r="G6">
        <v>0.95</v>
      </c>
      <c r="H6">
        <f t="shared" si="0"/>
        <v>-1.02</v>
      </c>
      <c r="I6">
        <f t="shared" si="1"/>
        <v>0.11300500000000001</v>
      </c>
      <c r="J6">
        <f t="shared" si="2"/>
        <v>0.33616216324863213</v>
      </c>
    </row>
    <row r="7" spans="1:10" x14ac:dyDescent="0.25">
      <c r="A7" t="s">
        <v>146</v>
      </c>
      <c r="B7">
        <v>-1.02</v>
      </c>
      <c r="C7">
        <v>-1.69</v>
      </c>
      <c r="D7">
        <v>-0.36</v>
      </c>
      <c r="E7">
        <v>20</v>
      </c>
      <c r="F7">
        <v>20</v>
      </c>
      <c r="G7">
        <v>0.95</v>
      </c>
      <c r="H7">
        <f>$B7</f>
        <v>-1.02</v>
      </c>
      <c r="I7">
        <f t="shared" si="1"/>
        <v>0.11300500000000001</v>
      </c>
      <c r="J7">
        <f t="shared" si="2"/>
        <v>0.33616216324863213</v>
      </c>
    </row>
    <row r="8" spans="1:10" x14ac:dyDescent="0.25">
      <c r="A8" t="s">
        <v>27</v>
      </c>
      <c r="B8">
        <v>-1.67</v>
      </c>
      <c r="C8">
        <v>-2.5499999999999998</v>
      </c>
      <c r="D8">
        <v>-0.8</v>
      </c>
      <c r="E8">
        <v>12</v>
      </c>
      <c r="F8">
        <v>17</v>
      </c>
      <c r="G8">
        <v>0.95</v>
      </c>
      <c r="H8">
        <f t="shared" si="0"/>
        <v>-1.67</v>
      </c>
      <c r="I8">
        <f t="shared" si="1"/>
        <v>0.19024134550371874</v>
      </c>
      <c r="J8">
        <f t="shared" si="2"/>
        <v>0.43616664877511985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J2" sqref="J2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147</v>
      </c>
      <c r="D1" t="s">
        <v>34</v>
      </c>
      <c r="E1" t="s">
        <v>44</v>
      </c>
      <c r="F1" t="s">
        <v>44</v>
      </c>
      <c r="G1" t="s">
        <v>129</v>
      </c>
      <c r="H1" t="s">
        <v>368</v>
      </c>
      <c r="I1" t="s">
        <v>381</v>
      </c>
      <c r="J1" t="s">
        <v>369</v>
      </c>
    </row>
    <row r="2" spans="1:10" x14ac:dyDescent="0.25">
      <c r="A2" t="s">
        <v>140</v>
      </c>
      <c r="B2">
        <v>-1.0900000000000001</v>
      </c>
      <c r="C2">
        <v>-2.0099999999999998</v>
      </c>
      <c r="D2">
        <v>-0.18</v>
      </c>
      <c r="E2">
        <v>10</v>
      </c>
      <c r="F2">
        <v>12</v>
      </c>
      <c r="G2">
        <v>0.95</v>
      </c>
      <c r="H2">
        <f>$B2</f>
        <v>-1.0900000000000001</v>
      </c>
      <c r="I2">
        <f>($E2+$F2)/($E2*$F2)+$H2^2/(2*($E2+$F2))</f>
        <v>0.21033560606060606</v>
      </c>
      <c r="J2">
        <f>SQRT($I2)</f>
        <v>0.45862359954608317</v>
      </c>
    </row>
    <row r="3" spans="1:10" x14ac:dyDescent="0.25">
      <c r="A3" t="s">
        <v>141</v>
      </c>
      <c r="B3">
        <v>-0.42</v>
      </c>
      <c r="C3">
        <v>-1.25</v>
      </c>
      <c r="D3">
        <v>0.42</v>
      </c>
      <c r="E3">
        <v>13</v>
      </c>
      <c r="F3">
        <v>10</v>
      </c>
      <c r="G3">
        <v>0.95</v>
      </c>
      <c r="H3">
        <f t="shared" ref="H3:H6" si="0">$B3</f>
        <v>-0.42</v>
      </c>
      <c r="I3">
        <f t="shared" ref="I3:I7" si="1">($E3+$F3)/($E3*$F3)+$H3^2/(2*($E3+$F3))</f>
        <v>0.18075785953177259</v>
      </c>
      <c r="J3">
        <f t="shared" ref="J3:J7" si="2">SQRT($I3)</f>
        <v>0.42515627659929073</v>
      </c>
    </row>
    <row r="4" spans="1:10" x14ac:dyDescent="0.25">
      <c r="A4" t="s">
        <v>142</v>
      </c>
      <c r="B4">
        <v>-0.94</v>
      </c>
      <c r="C4">
        <v>-1.87</v>
      </c>
      <c r="D4">
        <v>-0.02</v>
      </c>
      <c r="E4">
        <v>12</v>
      </c>
      <c r="F4">
        <v>9</v>
      </c>
      <c r="G4">
        <v>0.95</v>
      </c>
      <c r="H4">
        <f t="shared" si="0"/>
        <v>-0.94</v>
      </c>
      <c r="I4">
        <f t="shared" si="1"/>
        <v>0.21548253968253969</v>
      </c>
      <c r="J4">
        <f t="shared" si="2"/>
        <v>0.46420096906678221</v>
      </c>
    </row>
    <row r="5" spans="1:10" x14ac:dyDescent="0.25">
      <c r="A5" t="s">
        <v>143</v>
      </c>
      <c r="B5">
        <v>-0.99</v>
      </c>
      <c r="C5">
        <v>-1.83</v>
      </c>
      <c r="D5">
        <v>-0.15</v>
      </c>
      <c r="E5">
        <v>13</v>
      </c>
      <c r="F5">
        <v>12</v>
      </c>
      <c r="G5">
        <v>0.95</v>
      </c>
      <c r="H5">
        <f t="shared" si="0"/>
        <v>-0.99</v>
      </c>
      <c r="I5">
        <f t="shared" si="1"/>
        <v>0.17985841025641028</v>
      </c>
      <c r="J5">
        <f t="shared" si="2"/>
        <v>0.42409717077152292</v>
      </c>
    </row>
    <row r="6" spans="1:10" x14ac:dyDescent="0.25">
      <c r="A6" t="s">
        <v>3</v>
      </c>
      <c r="B6">
        <v>-1.35</v>
      </c>
      <c r="C6">
        <v>-1.97</v>
      </c>
      <c r="D6">
        <v>-0.74</v>
      </c>
      <c r="E6">
        <v>27</v>
      </c>
      <c r="F6">
        <v>24</v>
      </c>
      <c r="G6">
        <v>0.95</v>
      </c>
      <c r="H6">
        <f t="shared" si="0"/>
        <v>-1.35</v>
      </c>
      <c r="I6">
        <f t="shared" si="1"/>
        <v>9.6571350762527236E-2</v>
      </c>
      <c r="J6">
        <f t="shared" si="2"/>
        <v>0.31075931323538358</v>
      </c>
    </row>
    <row r="7" spans="1:10" x14ac:dyDescent="0.25">
      <c r="A7" t="s">
        <v>144</v>
      </c>
      <c r="B7">
        <v>-1.06</v>
      </c>
      <c r="C7">
        <v>-2.06</v>
      </c>
      <c r="D7">
        <v>-0.05</v>
      </c>
      <c r="E7">
        <v>10</v>
      </c>
      <c r="F7">
        <v>8</v>
      </c>
      <c r="G7">
        <v>0.95</v>
      </c>
      <c r="H7">
        <f>$B7</f>
        <v>-1.06</v>
      </c>
      <c r="I7">
        <f t="shared" si="1"/>
        <v>0.25621111111111111</v>
      </c>
      <c r="J7">
        <f t="shared" si="2"/>
        <v>0.50617300511891294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M2" sqref="M2:M9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145</v>
      </c>
      <c r="C1" t="s">
        <v>107</v>
      </c>
      <c r="D1" t="s">
        <v>69</v>
      </c>
      <c r="E1" t="s">
        <v>81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148</v>
      </c>
      <c r="B2">
        <v>6</v>
      </c>
      <c r="C2">
        <v>17</v>
      </c>
      <c r="D2">
        <v>3</v>
      </c>
      <c r="E2">
        <v>15</v>
      </c>
      <c r="F2">
        <f>$B2/$C2</f>
        <v>0.35294117647058826</v>
      </c>
      <c r="G2">
        <f>$D2/$E2</f>
        <v>0.2</v>
      </c>
      <c r="H2">
        <f>$F2/$G2</f>
        <v>1.7647058823529411</v>
      </c>
      <c r="I2">
        <f>LN($H2)</f>
        <v>0.5679840376059393</v>
      </c>
      <c r="J2">
        <f>SQRT((1-$F2)/($C2*$F2)+(1-$G2)/($E2*$G2))</f>
        <v>0.61197206138970806</v>
      </c>
      <c r="K2">
        <f>LN(($B2*($E2-$D2))/(($C2-$B2)*$D2))</f>
        <v>0.78015855754957497</v>
      </c>
      <c r="L2">
        <f>SQRT(1/$B2+1/($C2-$B2)+1/$D2+1/($E2-$D2))</f>
        <v>0.82112266089934716</v>
      </c>
      <c r="M2">
        <f>$C2+$E2</f>
        <v>32</v>
      </c>
    </row>
    <row r="3" spans="1:13" x14ac:dyDescent="0.25">
      <c r="A3" t="s">
        <v>149</v>
      </c>
      <c r="B3">
        <v>1</v>
      </c>
      <c r="C3">
        <v>10</v>
      </c>
      <c r="D3">
        <v>6</v>
      </c>
      <c r="E3">
        <v>12</v>
      </c>
      <c r="F3">
        <f t="shared" ref="F3:F9" si="0">$B3/$C3</f>
        <v>0.1</v>
      </c>
      <c r="G3">
        <f t="shared" ref="G3:G9" si="1">$D3/$E3</f>
        <v>0.5</v>
      </c>
      <c r="H3">
        <f t="shared" ref="H3:H9" si="2">$F3/$G3</f>
        <v>0.2</v>
      </c>
      <c r="I3">
        <f t="shared" ref="I3:I9" si="3">LN($H3)</f>
        <v>-1.6094379124341003</v>
      </c>
      <c r="J3">
        <f t="shared" ref="J3:J9" si="4">SQRT((1-$F3)/($C3*$F3)+(1-$G3)/($E3*$G3))</f>
        <v>0.99163165204290116</v>
      </c>
      <c r="K3">
        <f t="shared" ref="K3:K9" si="5">LN(($B3*($E3-$D3))/(($C3-$B3)*$D3))</f>
        <v>-2.1972245773362196</v>
      </c>
      <c r="L3">
        <f t="shared" ref="L3:L9" si="6">SQRT(1/$B3+1/($C3-$B3)+1/$D3+1/($E3-$D3))</f>
        <v>1.2018504251546631</v>
      </c>
      <c r="M3">
        <f t="shared" ref="M3:M9" si="7">$C3+$E3</f>
        <v>22</v>
      </c>
    </row>
    <row r="4" spans="1:13" x14ac:dyDescent="0.25">
      <c r="A4" t="s">
        <v>150</v>
      </c>
      <c r="B4">
        <v>2</v>
      </c>
      <c r="C4">
        <v>12</v>
      </c>
      <c r="D4">
        <v>1</v>
      </c>
      <c r="E4">
        <v>12</v>
      </c>
      <c r="F4">
        <f t="shared" si="0"/>
        <v>0.16666666666666666</v>
      </c>
      <c r="G4">
        <f t="shared" si="1"/>
        <v>8.3333333333333329E-2</v>
      </c>
      <c r="H4">
        <f t="shared" si="2"/>
        <v>2</v>
      </c>
      <c r="I4">
        <f t="shared" si="3"/>
        <v>0.69314718055994529</v>
      </c>
      <c r="J4">
        <f t="shared" si="4"/>
        <v>1.1547005383792515</v>
      </c>
      <c r="K4">
        <f t="shared" si="5"/>
        <v>0.78845736036427028</v>
      </c>
      <c r="L4">
        <f t="shared" si="6"/>
        <v>1.300349603340998</v>
      </c>
      <c r="M4">
        <f t="shared" si="7"/>
        <v>24</v>
      </c>
    </row>
    <row r="5" spans="1:13" x14ac:dyDescent="0.25">
      <c r="A5" t="s">
        <v>151</v>
      </c>
      <c r="B5">
        <v>28</v>
      </c>
      <c r="C5">
        <v>70</v>
      </c>
      <c r="D5">
        <v>22</v>
      </c>
      <c r="E5">
        <v>70</v>
      </c>
      <c r="F5">
        <f t="shared" si="0"/>
        <v>0.4</v>
      </c>
      <c r="G5">
        <f t="shared" si="1"/>
        <v>0.31428571428571428</v>
      </c>
      <c r="H5">
        <f t="shared" si="2"/>
        <v>1.2727272727272729</v>
      </c>
      <c r="I5">
        <f t="shared" si="3"/>
        <v>0.24116205681688824</v>
      </c>
      <c r="J5">
        <f t="shared" si="4"/>
        <v>0.2293412361469315</v>
      </c>
      <c r="K5">
        <f t="shared" si="5"/>
        <v>0.3746934494414107</v>
      </c>
      <c r="L5">
        <f t="shared" si="6"/>
        <v>0.35469943376285268</v>
      </c>
      <c r="M5">
        <f t="shared" si="7"/>
        <v>140</v>
      </c>
    </row>
    <row r="6" spans="1:13" x14ac:dyDescent="0.25">
      <c r="A6" t="s">
        <v>3</v>
      </c>
      <c r="B6">
        <v>12</v>
      </c>
      <c r="C6">
        <v>39</v>
      </c>
      <c r="D6">
        <v>16</v>
      </c>
      <c r="E6">
        <v>37</v>
      </c>
      <c r="F6">
        <f t="shared" si="0"/>
        <v>0.30769230769230771</v>
      </c>
      <c r="G6">
        <f t="shared" si="1"/>
        <v>0.43243243243243246</v>
      </c>
      <c r="H6">
        <f t="shared" si="2"/>
        <v>0.71153846153846156</v>
      </c>
      <c r="I6">
        <f t="shared" si="3"/>
        <v>-0.34032580593720285</v>
      </c>
      <c r="J6">
        <f t="shared" si="4"/>
        <v>0.30522988167163556</v>
      </c>
      <c r="K6">
        <f t="shared" si="5"/>
        <v>-0.5389965007326869</v>
      </c>
      <c r="L6">
        <f t="shared" si="6"/>
        <v>0.48009313470348436</v>
      </c>
      <c r="M6">
        <f t="shared" si="7"/>
        <v>76</v>
      </c>
    </row>
    <row r="7" spans="1:13" x14ac:dyDescent="0.25">
      <c r="A7" t="s">
        <v>146</v>
      </c>
      <c r="B7">
        <v>5</v>
      </c>
      <c r="C7">
        <v>25</v>
      </c>
      <c r="D7">
        <v>3</v>
      </c>
      <c r="E7">
        <v>23</v>
      </c>
      <c r="F7">
        <f t="shared" si="0"/>
        <v>0.2</v>
      </c>
      <c r="G7">
        <f t="shared" si="1"/>
        <v>0.13043478260869565</v>
      </c>
      <c r="H7">
        <f t="shared" si="2"/>
        <v>1.5333333333333334</v>
      </c>
      <c r="I7">
        <f t="shared" si="3"/>
        <v>0.42744401482693967</v>
      </c>
      <c r="J7">
        <f t="shared" si="4"/>
        <v>0.67071236194345496</v>
      </c>
      <c r="K7">
        <f t="shared" si="5"/>
        <v>0.51082562376599072</v>
      </c>
      <c r="L7">
        <f t="shared" si="6"/>
        <v>0.79582242575422146</v>
      </c>
      <c r="M7">
        <f t="shared" si="7"/>
        <v>48</v>
      </c>
    </row>
    <row r="8" spans="1:13" x14ac:dyDescent="0.25">
      <c r="A8" t="s">
        <v>75</v>
      </c>
      <c r="B8">
        <v>4</v>
      </c>
      <c r="C8">
        <v>19</v>
      </c>
      <c r="D8">
        <v>7</v>
      </c>
      <c r="E8">
        <v>22</v>
      </c>
      <c r="F8">
        <f t="shared" si="0"/>
        <v>0.21052631578947367</v>
      </c>
      <c r="G8">
        <f t="shared" si="1"/>
        <v>0.31818181818181818</v>
      </c>
      <c r="H8">
        <f t="shared" si="2"/>
        <v>0.66165413533834583</v>
      </c>
      <c r="I8">
        <f t="shared" si="3"/>
        <v>-0.41301231374354735</v>
      </c>
      <c r="J8">
        <f t="shared" si="4"/>
        <v>0.5429281890408979</v>
      </c>
      <c r="K8">
        <f t="shared" si="5"/>
        <v>-0.55961578793542277</v>
      </c>
      <c r="L8">
        <f t="shared" si="6"/>
        <v>0.72538987874830196</v>
      </c>
      <c r="M8">
        <f t="shared" si="7"/>
        <v>41</v>
      </c>
    </row>
    <row r="9" spans="1:13" x14ac:dyDescent="0.25">
      <c r="A9" t="s">
        <v>27</v>
      </c>
      <c r="B9">
        <v>1</v>
      </c>
      <c r="C9">
        <v>12</v>
      </c>
      <c r="D9">
        <v>1</v>
      </c>
      <c r="E9">
        <v>13</v>
      </c>
      <c r="F9">
        <f t="shared" si="0"/>
        <v>8.3333333333333329E-2</v>
      </c>
      <c r="G9">
        <f t="shared" si="1"/>
        <v>7.6923076923076927E-2</v>
      </c>
      <c r="H9">
        <f t="shared" si="2"/>
        <v>1.0833333333333333</v>
      </c>
      <c r="I9">
        <f t="shared" si="3"/>
        <v>8.0042707673536356E-2</v>
      </c>
      <c r="J9">
        <f t="shared" si="4"/>
        <v>1.3563714792576516</v>
      </c>
      <c r="K9">
        <f t="shared" si="5"/>
        <v>8.7011376989629699E-2</v>
      </c>
      <c r="L9">
        <f t="shared" si="6"/>
        <v>1.4745312557699224</v>
      </c>
      <c r="M9">
        <f t="shared" si="7"/>
        <v>25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K1" sqref="K1:K1048576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148</v>
      </c>
      <c r="B2">
        <v>0.65</v>
      </c>
      <c r="C2">
        <v>-0.19</v>
      </c>
      <c r="D2">
        <v>1.5</v>
      </c>
      <c r="E2">
        <v>11</v>
      </c>
      <c r="F2">
        <v>12</v>
      </c>
      <c r="G2">
        <v>0.95</v>
      </c>
      <c r="H2">
        <f>$B2</f>
        <v>0.65</v>
      </c>
      <c r="I2">
        <f>($E2+$F2)/($E2*$F2)+$H2^2/(2*($E2+$F2))</f>
        <v>0.18342720685111991</v>
      </c>
      <c r="J2">
        <f>SQRT($I2)</f>
        <v>0.42828402591168385</v>
      </c>
    </row>
    <row r="3" spans="1:10" x14ac:dyDescent="0.25">
      <c r="A3" t="s">
        <v>152</v>
      </c>
      <c r="B3">
        <v>-0.62</v>
      </c>
      <c r="C3">
        <v>-1.55</v>
      </c>
      <c r="D3">
        <v>0.31</v>
      </c>
      <c r="E3">
        <v>10</v>
      </c>
      <c r="F3">
        <v>9</v>
      </c>
      <c r="G3">
        <v>0.95</v>
      </c>
      <c r="H3">
        <f t="shared" ref="H3:H6" si="0">$B3</f>
        <v>-0.62</v>
      </c>
      <c r="I3">
        <f t="shared" ref="I3:I8" si="1">($E3+$F3)/($E3*$F3)+$H3^2/(2*($E3+$F3))</f>
        <v>0.22122690058479533</v>
      </c>
      <c r="J3">
        <f t="shared" ref="J3:J8" si="2">SQRT($I3)</f>
        <v>0.47034763801341167</v>
      </c>
    </row>
    <row r="4" spans="1:10" x14ac:dyDescent="0.25">
      <c r="A4" t="s">
        <v>150</v>
      </c>
      <c r="B4">
        <v>-0.54</v>
      </c>
      <c r="C4">
        <v>-1.42</v>
      </c>
      <c r="D4">
        <v>0.33</v>
      </c>
      <c r="E4">
        <v>10</v>
      </c>
      <c r="F4">
        <v>11</v>
      </c>
      <c r="G4">
        <v>0.95</v>
      </c>
      <c r="H4">
        <f t="shared" si="0"/>
        <v>-0.54</v>
      </c>
      <c r="I4">
        <f t="shared" si="1"/>
        <v>0.19785194805194806</v>
      </c>
      <c r="J4">
        <f t="shared" si="2"/>
        <v>0.44480551711050981</v>
      </c>
    </row>
    <row r="5" spans="1:10" x14ac:dyDescent="0.25">
      <c r="A5" t="s">
        <v>151</v>
      </c>
      <c r="B5">
        <v>-0.28999999999999998</v>
      </c>
      <c r="C5">
        <v>-0.63</v>
      </c>
      <c r="D5">
        <v>0.04</v>
      </c>
      <c r="E5">
        <v>70</v>
      </c>
      <c r="F5">
        <v>70</v>
      </c>
      <c r="G5">
        <v>0.95</v>
      </c>
      <c r="H5">
        <f t="shared" si="0"/>
        <v>-0.28999999999999998</v>
      </c>
      <c r="I5">
        <f t="shared" si="1"/>
        <v>2.8871785714285714E-2</v>
      </c>
      <c r="J5">
        <f t="shared" si="2"/>
        <v>0.16991699654327025</v>
      </c>
    </row>
    <row r="6" spans="1:10" x14ac:dyDescent="0.25">
      <c r="A6" t="s">
        <v>3</v>
      </c>
      <c r="B6">
        <v>-0.6</v>
      </c>
      <c r="C6">
        <v>-1.18</v>
      </c>
      <c r="D6">
        <v>-0.02</v>
      </c>
      <c r="E6">
        <v>27</v>
      </c>
      <c r="F6">
        <v>21</v>
      </c>
      <c r="G6">
        <v>0.95</v>
      </c>
      <c r="H6">
        <f t="shared" si="0"/>
        <v>-0.6</v>
      </c>
      <c r="I6">
        <f t="shared" si="1"/>
        <v>8.8406084656084655E-2</v>
      </c>
      <c r="J6">
        <f t="shared" si="2"/>
        <v>0.29733160722682117</v>
      </c>
    </row>
    <row r="7" spans="1:10" x14ac:dyDescent="0.25">
      <c r="A7" t="s">
        <v>75</v>
      </c>
      <c r="B7">
        <v>0.1</v>
      </c>
      <c r="C7">
        <v>-0.62</v>
      </c>
      <c r="D7">
        <v>0.81</v>
      </c>
      <c r="E7">
        <v>15</v>
      </c>
      <c r="F7">
        <v>15</v>
      </c>
      <c r="G7">
        <v>0.95</v>
      </c>
      <c r="H7">
        <f>$B7</f>
        <v>0.1</v>
      </c>
      <c r="I7">
        <f t="shared" si="1"/>
        <v>0.13350000000000001</v>
      </c>
      <c r="J7">
        <f t="shared" si="2"/>
        <v>0.36537651812890221</v>
      </c>
    </row>
    <row r="8" spans="1:10" x14ac:dyDescent="0.25">
      <c r="A8" t="s">
        <v>27</v>
      </c>
      <c r="B8">
        <v>-0.71</v>
      </c>
      <c r="C8">
        <v>-1.53</v>
      </c>
      <c r="D8">
        <v>0.1</v>
      </c>
      <c r="E8">
        <v>12</v>
      </c>
      <c r="F8">
        <v>13</v>
      </c>
      <c r="G8">
        <v>0.95</v>
      </c>
      <c r="H8">
        <f>$B8</f>
        <v>-0.71</v>
      </c>
      <c r="I8">
        <f t="shared" si="1"/>
        <v>0.17033841025641028</v>
      </c>
      <c r="J8">
        <f t="shared" si="2"/>
        <v>0.41272074124813535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M1" sqref="M1"/>
    </sheetView>
  </sheetViews>
  <sheetFormatPr defaultColWidth="11.42578125" defaultRowHeight="15" x14ac:dyDescent="0.25"/>
  <cols>
    <col min="2" max="2" width="24.28515625" customWidth="1"/>
    <col min="3" max="3" width="19" customWidth="1"/>
    <col min="4" max="4" width="16" customWidth="1"/>
  </cols>
  <sheetData>
    <row r="1" spans="1:13" x14ac:dyDescent="0.25">
      <c r="A1" t="s">
        <v>19</v>
      </c>
      <c r="B1" t="s">
        <v>159</v>
      </c>
      <c r="C1" t="s">
        <v>160</v>
      </c>
      <c r="D1" t="s">
        <v>161</v>
      </c>
      <c r="E1" t="s">
        <v>124</v>
      </c>
      <c r="F1" t="s">
        <v>373</v>
      </c>
      <c r="G1" t="s">
        <v>374</v>
      </c>
      <c r="H1" t="s">
        <v>375</v>
      </c>
      <c r="I1" t="s">
        <v>368</v>
      </c>
      <c r="J1" t="s">
        <v>369</v>
      </c>
      <c r="K1" t="s">
        <v>376</v>
      </c>
      <c r="L1" t="s">
        <v>377</v>
      </c>
      <c r="M1" t="s">
        <v>378</v>
      </c>
    </row>
    <row r="2" spans="1:13" x14ac:dyDescent="0.25">
      <c r="A2" t="s">
        <v>51</v>
      </c>
      <c r="B2">
        <v>9</v>
      </c>
      <c r="C2">
        <v>26</v>
      </c>
      <c r="D2">
        <v>2</v>
      </c>
      <c r="E2">
        <v>18</v>
      </c>
      <c r="F2">
        <f>$B2/$C2</f>
        <v>0.34615384615384615</v>
      </c>
      <c r="G2">
        <f>$D2/$E2</f>
        <v>0.1111111111111111</v>
      </c>
      <c r="H2">
        <f>$F2/$G2</f>
        <v>3.1153846153846154</v>
      </c>
      <c r="I2">
        <f>LN($H2)</f>
        <v>1.1363526166509568</v>
      </c>
      <c r="J2">
        <f>SQRT((1-$F2)/($C2*$F2)+(1-$G2)/($E2*$G2))</f>
        <v>0.71909249550667476</v>
      </c>
      <c r="K2">
        <f>LN(($B2*($E2-$D2))/(($C2-$B2)*$D2))</f>
        <v>1.4434527749598391</v>
      </c>
      <c r="L2">
        <f>SQRT(1/$B2+1/($C2-$B2)+1/$D2+1/($E2-$D2))</f>
        <v>0.85582395416515178</v>
      </c>
      <c r="M2">
        <f>$C2+$E2</f>
        <v>44</v>
      </c>
    </row>
    <row r="3" spans="1:13" x14ac:dyDescent="0.25">
      <c r="A3" t="s">
        <v>153</v>
      </c>
      <c r="B3">
        <v>8</v>
      </c>
      <c r="C3">
        <v>36</v>
      </c>
      <c r="D3">
        <v>7</v>
      </c>
      <c r="E3">
        <v>35</v>
      </c>
      <c r="F3">
        <f t="shared" ref="F3:F8" si="0">$B3/$C3</f>
        <v>0.22222222222222221</v>
      </c>
      <c r="G3">
        <f t="shared" ref="G3:G8" si="1">$D3/$E3</f>
        <v>0.2</v>
      </c>
      <c r="H3">
        <f t="shared" ref="H3:H8" si="2">$F3/$G3</f>
        <v>1.1111111111111109</v>
      </c>
      <c r="I3">
        <f t="shared" ref="I3:I8" si="3">LN($H3)</f>
        <v>0.10536051565782614</v>
      </c>
      <c r="J3">
        <f t="shared" ref="J3:J8" si="4">SQRT((1-$F3)/($C3*$F3)+(1-$G3)/($E3*$G3))</f>
        <v>0.45989992009994579</v>
      </c>
      <c r="K3">
        <f t="shared" ref="K3:K8" si="5">LN(($B3*($E3-$D3))/(($C3-$B3)*$D3))</f>
        <v>0.13353139262452257</v>
      </c>
      <c r="L3">
        <f t="shared" ref="L3:L8" si="6">SQRT(1/$B3+1/($C3-$B3)+1/$D3+1/($E3-$D3))</f>
        <v>0.58248237251071744</v>
      </c>
      <c r="M3">
        <f t="shared" ref="M3:M8" si="7">$C3+$E3</f>
        <v>71</v>
      </c>
    </row>
    <row r="4" spans="1:13" x14ac:dyDescent="0.25">
      <c r="A4" t="s">
        <v>154</v>
      </c>
      <c r="B4">
        <v>0.5</v>
      </c>
      <c r="C4">
        <v>13</v>
      </c>
      <c r="D4">
        <v>0.5</v>
      </c>
      <c r="E4">
        <v>13</v>
      </c>
      <c r="F4">
        <f t="shared" si="0"/>
        <v>3.8461538461538464E-2</v>
      </c>
      <c r="G4">
        <f t="shared" si="1"/>
        <v>3.8461538461538464E-2</v>
      </c>
      <c r="H4">
        <f t="shared" si="2"/>
        <v>1</v>
      </c>
      <c r="I4">
        <f t="shared" si="3"/>
        <v>0</v>
      </c>
      <c r="J4">
        <f t="shared" si="4"/>
        <v>1.9611613513818404</v>
      </c>
      <c r="K4">
        <f t="shared" si="5"/>
        <v>0</v>
      </c>
      <c r="L4">
        <f t="shared" si="6"/>
        <v>2.0396078054371141</v>
      </c>
      <c r="M4">
        <f t="shared" si="7"/>
        <v>26</v>
      </c>
    </row>
    <row r="5" spans="1:13" x14ac:dyDescent="0.25">
      <c r="A5" t="s">
        <v>155</v>
      </c>
      <c r="B5">
        <v>4</v>
      </c>
      <c r="C5">
        <v>25</v>
      </c>
      <c r="D5">
        <v>3</v>
      </c>
      <c r="E5">
        <v>24</v>
      </c>
      <c r="F5">
        <f t="shared" si="0"/>
        <v>0.16</v>
      </c>
      <c r="G5">
        <f t="shared" si="1"/>
        <v>0.125</v>
      </c>
      <c r="H5">
        <f t="shared" si="2"/>
        <v>1.28</v>
      </c>
      <c r="I5">
        <f t="shared" si="3"/>
        <v>0.24686007793152581</v>
      </c>
      <c r="J5">
        <f t="shared" si="4"/>
        <v>0.70828431202919262</v>
      </c>
      <c r="K5">
        <f t="shared" si="5"/>
        <v>0.28768207245178085</v>
      </c>
      <c r="L5">
        <f t="shared" si="6"/>
        <v>0.82375447104791399</v>
      </c>
      <c r="M5">
        <f t="shared" si="7"/>
        <v>49</v>
      </c>
    </row>
    <row r="6" spans="1:13" x14ac:dyDescent="0.25">
      <c r="A6" t="s">
        <v>156</v>
      </c>
      <c r="B6">
        <v>44</v>
      </c>
      <c r="C6">
        <v>87</v>
      </c>
      <c r="D6">
        <v>34</v>
      </c>
      <c r="E6">
        <v>82</v>
      </c>
      <c r="F6">
        <f t="shared" si="0"/>
        <v>0.50574712643678166</v>
      </c>
      <c r="G6">
        <f t="shared" si="1"/>
        <v>0.41463414634146339</v>
      </c>
      <c r="H6">
        <f t="shared" si="2"/>
        <v>1.21974306964165</v>
      </c>
      <c r="I6">
        <f t="shared" si="3"/>
        <v>0.19864023791176938</v>
      </c>
      <c r="J6">
        <f t="shared" si="4"/>
        <v>0.16867027778589905</v>
      </c>
      <c r="K6">
        <f t="shared" si="5"/>
        <v>0.36783000451642828</v>
      </c>
      <c r="L6">
        <f t="shared" si="6"/>
        <v>0.31020668065013812</v>
      </c>
      <c r="M6">
        <f t="shared" si="7"/>
        <v>169</v>
      </c>
    </row>
    <row r="7" spans="1:13" x14ac:dyDescent="0.25">
      <c r="A7" t="s">
        <v>157</v>
      </c>
      <c r="B7">
        <v>22</v>
      </c>
      <c r="C7">
        <v>88</v>
      </c>
      <c r="D7">
        <v>20</v>
      </c>
      <c r="E7">
        <v>80</v>
      </c>
      <c r="F7">
        <f t="shared" si="0"/>
        <v>0.25</v>
      </c>
      <c r="G7">
        <f t="shared" si="1"/>
        <v>0.25</v>
      </c>
      <c r="H7">
        <f t="shared" si="2"/>
        <v>1</v>
      </c>
      <c r="I7">
        <f t="shared" si="3"/>
        <v>0</v>
      </c>
      <c r="J7">
        <f t="shared" si="4"/>
        <v>0.26756477550475344</v>
      </c>
      <c r="K7">
        <f t="shared" si="5"/>
        <v>0</v>
      </c>
      <c r="L7">
        <f t="shared" si="6"/>
        <v>0.3567530340063379</v>
      </c>
      <c r="M7">
        <f t="shared" si="7"/>
        <v>168</v>
      </c>
    </row>
    <row r="8" spans="1:13" x14ac:dyDescent="0.25">
      <c r="A8" t="s">
        <v>158</v>
      </c>
      <c r="B8">
        <v>7</v>
      </c>
      <c r="C8">
        <v>24</v>
      </c>
      <c r="D8">
        <v>6</v>
      </c>
      <c r="E8">
        <v>24</v>
      </c>
      <c r="F8">
        <f t="shared" si="0"/>
        <v>0.29166666666666669</v>
      </c>
      <c r="G8">
        <f t="shared" si="1"/>
        <v>0.25</v>
      </c>
      <c r="H8">
        <f t="shared" si="2"/>
        <v>1.1666666666666667</v>
      </c>
      <c r="I8">
        <f t="shared" si="3"/>
        <v>0.15415067982725836</v>
      </c>
      <c r="J8">
        <f t="shared" si="4"/>
        <v>0.47559486560567088</v>
      </c>
      <c r="K8">
        <f t="shared" si="5"/>
        <v>0.21130909366720696</v>
      </c>
      <c r="L8">
        <f t="shared" si="6"/>
        <v>0.65107825527437935</v>
      </c>
      <c r="M8">
        <f t="shared" si="7"/>
        <v>48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1.42578125" defaultRowHeight="15" x14ac:dyDescent="0.25"/>
  <sheetData>
    <row r="1" spans="1:13" x14ac:dyDescent="0.25">
      <c r="A1" t="s">
        <v>19</v>
      </c>
      <c r="B1" t="s">
        <v>48</v>
      </c>
      <c r="C1" t="s">
        <v>33</v>
      </c>
      <c r="D1" t="s">
        <v>34</v>
      </c>
      <c r="E1" t="s">
        <v>169</v>
      </c>
      <c r="F1" t="s">
        <v>170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162</v>
      </c>
      <c r="B2">
        <v>0.64</v>
      </c>
      <c r="C2">
        <v>0.19</v>
      </c>
      <c r="D2">
        <v>1.0900000000000001</v>
      </c>
      <c r="E2">
        <v>17</v>
      </c>
      <c r="F2">
        <v>17</v>
      </c>
      <c r="G2">
        <v>0.95</v>
      </c>
      <c r="H2">
        <f>$B2</f>
        <v>0.64</v>
      </c>
      <c r="I2">
        <f>1-3/(4*($E2-1)-1)</f>
        <v>0.95238095238095233</v>
      </c>
      <c r="J2">
        <f>$H2/$I2</f>
        <v>0.67200000000000004</v>
      </c>
      <c r="K2">
        <f>(1/$E2+$J2^2/(2*$E2))*(2*(1-0.5))</f>
        <v>7.210541176470589E-2</v>
      </c>
      <c r="L2">
        <f>SQRT($K2)</f>
        <v>0.26852450868534494</v>
      </c>
      <c r="M2">
        <f>SQRT($K2*$I2^2)</f>
        <v>0.2557376273193761</v>
      </c>
    </row>
    <row r="3" spans="1:13" x14ac:dyDescent="0.25">
      <c r="A3" t="s">
        <v>163</v>
      </c>
      <c r="B3">
        <v>0.8</v>
      </c>
      <c r="C3">
        <v>0.34</v>
      </c>
      <c r="D3">
        <v>1.27</v>
      </c>
      <c r="E3">
        <v>16</v>
      </c>
      <c r="F3">
        <v>16</v>
      </c>
      <c r="G3">
        <v>0.95</v>
      </c>
      <c r="H3">
        <f t="shared" ref="H3:H8" si="0">$B3</f>
        <v>0.8</v>
      </c>
      <c r="I3">
        <f t="shared" ref="I3:I8" si="1">1-3/(4*($E3-1)-1)</f>
        <v>0.94915254237288138</v>
      </c>
      <c r="J3">
        <f t="shared" ref="J3:J8" si="2">$H3/$I3</f>
        <v>0.84285714285714286</v>
      </c>
      <c r="K3">
        <f t="shared" ref="K3:K8" si="3">(1/$E3+$J3^2/(2*$E3))*(2*(1-0.5))</f>
        <v>8.4700255102040822E-2</v>
      </c>
      <c r="L3">
        <f t="shared" ref="L3:L8" si="4">SQRT($K3)</f>
        <v>0.29103308248726778</v>
      </c>
      <c r="M3">
        <f t="shared" ref="M3:M8" si="5">SQRT($K3*$I3^2)</f>
        <v>0.27623479015740671</v>
      </c>
    </row>
    <row r="4" spans="1:13" x14ac:dyDescent="0.25">
      <c r="A4" t="s">
        <v>164</v>
      </c>
      <c r="B4">
        <v>0.74</v>
      </c>
      <c r="C4">
        <v>0.5</v>
      </c>
      <c r="D4">
        <v>0.97</v>
      </c>
      <c r="E4">
        <v>62</v>
      </c>
      <c r="F4">
        <v>62</v>
      </c>
      <c r="G4">
        <v>0.95</v>
      </c>
      <c r="H4">
        <f t="shared" si="0"/>
        <v>0.74</v>
      </c>
      <c r="I4">
        <f t="shared" si="1"/>
        <v>0.98765432098765427</v>
      </c>
      <c r="J4">
        <f t="shared" si="2"/>
        <v>0.74925000000000008</v>
      </c>
      <c r="K4">
        <f t="shared" si="3"/>
        <v>2.0656254536290324E-2</v>
      </c>
      <c r="L4">
        <f t="shared" si="4"/>
        <v>0.14372283929943189</v>
      </c>
      <c r="M4">
        <f t="shared" si="5"/>
        <v>0.14194848325869816</v>
      </c>
    </row>
    <row r="5" spans="1:13" x14ac:dyDescent="0.25">
      <c r="A5" t="s">
        <v>165</v>
      </c>
      <c r="B5">
        <v>0.84</v>
      </c>
      <c r="C5">
        <v>0.39</v>
      </c>
      <c r="D5">
        <v>1.29</v>
      </c>
      <c r="E5">
        <v>66</v>
      </c>
      <c r="F5">
        <v>66</v>
      </c>
      <c r="G5">
        <v>0.95</v>
      </c>
      <c r="H5">
        <f t="shared" si="0"/>
        <v>0.84</v>
      </c>
      <c r="I5">
        <f t="shared" si="1"/>
        <v>0.98841698841698844</v>
      </c>
      <c r="J5">
        <f t="shared" si="2"/>
        <v>0.8498437499999999</v>
      </c>
      <c r="K5">
        <f t="shared" si="3"/>
        <v>2.0622987874348957E-2</v>
      </c>
      <c r="L5">
        <f t="shared" si="4"/>
        <v>0.14360706067025031</v>
      </c>
      <c r="M5">
        <f t="shared" si="5"/>
        <v>0.14194365842310458</v>
      </c>
    </row>
    <row r="6" spans="1:13" x14ac:dyDescent="0.25">
      <c r="A6" t="s">
        <v>166</v>
      </c>
      <c r="B6">
        <v>1.33</v>
      </c>
      <c r="C6">
        <v>0.9</v>
      </c>
      <c r="D6">
        <v>1.77</v>
      </c>
      <c r="E6">
        <v>33</v>
      </c>
      <c r="F6">
        <v>33</v>
      </c>
      <c r="G6">
        <v>0.95</v>
      </c>
      <c r="H6">
        <f t="shared" si="0"/>
        <v>1.33</v>
      </c>
      <c r="I6">
        <f t="shared" si="1"/>
        <v>0.97637795275590555</v>
      </c>
      <c r="J6">
        <f t="shared" si="2"/>
        <v>1.3621774193548388</v>
      </c>
      <c r="K6">
        <f t="shared" si="3"/>
        <v>5.8417080633336491E-2</v>
      </c>
      <c r="L6">
        <f t="shared" si="4"/>
        <v>0.24169625697005837</v>
      </c>
      <c r="M6">
        <f t="shared" si="5"/>
        <v>0.23598689656919086</v>
      </c>
    </row>
    <row r="7" spans="1:13" x14ac:dyDescent="0.25">
      <c r="A7" t="s">
        <v>167</v>
      </c>
      <c r="B7">
        <v>0.56999999999999995</v>
      </c>
      <c r="C7">
        <v>-0.02</v>
      </c>
      <c r="D7">
        <v>1.1499999999999999</v>
      </c>
      <c r="E7">
        <v>10</v>
      </c>
      <c r="F7">
        <v>10</v>
      </c>
      <c r="G7">
        <v>0.95</v>
      </c>
      <c r="H7">
        <f t="shared" si="0"/>
        <v>0.56999999999999995</v>
      </c>
      <c r="I7">
        <f t="shared" si="1"/>
        <v>0.91428571428571426</v>
      </c>
      <c r="J7">
        <f t="shared" si="2"/>
        <v>0.62343749999999998</v>
      </c>
      <c r="K7">
        <f t="shared" si="3"/>
        <v>0.11943371582031251</v>
      </c>
      <c r="L7">
        <f t="shared" si="4"/>
        <v>0.34559183413430433</v>
      </c>
      <c r="M7">
        <f t="shared" si="5"/>
        <v>0.31596967692279249</v>
      </c>
    </row>
    <row r="8" spans="1:13" x14ac:dyDescent="0.25">
      <c r="A8" t="s">
        <v>168</v>
      </c>
      <c r="B8">
        <v>0.75</v>
      </c>
      <c r="C8">
        <v>0.05</v>
      </c>
      <c r="D8">
        <v>1.44</v>
      </c>
      <c r="E8">
        <v>9</v>
      </c>
      <c r="F8">
        <v>9</v>
      </c>
      <c r="G8">
        <v>0.95</v>
      </c>
      <c r="H8">
        <f t="shared" si="0"/>
        <v>0.75</v>
      </c>
      <c r="I8">
        <f t="shared" si="1"/>
        <v>0.90322580645161288</v>
      </c>
      <c r="J8">
        <f t="shared" si="2"/>
        <v>0.8303571428571429</v>
      </c>
      <c r="K8">
        <f t="shared" si="3"/>
        <v>0.14941627692743764</v>
      </c>
      <c r="L8">
        <f t="shared" si="4"/>
        <v>0.38654401680460354</v>
      </c>
      <c r="M8">
        <f t="shared" si="5"/>
        <v>0.34913653130738387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H1" sqref="H1:M8"/>
    </sheetView>
  </sheetViews>
  <sheetFormatPr defaultColWidth="11.42578125" defaultRowHeight="15" x14ac:dyDescent="0.25"/>
  <sheetData>
    <row r="1" spans="1:13" x14ac:dyDescent="0.25">
      <c r="A1" t="s">
        <v>19</v>
      </c>
      <c r="B1" t="s">
        <v>48</v>
      </c>
      <c r="C1" t="s">
        <v>33</v>
      </c>
      <c r="D1" t="s">
        <v>34</v>
      </c>
      <c r="E1" t="s">
        <v>169</v>
      </c>
      <c r="F1" t="s">
        <v>170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162</v>
      </c>
      <c r="B2">
        <v>0.83</v>
      </c>
      <c r="C2">
        <v>0.35</v>
      </c>
      <c r="D2">
        <v>1.31</v>
      </c>
      <c r="E2">
        <v>17</v>
      </c>
      <c r="F2">
        <v>17</v>
      </c>
      <c r="G2">
        <v>0.95</v>
      </c>
      <c r="H2">
        <f>$B2</f>
        <v>0.83</v>
      </c>
      <c r="I2">
        <f>1-3/(4*($E2-1)-1)</f>
        <v>0.95238095238095233</v>
      </c>
      <c r="J2">
        <f>$H2/$I2</f>
        <v>0.87150000000000005</v>
      </c>
      <c r="K2">
        <f>(1/$E2+$J2^2/(2*$E2))*(2*(1-0.5))</f>
        <v>8.1162125000000002E-2</v>
      </c>
      <c r="L2">
        <f>SQRT($K2)</f>
        <v>0.28488967162745654</v>
      </c>
      <c r="M2">
        <f>SQRT($K2*$I2^2)</f>
        <v>0.27132349678805379</v>
      </c>
    </row>
    <row r="3" spans="1:13" x14ac:dyDescent="0.25">
      <c r="A3" t="s">
        <v>163</v>
      </c>
      <c r="B3">
        <v>0.48</v>
      </c>
      <c r="C3">
        <v>0.08</v>
      </c>
      <c r="D3">
        <v>0.87</v>
      </c>
      <c r="E3">
        <v>16</v>
      </c>
      <c r="F3">
        <v>16</v>
      </c>
      <c r="G3">
        <v>0.95</v>
      </c>
      <c r="H3">
        <f t="shared" ref="H3:H8" si="0">$B3</f>
        <v>0.48</v>
      </c>
      <c r="I3">
        <f t="shared" ref="I3:I8" si="1">1-3/(4*($E3-1)-1)</f>
        <v>0.94915254237288138</v>
      </c>
      <c r="J3">
        <f t="shared" ref="J3:J8" si="2">$H3/$I3</f>
        <v>0.50571428571428567</v>
      </c>
      <c r="K3">
        <f t="shared" ref="K3:K8" si="3">(1/$E3+$J3^2/(2*$E3))*(2*(1-0.5))</f>
        <v>7.0492091836734688E-2</v>
      </c>
      <c r="L3">
        <f t="shared" ref="L3:L8" si="4">SQRT($K3)</f>
        <v>0.26550346859642848</v>
      </c>
      <c r="M3">
        <f t="shared" ref="M3:M8" si="5">SQRT($K3*$I3^2)</f>
        <v>0.25200329222711859</v>
      </c>
    </row>
    <row r="4" spans="1:13" x14ac:dyDescent="0.25">
      <c r="A4" t="s">
        <v>164</v>
      </c>
      <c r="B4">
        <v>0.71</v>
      </c>
      <c r="C4">
        <v>0.48</v>
      </c>
      <c r="D4">
        <v>0.94</v>
      </c>
      <c r="E4">
        <v>62</v>
      </c>
      <c r="F4">
        <v>62</v>
      </c>
      <c r="G4">
        <v>0.95</v>
      </c>
      <c r="H4">
        <f t="shared" si="0"/>
        <v>0.71</v>
      </c>
      <c r="I4">
        <f t="shared" si="1"/>
        <v>0.98765432098765427</v>
      </c>
      <c r="J4">
        <f t="shared" si="2"/>
        <v>0.71887500000000004</v>
      </c>
      <c r="K4">
        <f t="shared" si="3"/>
        <v>2.0296623109879033E-2</v>
      </c>
      <c r="L4">
        <f t="shared" si="4"/>
        <v>0.14246621743374474</v>
      </c>
      <c r="M4">
        <f t="shared" si="5"/>
        <v>0.14070737524320467</v>
      </c>
    </row>
    <row r="5" spans="1:13" x14ac:dyDescent="0.25">
      <c r="A5" t="s">
        <v>165</v>
      </c>
      <c r="B5">
        <v>0.5</v>
      </c>
      <c r="C5">
        <v>0.3</v>
      </c>
      <c r="D5">
        <v>0.71</v>
      </c>
      <c r="E5">
        <v>66</v>
      </c>
      <c r="F5">
        <v>66</v>
      </c>
      <c r="G5">
        <v>0.95</v>
      </c>
      <c r="H5">
        <f t="shared" si="0"/>
        <v>0.5</v>
      </c>
      <c r="I5">
        <f t="shared" si="1"/>
        <v>0.98841698841698844</v>
      </c>
      <c r="J5">
        <f t="shared" si="2"/>
        <v>0.505859375</v>
      </c>
      <c r="K5">
        <f t="shared" si="3"/>
        <v>1.7090103842995384E-2</v>
      </c>
      <c r="L5">
        <f t="shared" si="4"/>
        <v>0.13072912392804972</v>
      </c>
      <c r="M5">
        <f t="shared" si="5"/>
        <v>0.12921488697135416</v>
      </c>
    </row>
    <row r="6" spans="1:13" x14ac:dyDescent="0.25">
      <c r="A6" t="s">
        <v>166</v>
      </c>
      <c r="B6">
        <v>1</v>
      </c>
      <c r="C6">
        <v>0.63</v>
      </c>
      <c r="D6">
        <v>1.37</v>
      </c>
      <c r="E6">
        <v>33</v>
      </c>
      <c r="F6">
        <v>33</v>
      </c>
      <c r="G6">
        <v>0.95</v>
      </c>
      <c r="H6">
        <f t="shared" si="0"/>
        <v>1</v>
      </c>
      <c r="I6">
        <f t="shared" si="1"/>
        <v>0.97637795275590555</v>
      </c>
      <c r="J6">
        <f t="shared" si="2"/>
        <v>1.0241935483870968</v>
      </c>
      <c r="K6">
        <f t="shared" si="3"/>
        <v>4.6196551887238674E-2</v>
      </c>
      <c r="L6">
        <f t="shared" si="4"/>
        <v>0.2149338314161795</v>
      </c>
      <c r="M6">
        <f t="shared" si="5"/>
        <v>0.2098566542961123</v>
      </c>
    </row>
    <row r="7" spans="1:13" x14ac:dyDescent="0.25">
      <c r="A7" t="s">
        <v>167</v>
      </c>
      <c r="B7">
        <v>0.43</v>
      </c>
      <c r="C7">
        <v>-0.08</v>
      </c>
      <c r="D7">
        <v>0.94</v>
      </c>
      <c r="E7">
        <v>10</v>
      </c>
      <c r="F7">
        <v>10</v>
      </c>
      <c r="G7">
        <v>0.95</v>
      </c>
      <c r="H7">
        <f t="shared" si="0"/>
        <v>0.43</v>
      </c>
      <c r="I7">
        <f t="shared" si="1"/>
        <v>0.91428571428571426</v>
      </c>
      <c r="J7">
        <f t="shared" si="2"/>
        <v>0.47031250000000002</v>
      </c>
      <c r="K7">
        <f t="shared" si="3"/>
        <v>0.11105969238281251</v>
      </c>
      <c r="L7">
        <f t="shared" si="4"/>
        <v>0.33325619631570619</v>
      </c>
      <c r="M7">
        <f t="shared" si="5"/>
        <v>0.30469137948864566</v>
      </c>
    </row>
    <row r="8" spans="1:13" x14ac:dyDescent="0.25">
      <c r="A8" t="s">
        <v>168</v>
      </c>
      <c r="B8">
        <v>1.38</v>
      </c>
      <c r="C8">
        <v>0.56999999999999995</v>
      </c>
      <c r="D8">
        <v>2.2000000000000002</v>
      </c>
      <c r="E8">
        <v>9</v>
      </c>
      <c r="F8">
        <v>9</v>
      </c>
      <c r="G8">
        <v>0.95</v>
      </c>
      <c r="H8">
        <f t="shared" si="0"/>
        <v>1.38</v>
      </c>
      <c r="I8">
        <f t="shared" si="1"/>
        <v>0.90322580645161288</v>
      </c>
      <c r="J8">
        <f t="shared" si="2"/>
        <v>1.5278571428571428</v>
      </c>
      <c r="K8">
        <f t="shared" si="3"/>
        <v>0.2407970804988662</v>
      </c>
      <c r="L8">
        <f t="shared" si="4"/>
        <v>0.49071079109681925</v>
      </c>
      <c r="M8">
        <f t="shared" si="5"/>
        <v>0.44322265002293348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48</v>
      </c>
      <c r="C1" t="s">
        <v>47</v>
      </c>
      <c r="D1" t="s">
        <v>368</v>
      </c>
      <c r="E1" t="s">
        <v>369</v>
      </c>
    </row>
    <row r="2" spans="1:5" x14ac:dyDescent="0.25">
      <c r="A2" t="s">
        <v>27</v>
      </c>
      <c r="B2">
        <v>-0.55400000000000005</v>
      </c>
      <c r="C2">
        <v>0.29099999999999998</v>
      </c>
      <c r="D2">
        <f>$B2</f>
        <v>-0.55400000000000005</v>
      </c>
      <c r="E2">
        <f>$C2</f>
        <v>0.29099999999999998</v>
      </c>
    </row>
    <row r="3" spans="1:5" x14ac:dyDescent="0.25">
      <c r="A3" t="s">
        <v>172</v>
      </c>
      <c r="B3">
        <v>-0.33900000000000002</v>
      </c>
      <c r="C3">
        <v>0.24299999999999999</v>
      </c>
      <c r="D3">
        <f t="shared" ref="D3:D12" si="0">$B3</f>
        <v>-0.33900000000000002</v>
      </c>
      <c r="E3">
        <f t="shared" ref="E3:E12" si="1">$C3</f>
        <v>0.24299999999999999</v>
      </c>
    </row>
    <row r="4" spans="1:5" x14ac:dyDescent="0.25">
      <c r="A4" t="s">
        <v>141</v>
      </c>
      <c r="B4">
        <v>-0.39300000000000002</v>
      </c>
      <c r="C4">
        <v>0.41</v>
      </c>
      <c r="D4">
        <f t="shared" si="0"/>
        <v>-0.39300000000000002</v>
      </c>
      <c r="E4">
        <f t="shared" si="1"/>
        <v>0.41</v>
      </c>
    </row>
    <row r="5" spans="1:5" x14ac:dyDescent="0.25">
      <c r="A5" t="s">
        <v>173</v>
      </c>
      <c r="B5">
        <v>-0.52200000000000002</v>
      </c>
      <c r="C5">
        <v>0.25900000000000001</v>
      </c>
      <c r="D5">
        <f t="shared" si="0"/>
        <v>-0.52200000000000002</v>
      </c>
      <c r="E5">
        <f t="shared" si="1"/>
        <v>0.25900000000000001</v>
      </c>
    </row>
    <row r="6" spans="1:5" x14ac:dyDescent="0.25">
      <c r="A6" t="s">
        <v>140</v>
      </c>
      <c r="B6">
        <v>-1.1879999999999999</v>
      </c>
      <c r="C6">
        <v>0.44900000000000001</v>
      </c>
      <c r="D6">
        <f t="shared" si="0"/>
        <v>-1.1879999999999999</v>
      </c>
      <c r="E6">
        <f t="shared" si="1"/>
        <v>0.44900000000000001</v>
      </c>
    </row>
    <row r="7" spans="1:5" x14ac:dyDescent="0.25">
      <c r="A7" t="s">
        <v>148</v>
      </c>
      <c r="B7">
        <v>-0.34599999999999997</v>
      </c>
      <c r="C7">
        <v>0.40600000000000003</v>
      </c>
      <c r="D7">
        <f t="shared" si="0"/>
        <v>-0.34599999999999997</v>
      </c>
      <c r="E7">
        <f t="shared" si="1"/>
        <v>0.40600000000000003</v>
      </c>
    </row>
    <row r="8" spans="1:5" x14ac:dyDescent="0.25">
      <c r="A8" t="s">
        <v>149</v>
      </c>
      <c r="B8">
        <v>-1.1559999999999999</v>
      </c>
      <c r="C8">
        <v>0.47699999999999998</v>
      </c>
      <c r="D8">
        <f t="shared" si="0"/>
        <v>-1.1559999999999999</v>
      </c>
      <c r="E8">
        <f t="shared" si="1"/>
        <v>0.47699999999999998</v>
      </c>
    </row>
    <row r="9" spans="1:5" x14ac:dyDescent="0.25">
      <c r="A9" t="s">
        <v>150</v>
      </c>
      <c r="B9">
        <v>-0.124</v>
      </c>
      <c r="C9">
        <v>0.39500000000000002</v>
      </c>
      <c r="D9">
        <f t="shared" si="0"/>
        <v>-0.124</v>
      </c>
      <c r="E9">
        <f t="shared" si="1"/>
        <v>0.39500000000000002</v>
      </c>
    </row>
    <row r="10" spans="1:5" x14ac:dyDescent="0.25">
      <c r="A10" t="s">
        <v>174</v>
      </c>
      <c r="B10">
        <v>-0.30399999999999999</v>
      </c>
      <c r="C10">
        <v>0.36699999999999999</v>
      </c>
      <c r="D10">
        <f t="shared" si="0"/>
        <v>-0.30399999999999999</v>
      </c>
      <c r="E10">
        <f t="shared" si="1"/>
        <v>0.36699999999999999</v>
      </c>
    </row>
    <row r="11" spans="1:5" x14ac:dyDescent="0.25">
      <c r="A11" t="s">
        <v>75</v>
      </c>
      <c r="B11">
        <v>-0.39400000000000002</v>
      </c>
      <c r="C11">
        <v>0.32100000000000001</v>
      </c>
      <c r="D11">
        <f t="shared" si="0"/>
        <v>-0.39400000000000002</v>
      </c>
      <c r="E11">
        <f t="shared" si="1"/>
        <v>0.32100000000000001</v>
      </c>
    </row>
    <row r="12" spans="1:5" x14ac:dyDescent="0.25">
      <c r="A12" t="s">
        <v>176</v>
      </c>
      <c r="B12">
        <v>-0.156</v>
      </c>
      <c r="C12">
        <v>0.374</v>
      </c>
      <c r="D12">
        <f t="shared" si="0"/>
        <v>-0.156</v>
      </c>
      <c r="E12">
        <f t="shared" si="1"/>
        <v>0.374</v>
      </c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48</v>
      </c>
      <c r="C1" t="s">
        <v>47</v>
      </c>
      <c r="D1" t="s">
        <v>368</v>
      </c>
      <c r="E1" t="s">
        <v>369</v>
      </c>
    </row>
    <row r="2" spans="1:5" x14ac:dyDescent="0.25">
      <c r="A2" t="s">
        <v>27</v>
      </c>
      <c r="B2">
        <v>-0.55400000000000005</v>
      </c>
      <c r="C2">
        <v>0.29099999999999998</v>
      </c>
      <c r="D2">
        <f>$B2</f>
        <v>-0.55400000000000005</v>
      </c>
      <c r="E2">
        <f>$C2</f>
        <v>0.29099999999999998</v>
      </c>
    </row>
    <row r="3" spans="1:5" x14ac:dyDescent="0.25">
      <c r="A3" t="s">
        <v>171</v>
      </c>
      <c r="B3">
        <v>-0.61399999999999999</v>
      </c>
      <c r="C3">
        <v>0.22700000000000001</v>
      </c>
      <c r="D3">
        <f t="shared" ref="D3:D18" si="0">$B3</f>
        <v>-0.61399999999999999</v>
      </c>
      <c r="E3">
        <f t="shared" ref="E3:E18" si="1">$C3</f>
        <v>0.22700000000000001</v>
      </c>
    </row>
    <row r="4" spans="1:5" x14ac:dyDescent="0.25">
      <c r="A4" t="s">
        <v>144</v>
      </c>
      <c r="B4">
        <v>-0.82699999999999996</v>
      </c>
      <c r="C4">
        <v>0.47199999999999998</v>
      </c>
      <c r="D4">
        <f t="shared" si="0"/>
        <v>-0.82699999999999996</v>
      </c>
      <c r="E4">
        <f t="shared" si="1"/>
        <v>0.47199999999999998</v>
      </c>
    </row>
    <row r="5" spans="1:5" x14ac:dyDescent="0.25">
      <c r="A5" t="s">
        <v>172</v>
      </c>
      <c r="B5">
        <v>-0.33900000000000002</v>
      </c>
      <c r="C5">
        <v>0.24299999999999999</v>
      </c>
      <c r="D5">
        <f t="shared" si="0"/>
        <v>-0.33900000000000002</v>
      </c>
      <c r="E5">
        <f t="shared" si="1"/>
        <v>0.24299999999999999</v>
      </c>
    </row>
    <row r="6" spans="1:5" x14ac:dyDescent="0.25">
      <c r="A6" t="s">
        <v>141</v>
      </c>
      <c r="B6">
        <v>-0.39300000000000002</v>
      </c>
      <c r="C6">
        <v>0.41</v>
      </c>
      <c r="D6">
        <f t="shared" si="0"/>
        <v>-0.39300000000000002</v>
      </c>
      <c r="E6">
        <f t="shared" si="1"/>
        <v>0.41</v>
      </c>
    </row>
    <row r="7" spans="1:5" x14ac:dyDescent="0.25">
      <c r="A7" t="s">
        <v>173</v>
      </c>
      <c r="B7">
        <v>-0.52200000000000002</v>
      </c>
      <c r="C7">
        <v>0.25900000000000001</v>
      </c>
      <c r="D7">
        <f t="shared" si="0"/>
        <v>-0.52200000000000002</v>
      </c>
      <c r="E7">
        <f t="shared" si="1"/>
        <v>0.25900000000000001</v>
      </c>
    </row>
    <row r="8" spans="1:5" x14ac:dyDescent="0.25">
      <c r="A8" t="s">
        <v>140</v>
      </c>
      <c r="B8">
        <v>-1.1879999999999999</v>
      </c>
      <c r="C8">
        <v>0.44900000000000001</v>
      </c>
      <c r="D8">
        <f t="shared" si="0"/>
        <v>-1.1879999999999999</v>
      </c>
      <c r="E8">
        <f t="shared" si="1"/>
        <v>0.44900000000000001</v>
      </c>
    </row>
    <row r="9" spans="1:5" x14ac:dyDescent="0.25">
      <c r="A9" t="s">
        <v>148</v>
      </c>
      <c r="B9">
        <v>-0.34599999999999997</v>
      </c>
      <c r="C9">
        <v>0.40600000000000003</v>
      </c>
      <c r="D9">
        <f t="shared" si="0"/>
        <v>-0.34599999999999997</v>
      </c>
      <c r="E9">
        <f t="shared" si="1"/>
        <v>0.40600000000000003</v>
      </c>
    </row>
    <row r="10" spans="1:5" x14ac:dyDescent="0.25">
      <c r="A10" t="s">
        <v>3</v>
      </c>
      <c r="B10">
        <v>-1.3939999999999999</v>
      </c>
      <c r="C10">
        <v>0.218</v>
      </c>
      <c r="D10">
        <f t="shared" si="0"/>
        <v>-1.3939999999999999</v>
      </c>
      <c r="E10">
        <f t="shared" si="1"/>
        <v>0.218</v>
      </c>
    </row>
    <row r="11" spans="1:5" x14ac:dyDescent="0.25">
      <c r="A11" t="s">
        <v>149</v>
      </c>
      <c r="B11">
        <v>-1.1559999999999999</v>
      </c>
      <c r="C11">
        <v>0.47699999999999998</v>
      </c>
      <c r="D11">
        <f t="shared" si="0"/>
        <v>-1.1559999999999999</v>
      </c>
      <c r="E11">
        <f t="shared" si="1"/>
        <v>0.47699999999999998</v>
      </c>
    </row>
    <row r="12" spans="1:5" x14ac:dyDescent="0.25">
      <c r="A12" t="s">
        <v>150</v>
      </c>
      <c r="B12">
        <v>-0.124</v>
      </c>
      <c r="C12">
        <v>0.39500000000000002</v>
      </c>
      <c r="D12">
        <f t="shared" si="0"/>
        <v>-0.124</v>
      </c>
      <c r="E12">
        <f t="shared" si="1"/>
        <v>0.39500000000000002</v>
      </c>
    </row>
    <row r="13" spans="1:5" x14ac:dyDescent="0.25">
      <c r="A13" t="s">
        <v>174</v>
      </c>
      <c r="B13">
        <v>-0.30399999999999999</v>
      </c>
      <c r="C13">
        <v>0.36699999999999999</v>
      </c>
      <c r="D13">
        <f t="shared" si="0"/>
        <v>-0.30399999999999999</v>
      </c>
      <c r="E13">
        <f t="shared" si="1"/>
        <v>0.36699999999999999</v>
      </c>
    </row>
    <row r="14" spans="1:5" x14ac:dyDescent="0.25">
      <c r="A14" t="s">
        <v>75</v>
      </c>
      <c r="B14">
        <v>-0.39400000000000002</v>
      </c>
      <c r="C14">
        <v>0.32100000000000001</v>
      </c>
      <c r="D14">
        <f t="shared" si="0"/>
        <v>-0.39400000000000002</v>
      </c>
      <c r="E14">
        <f t="shared" si="1"/>
        <v>0.32100000000000001</v>
      </c>
    </row>
    <row r="15" spans="1:5" x14ac:dyDescent="0.25">
      <c r="A15" t="s">
        <v>146</v>
      </c>
      <c r="B15">
        <v>-1.1930000000000001</v>
      </c>
      <c r="C15">
        <v>0.33700000000000002</v>
      </c>
      <c r="D15">
        <f t="shared" si="0"/>
        <v>-1.1930000000000001</v>
      </c>
      <c r="E15">
        <f t="shared" si="1"/>
        <v>0.33700000000000002</v>
      </c>
    </row>
    <row r="16" spans="1:5" x14ac:dyDescent="0.25">
      <c r="A16" t="s">
        <v>175</v>
      </c>
      <c r="B16">
        <v>-0.47599999999999998</v>
      </c>
      <c r="C16">
        <v>0.28299999999999997</v>
      </c>
      <c r="D16">
        <f t="shared" si="0"/>
        <v>-0.47599999999999998</v>
      </c>
      <c r="E16">
        <f t="shared" si="1"/>
        <v>0.28299999999999997</v>
      </c>
    </row>
    <row r="17" spans="1:5" x14ac:dyDescent="0.25">
      <c r="A17" t="s">
        <v>142</v>
      </c>
      <c r="B17">
        <v>-0.80100000000000005</v>
      </c>
      <c r="C17">
        <v>0.441</v>
      </c>
      <c r="D17">
        <f t="shared" si="0"/>
        <v>-0.80100000000000005</v>
      </c>
      <c r="E17">
        <f t="shared" si="1"/>
        <v>0.441</v>
      </c>
    </row>
    <row r="18" spans="1:5" x14ac:dyDescent="0.25">
      <c r="A18" t="s">
        <v>176</v>
      </c>
      <c r="B18">
        <v>-0.156</v>
      </c>
      <c r="C18">
        <v>0.374</v>
      </c>
      <c r="D18">
        <f t="shared" si="0"/>
        <v>-0.156</v>
      </c>
      <c r="E18">
        <f t="shared" si="1"/>
        <v>0.374</v>
      </c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48</v>
      </c>
      <c r="C1" t="s">
        <v>47</v>
      </c>
      <c r="D1" t="s">
        <v>368</v>
      </c>
      <c r="E1" t="s">
        <v>369</v>
      </c>
    </row>
    <row r="2" spans="1:5" x14ac:dyDescent="0.25">
      <c r="A2" t="s">
        <v>27</v>
      </c>
      <c r="B2">
        <v>-0.96099999999999997</v>
      </c>
      <c r="C2">
        <v>0.42699999999999999</v>
      </c>
      <c r="D2">
        <f>$B2</f>
        <v>-0.96099999999999997</v>
      </c>
      <c r="E2">
        <f>$C2</f>
        <v>0.42699999999999999</v>
      </c>
    </row>
    <row r="3" spans="1:5" x14ac:dyDescent="0.25">
      <c r="A3" t="s">
        <v>172</v>
      </c>
      <c r="B3">
        <v>-0.376</v>
      </c>
      <c r="C3">
        <v>0.17399999999999999</v>
      </c>
      <c r="D3">
        <f t="shared" ref="D3:D9" si="0">$B3</f>
        <v>-0.376</v>
      </c>
      <c r="E3">
        <f t="shared" ref="E3:E9" si="1">$C3</f>
        <v>0.17399999999999999</v>
      </c>
    </row>
    <row r="4" spans="1:5" x14ac:dyDescent="0.25">
      <c r="A4" t="s">
        <v>141</v>
      </c>
      <c r="B4">
        <v>-0.498</v>
      </c>
      <c r="C4">
        <v>0.41199999999999998</v>
      </c>
      <c r="D4">
        <f t="shared" si="0"/>
        <v>-0.498</v>
      </c>
      <c r="E4">
        <f t="shared" si="1"/>
        <v>0.41199999999999998</v>
      </c>
    </row>
    <row r="5" spans="1:5" x14ac:dyDescent="0.25">
      <c r="A5" t="s">
        <v>173</v>
      </c>
      <c r="B5">
        <v>-0.58699999999999997</v>
      </c>
      <c r="C5">
        <v>0.26300000000000001</v>
      </c>
      <c r="D5">
        <f t="shared" si="0"/>
        <v>-0.58699999999999997</v>
      </c>
      <c r="E5">
        <f t="shared" si="1"/>
        <v>0.26300000000000001</v>
      </c>
    </row>
    <row r="6" spans="1:5" x14ac:dyDescent="0.25">
      <c r="A6" t="s">
        <v>140</v>
      </c>
      <c r="B6">
        <v>-0.629</v>
      </c>
      <c r="C6">
        <v>0.311</v>
      </c>
      <c r="D6">
        <f t="shared" si="0"/>
        <v>-0.629</v>
      </c>
      <c r="E6">
        <f t="shared" si="1"/>
        <v>0.311</v>
      </c>
    </row>
    <row r="7" spans="1:5" x14ac:dyDescent="0.25">
      <c r="A7" t="s">
        <v>148</v>
      </c>
      <c r="B7">
        <v>-0.17299999999999999</v>
      </c>
      <c r="C7">
        <v>0.40300000000000002</v>
      </c>
      <c r="D7">
        <f t="shared" si="0"/>
        <v>-0.17299999999999999</v>
      </c>
      <c r="E7">
        <f t="shared" si="1"/>
        <v>0.40300000000000002</v>
      </c>
    </row>
    <row r="8" spans="1:5" x14ac:dyDescent="0.25">
      <c r="A8" t="s">
        <v>174</v>
      </c>
      <c r="B8">
        <v>-0.04</v>
      </c>
      <c r="C8">
        <v>0.35499999999999998</v>
      </c>
      <c r="D8">
        <f t="shared" si="0"/>
        <v>-0.04</v>
      </c>
      <c r="E8">
        <f t="shared" si="1"/>
        <v>0.35499999999999998</v>
      </c>
    </row>
    <row r="9" spans="1:5" x14ac:dyDescent="0.25">
      <c r="A9" t="s">
        <v>176</v>
      </c>
      <c r="B9">
        <v>-3.1E-2</v>
      </c>
      <c r="C9">
        <v>0.374</v>
      </c>
      <c r="D9">
        <f t="shared" si="0"/>
        <v>-3.1E-2</v>
      </c>
      <c r="E9">
        <f t="shared" si="1"/>
        <v>0.374</v>
      </c>
    </row>
  </sheetData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18</v>
      </c>
      <c r="C1" t="s">
        <v>47</v>
      </c>
      <c r="D1" t="s">
        <v>368</v>
      </c>
      <c r="E1" t="s">
        <v>369</v>
      </c>
    </row>
    <row r="2" spans="1:5" x14ac:dyDescent="0.25">
      <c r="A2" t="s">
        <v>177</v>
      </c>
      <c r="B2">
        <v>-0.29099999999999998</v>
      </c>
      <c r="C2">
        <v>0.36899999999999999</v>
      </c>
      <c r="D2">
        <f>$B2</f>
        <v>-0.29099999999999998</v>
      </c>
      <c r="E2">
        <f>$C2</f>
        <v>0.36899999999999999</v>
      </c>
    </row>
    <row r="3" spans="1:5" x14ac:dyDescent="0.25">
      <c r="A3" t="s">
        <v>172</v>
      </c>
      <c r="B3">
        <v>-0.99199999999999999</v>
      </c>
      <c r="C3">
        <v>0.25600000000000001</v>
      </c>
      <c r="D3">
        <f t="shared" ref="D3:D9" si="0">$B3</f>
        <v>-0.99199999999999999</v>
      </c>
      <c r="E3">
        <f t="shared" ref="E3:E9" si="1">$C3</f>
        <v>0.25600000000000001</v>
      </c>
    </row>
    <row r="4" spans="1:5" x14ac:dyDescent="0.25">
      <c r="A4" t="s">
        <v>141</v>
      </c>
      <c r="B4">
        <v>-0.30299999999999999</v>
      </c>
      <c r="C4">
        <v>0.40799999999999997</v>
      </c>
      <c r="D4">
        <f t="shared" si="0"/>
        <v>-0.30299999999999999</v>
      </c>
      <c r="E4">
        <f t="shared" si="1"/>
        <v>0.40799999999999997</v>
      </c>
    </row>
    <row r="5" spans="1:5" x14ac:dyDescent="0.25">
      <c r="A5" t="s">
        <v>178</v>
      </c>
      <c r="B5">
        <v>-0.64700000000000002</v>
      </c>
      <c r="C5">
        <v>0.54900000000000004</v>
      </c>
      <c r="D5">
        <f t="shared" si="0"/>
        <v>-0.64700000000000002</v>
      </c>
      <c r="E5">
        <f t="shared" si="1"/>
        <v>0.54900000000000004</v>
      </c>
    </row>
    <row r="6" spans="1:5" x14ac:dyDescent="0.25">
      <c r="A6" t="s">
        <v>148</v>
      </c>
      <c r="B6">
        <v>-0.22700000000000001</v>
      </c>
      <c r="C6">
        <v>0.40400000000000003</v>
      </c>
      <c r="D6">
        <f t="shared" si="0"/>
        <v>-0.22700000000000001</v>
      </c>
      <c r="E6">
        <f t="shared" si="1"/>
        <v>0.40400000000000003</v>
      </c>
    </row>
    <row r="7" spans="1:5" x14ac:dyDescent="0.25">
      <c r="A7" t="s">
        <v>179</v>
      </c>
      <c r="B7">
        <v>-0.372</v>
      </c>
      <c r="C7">
        <v>0.254</v>
      </c>
      <c r="D7">
        <f t="shared" si="0"/>
        <v>-0.372</v>
      </c>
      <c r="E7">
        <f t="shared" si="1"/>
        <v>0.254</v>
      </c>
    </row>
    <row r="8" spans="1:5" x14ac:dyDescent="0.25">
      <c r="A8" t="s">
        <v>149</v>
      </c>
      <c r="B8">
        <v>-0.85699999999999998</v>
      </c>
      <c r="C8">
        <v>0.432</v>
      </c>
      <c r="D8">
        <f t="shared" si="0"/>
        <v>-0.85699999999999998</v>
      </c>
      <c r="E8">
        <f t="shared" si="1"/>
        <v>0.432</v>
      </c>
    </row>
    <row r="9" spans="1:5" x14ac:dyDescent="0.25">
      <c r="A9" t="s">
        <v>174</v>
      </c>
      <c r="B9">
        <v>-0.67200000000000004</v>
      </c>
      <c r="C9">
        <v>0.36599999999999999</v>
      </c>
      <c r="D9">
        <f t="shared" si="0"/>
        <v>-0.67200000000000004</v>
      </c>
      <c r="E9">
        <f t="shared" si="1"/>
        <v>0.36599999999999999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48</v>
      </c>
      <c r="C1" t="s">
        <v>47</v>
      </c>
      <c r="D1" t="s">
        <v>368</v>
      </c>
      <c r="E1" t="s">
        <v>369</v>
      </c>
    </row>
    <row r="2" spans="1:5" x14ac:dyDescent="0.25">
      <c r="A2" t="s">
        <v>143</v>
      </c>
      <c r="B2">
        <v>-0.35199999999999998</v>
      </c>
      <c r="C2">
        <v>0.39</v>
      </c>
      <c r="D2">
        <f>$B2</f>
        <v>-0.35199999999999998</v>
      </c>
      <c r="E2">
        <f>$C2</f>
        <v>0.39</v>
      </c>
    </row>
    <row r="3" spans="1:5" x14ac:dyDescent="0.25">
      <c r="A3" t="s">
        <v>27</v>
      </c>
      <c r="B3">
        <v>-0.42599999999999999</v>
      </c>
      <c r="C3">
        <v>0.40699999999999997</v>
      </c>
      <c r="D3">
        <f t="shared" ref="D3:D11" si="0">$B3</f>
        <v>-0.42599999999999999</v>
      </c>
      <c r="E3">
        <f t="shared" ref="E3:E11" si="1">$C3</f>
        <v>0.40699999999999997</v>
      </c>
    </row>
    <row r="4" spans="1:5" x14ac:dyDescent="0.25">
      <c r="A4" t="s">
        <v>172</v>
      </c>
      <c r="B4">
        <v>-0.627</v>
      </c>
      <c r="C4">
        <v>0.17499999999999999</v>
      </c>
      <c r="D4">
        <f t="shared" si="0"/>
        <v>-0.627</v>
      </c>
      <c r="E4">
        <f t="shared" si="1"/>
        <v>0.17499999999999999</v>
      </c>
    </row>
    <row r="5" spans="1:5" x14ac:dyDescent="0.25">
      <c r="A5" t="s">
        <v>140</v>
      </c>
      <c r="B5">
        <v>-0.63700000000000001</v>
      </c>
      <c r="C5">
        <v>0.30399999999999999</v>
      </c>
      <c r="D5">
        <f t="shared" si="0"/>
        <v>-0.63700000000000001</v>
      </c>
      <c r="E5">
        <f t="shared" si="1"/>
        <v>0.30399999999999999</v>
      </c>
    </row>
    <row r="6" spans="1:5" x14ac:dyDescent="0.25">
      <c r="A6" t="s">
        <v>178</v>
      </c>
      <c r="B6">
        <v>-0.64600000000000002</v>
      </c>
      <c r="C6">
        <v>0.54900000000000004</v>
      </c>
      <c r="D6">
        <f t="shared" si="0"/>
        <v>-0.64600000000000002</v>
      </c>
      <c r="E6">
        <f t="shared" si="1"/>
        <v>0.54900000000000004</v>
      </c>
    </row>
    <row r="7" spans="1:5" x14ac:dyDescent="0.25">
      <c r="A7" t="s">
        <v>174</v>
      </c>
      <c r="B7">
        <v>-0.16500000000000001</v>
      </c>
      <c r="C7">
        <v>0.35599999999999998</v>
      </c>
      <c r="D7">
        <f t="shared" si="0"/>
        <v>-0.16500000000000001</v>
      </c>
      <c r="E7">
        <f t="shared" si="1"/>
        <v>0.35599999999999998</v>
      </c>
    </row>
    <row r="8" spans="1:5" x14ac:dyDescent="0.25">
      <c r="A8" t="s">
        <v>180</v>
      </c>
      <c r="B8">
        <v>-1.1599999999999999</v>
      </c>
      <c r="C8">
        <v>0.27200000000000002</v>
      </c>
      <c r="D8">
        <f t="shared" si="0"/>
        <v>-1.1599999999999999</v>
      </c>
      <c r="E8">
        <f t="shared" si="1"/>
        <v>0.27200000000000002</v>
      </c>
    </row>
    <row r="9" spans="1:5" x14ac:dyDescent="0.25">
      <c r="A9" t="s">
        <v>181</v>
      </c>
      <c r="B9">
        <v>-9.6000000000000002E-2</v>
      </c>
      <c r="C9">
        <v>0.24</v>
      </c>
      <c r="D9">
        <f t="shared" si="0"/>
        <v>-9.6000000000000002E-2</v>
      </c>
      <c r="E9">
        <f t="shared" si="1"/>
        <v>0.24</v>
      </c>
    </row>
    <row r="10" spans="1:5" x14ac:dyDescent="0.25">
      <c r="A10" t="s">
        <v>182</v>
      </c>
      <c r="B10">
        <v>-0.93799999999999994</v>
      </c>
      <c r="C10">
        <v>0.41699999999999998</v>
      </c>
      <c r="D10">
        <f t="shared" si="0"/>
        <v>-0.93799999999999994</v>
      </c>
      <c r="E10">
        <f t="shared" si="1"/>
        <v>0.41699999999999998</v>
      </c>
    </row>
    <row r="11" spans="1:5" x14ac:dyDescent="0.25">
      <c r="A11" t="s">
        <v>176</v>
      </c>
      <c r="B11">
        <v>-0.10100000000000001</v>
      </c>
      <c r="C11">
        <v>0.26400000000000001</v>
      </c>
      <c r="D11">
        <f t="shared" si="0"/>
        <v>-0.10100000000000001</v>
      </c>
      <c r="E11">
        <f t="shared" si="1"/>
        <v>0.26400000000000001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48</v>
      </c>
      <c r="C1" t="s">
        <v>184</v>
      </c>
      <c r="D1" t="s">
        <v>368</v>
      </c>
      <c r="E1" t="s">
        <v>369</v>
      </c>
    </row>
    <row r="2" spans="1:5" x14ac:dyDescent="0.25">
      <c r="A2" t="s">
        <v>27</v>
      </c>
      <c r="B2">
        <v>-0.42599999999999999</v>
      </c>
      <c r="C2">
        <v>0.40699999999999997</v>
      </c>
      <c r="D2">
        <f>$B2</f>
        <v>-0.42599999999999999</v>
      </c>
      <c r="E2">
        <f>$C2</f>
        <v>0.40699999999999997</v>
      </c>
    </row>
    <row r="3" spans="1:5" x14ac:dyDescent="0.25">
      <c r="A3" t="s">
        <v>172</v>
      </c>
      <c r="B3">
        <v>-0.627</v>
      </c>
      <c r="C3">
        <v>0.17499999999999999</v>
      </c>
      <c r="D3">
        <f t="shared" ref="D3:D14" si="0">$B3</f>
        <v>-0.627</v>
      </c>
      <c r="E3">
        <f t="shared" ref="E3:E14" si="1">$C3</f>
        <v>0.17499999999999999</v>
      </c>
    </row>
    <row r="4" spans="1:5" x14ac:dyDescent="0.25">
      <c r="A4" t="s">
        <v>141</v>
      </c>
      <c r="B4">
        <v>-0.375</v>
      </c>
      <c r="C4">
        <v>0.41599999999999998</v>
      </c>
      <c r="D4">
        <f t="shared" si="0"/>
        <v>-0.375</v>
      </c>
      <c r="E4">
        <f t="shared" si="1"/>
        <v>0.41599999999999998</v>
      </c>
    </row>
    <row r="5" spans="1:5" x14ac:dyDescent="0.25">
      <c r="A5" t="s">
        <v>173</v>
      </c>
      <c r="B5">
        <v>-0.73299999999999998</v>
      </c>
      <c r="C5">
        <v>0.192</v>
      </c>
      <c r="D5">
        <f t="shared" si="0"/>
        <v>-0.73299999999999998</v>
      </c>
      <c r="E5">
        <f t="shared" si="1"/>
        <v>0.192</v>
      </c>
    </row>
    <row r="6" spans="1:5" x14ac:dyDescent="0.25">
      <c r="A6" t="s">
        <v>140</v>
      </c>
      <c r="B6">
        <v>-0.63700000000000001</v>
      </c>
      <c r="C6">
        <v>0.30399999999999999</v>
      </c>
      <c r="D6">
        <f t="shared" si="0"/>
        <v>-0.63700000000000001</v>
      </c>
      <c r="E6">
        <f t="shared" si="1"/>
        <v>0.30399999999999999</v>
      </c>
    </row>
    <row r="7" spans="1:5" x14ac:dyDescent="0.25">
      <c r="A7" t="s">
        <v>178</v>
      </c>
      <c r="B7">
        <v>-0.64600000000000002</v>
      </c>
      <c r="C7">
        <v>0.54900000000000004</v>
      </c>
      <c r="D7">
        <f t="shared" si="0"/>
        <v>-0.64600000000000002</v>
      </c>
      <c r="E7">
        <f t="shared" si="1"/>
        <v>0.54900000000000004</v>
      </c>
    </row>
    <row r="8" spans="1:5" x14ac:dyDescent="0.25">
      <c r="A8" t="s">
        <v>148</v>
      </c>
      <c r="B8">
        <v>-0.81299999999999994</v>
      </c>
      <c r="C8">
        <v>0.29699999999999999</v>
      </c>
      <c r="D8">
        <f t="shared" si="0"/>
        <v>-0.81299999999999994</v>
      </c>
      <c r="E8">
        <f t="shared" si="1"/>
        <v>0.29699999999999999</v>
      </c>
    </row>
    <row r="9" spans="1:5" x14ac:dyDescent="0.25">
      <c r="A9" t="s">
        <v>183</v>
      </c>
      <c r="B9">
        <v>-0.42499999999999999</v>
      </c>
      <c r="C9">
        <v>0.254</v>
      </c>
      <c r="D9">
        <f t="shared" si="0"/>
        <v>-0.42499999999999999</v>
      </c>
      <c r="E9">
        <f t="shared" si="1"/>
        <v>0.254</v>
      </c>
    </row>
    <row r="10" spans="1:5" x14ac:dyDescent="0.25">
      <c r="A10" t="s">
        <v>149</v>
      </c>
      <c r="B10">
        <v>-0.69299999999999995</v>
      </c>
      <c r="C10">
        <v>0.45300000000000001</v>
      </c>
      <c r="D10">
        <f t="shared" si="0"/>
        <v>-0.69299999999999995</v>
      </c>
      <c r="E10">
        <f t="shared" si="1"/>
        <v>0.45300000000000001</v>
      </c>
    </row>
    <row r="11" spans="1:5" x14ac:dyDescent="0.25">
      <c r="A11" t="s">
        <v>150</v>
      </c>
      <c r="B11">
        <v>-0.32</v>
      </c>
      <c r="C11">
        <v>0.26100000000000001</v>
      </c>
      <c r="D11">
        <f t="shared" si="0"/>
        <v>-0.32</v>
      </c>
      <c r="E11">
        <f t="shared" si="1"/>
        <v>0.26100000000000001</v>
      </c>
    </row>
    <row r="12" spans="1:5" x14ac:dyDescent="0.25">
      <c r="A12" t="s">
        <v>174</v>
      </c>
      <c r="B12">
        <v>-0.16500000000000001</v>
      </c>
      <c r="C12">
        <v>0.35599999999999998</v>
      </c>
      <c r="D12">
        <f t="shared" si="0"/>
        <v>-0.16500000000000001</v>
      </c>
      <c r="E12">
        <f t="shared" si="1"/>
        <v>0.35599999999999998</v>
      </c>
    </row>
    <row r="13" spans="1:5" x14ac:dyDescent="0.25">
      <c r="A13" t="s">
        <v>180</v>
      </c>
      <c r="B13">
        <v>-1.1599999999999999</v>
      </c>
      <c r="C13">
        <v>0.27200000000000002</v>
      </c>
      <c r="D13">
        <f t="shared" si="0"/>
        <v>-1.1599999999999999</v>
      </c>
      <c r="E13">
        <f t="shared" si="1"/>
        <v>0.27200000000000002</v>
      </c>
    </row>
    <row r="14" spans="1:5" x14ac:dyDescent="0.25">
      <c r="A14" t="s">
        <v>176</v>
      </c>
      <c r="B14">
        <v>-0.10100000000000001</v>
      </c>
      <c r="C14">
        <v>0.26400000000000001</v>
      </c>
      <c r="D14">
        <f t="shared" si="0"/>
        <v>-0.10100000000000001</v>
      </c>
      <c r="E14">
        <f t="shared" si="1"/>
        <v>0.26400000000000001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18</v>
      </c>
      <c r="C1" t="s">
        <v>47</v>
      </c>
      <c r="D1" t="s">
        <v>368</v>
      </c>
      <c r="E1" t="s">
        <v>369</v>
      </c>
    </row>
    <row r="2" spans="1:5" x14ac:dyDescent="0.25">
      <c r="A2" t="s">
        <v>27</v>
      </c>
      <c r="B2">
        <v>-0.55400000000000005</v>
      </c>
      <c r="C2">
        <v>0.29099999999999998</v>
      </c>
      <c r="D2">
        <f>$B2</f>
        <v>-0.55400000000000005</v>
      </c>
      <c r="E2">
        <f>$C2</f>
        <v>0.29099999999999998</v>
      </c>
    </row>
    <row r="3" spans="1:5" x14ac:dyDescent="0.25">
      <c r="A3" t="s">
        <v>171</v>
      </c>
      <c r="B3">
        <v>-0.61399999999999999</v>
      </c>
      <c r="C3">
        <v>0.22700000000000001</v>
      </c>
      <c r="D3">
        <f t="shared" ref="D3:D19" si="0">$B3</f>
        <v>-0.61399999999999999</v>
      </c>
      <c r="E3">
        <f t="shared" ref="E3:E19" si="1">$C3</f>
        <v>0.22700000000000001</v>
      </c>
    </row>
    <row r="4" spans="1:5" x14ac:dyDescent="0.25">
      <c r="A4" t="s">
        <v>144</v>
      </c>
      <c r="B4">
        <v>-0.82699999999999996</v>
      </c>
      <c r="C4">
        <v>0.47199999999999998</v>
      </c>
      <c r="D4">
        <f t="shared" si="0"/>
        <v>-0.82699999999999996</v>
      </c>
      <c r="E4">
        <f t="shared" si="1"/>
        <v>0.47199999999999998</v>
      </c>
    </row>
    <row r="5" spans="1:5" x14ac:dyDescent="0.25">
      <c r="A5" t="s">
        <v>172</v>
      </c>
      <c r="B5">
        <v>-0.33900000000000002</v>
      </c>
      <c r="C5">
        <v>0.24299999999999999</v>
      </c>
      <c r="D5">
        <f t="shared" si="0"/>
        <v>-0.33900000000000002</v>
      </c>
      <c r="E5">
        <f t="shared" si="1"/>
        <v>0.24299999999999999</v>
      </c>
    </row>
    <row r="6" spans="1:5" x14ac:dyDescent="0.25">
      <c r="A6" t="s">
        <v>141</v>
      </c>
      <c r="B6">
        <v>-0.39300000000000002</v>
      </c>
      <c r="C6">
        <v>0.41</v>
      </c>
      <c r="D6">
        <f t="shared" si="0"/>
        <v>-0.39300000000000002</v>
      </c>
      <c r="E6">
        <f t="shared" si="1"/>
        <v>0.41</v>
      </c>
    </row>
    <row r="7" spans="1:5" x14ac:dyDescent="0.25">
      <c r="A7" t="s">
        <v>173</v>
      </c>
      <c r="B7">
        <v>-0.52200000000000002</v>
      </c>
      <c r="C7">
        <v>0.25900000000000001</v>
      </c>
      <c r="D7">
        <f t="shared" si="0"/>
        <v>-0.52200000000000002</v>
      </c>
      <c r="E7">
        <f t="shared" si="1"/>
        <v>0.25900000000000001</v>
      </c>
    </row>
    <row r="8" spans="1:5" x14ac:dyDescent="0.25">
      <c r="A8" t="s">
        <v>140</v>
      </c>
      <c r="B8">
        <v>-1.1879999999999999</v>
      </c>
      <c r="C8">
        <v>0.44900000000000001</v>
      </c>
      <c r="D8">
        <f t="shared" si="0"/>
        <v>-1.1879999999999999</v>
      </c>
      <c r="E8">
        <f t="shared" si="1"/>
        <v>0.44900000000000001</v>
      </c>
    </row>
    <row r="9" spans="1:5" x14ac:dyDescent="0.25">
      <c r="A9" t="s">
        <v>148</v>
      </c>
      <c r="B9">
        <v>-0.34599999999999997</v>
      </c>
      <c r="C9">
        <v>0.40600000000000003</v>
      </c>
      <c r="D9">
        <f t="shared" si="0"/>
        <v>-0.34599999999999997</v>
      </c>
      <c r="E9">
        <f t="shared" si="1"/>
        <v>0.40600000000000003</v>
      </c>
    </row>
    <row r="10" spans="1:5" x14ac:dyDescent="0.25">
      <c r="A10" t="s">
        <v>3</v>
      </c>
      <c r="B10">
        <v>-1.3939999999999999</v>
      </c>
      <c r="C10">
        <v>0.218</v>
      </c>
      <c r="D10">
        <f t="shared" si="0"/>
        <v>-1.3939999999999999</v>
      </c>
      <c r="E10">
        <f t="shared" si="1"/>
        <v>0.218</v>
      </c>
    </row>
    <row r="11" spans="1:5" x14ac:dyDescent="0.25">
      <c r="A11" t="s">
        <v>149</v>
      </c>
      <c r="B11">
        <v>-1.1559999999999999</v>
      </c>
      <c r="C11">
        <v>0.47699999999999998</v>
      </c>
      <c r="D11">
        <f t="shared" si="0"/>
        <v>-1.1559999999999999</v>
      </c>
      <c r="E11">
        <f t="shared" si="1"/>
        <v>0.47699999999999998</v>
      </c>
    </row>
    <row r="12" spans="1:5" x14ac:dyDescent="0.25">
      <c r="A12" t="s">
        <v>185</v>
      </c>
      <c r="B12">
        <v>-7.5999999999999998E-2</v>
      </c>
      <c r="C12">
        <v>0.34499999999999997</v>
      </c>
      <c r="D12">
        <f t="shared" si="0"/>
        <v>-7.5999999999999998E-2</v>
      </c>
      <c r="E12">
        <f t="shared" si="1"/>
        <v>0.34499999999999997</v>
      </c>
    </row>
    <row r="13" spans="1:5" x14ac:dyDescent="0.25">
      <c r="A13" t="s">
        <v>150</v>
      </c>
      <c r="B13">
        <v>-0.124</v>
      </c>
      <c r="C13">
        <v>0.39500000000000002</v>
      </c>
      <c r="D13">
        <f t="shared" si="0"/>
        <v>-0.124</v>
      </c>
      <c r="E13">
        <f t="shared" si="1"/>
        <v>0.39500000000000002</v>
      </c>
    </row>
    <row r="14" spans="1:5" x14ac:dyDescent="0.25">
      <c r="A14" t="s">
        <v>174</v>
      </c>
      <c r="B14">
        <v>-0.30399999999999999</v>
      </c>
      <c r="C14">
        <v>0.36699999999999999</v>
      </c>
      <c r="D14">
        <f t="shared" si="0"/>
        <v>-0.30399999999999999</v>
      </c>
      <c r="E14">
        <f t="shared" si="1"/>
        <v>0.36699999999999999</v>
      </c>
    </row>
    <row r="15" spans="1:5" x14ac:dyDescent="0.25">
      <c r="A15" t="s">
        <v>75</v>
      </c>
      <c r="B15">
        <v>-0.39400000000000002</v>
      </c>
      <c r="C15">
        <v>0.32100000000000001</v>
      </c>
      <c r="D15">
        <f t="shared" si="0"/>
        <v>-0.39400000000000002</v>
      </c>
      <c r="E15">
        <f t="shared" si="1"/>
        <v>0.32100000000000001</v>
      </c>
    </row>
    <row r="16" spans="1:5" x14ac:dyDescent="0.25">
      <c r="A16" t="s">
        <v>175</v>
      </c>
      <c r="B16">
        <v>-0.47599999999999998</v>
      </c>
      <c r="C16">
        <v>0.28299999999999997</v>
      </c>
      <c r="D16">
        <f t="shared" si="0"/>
        <v>-0.47599999999999998</v>
      </c>
      <c r="E16">
        <f t="shared" si="1"/>
        <v>0.28299999999999997</v>
      </c>
    </row>
    <row r="17" spans="1:5" x14ac:dyDescent="0.25">
      <c r="A17" t="s">
        <v>142</v>
      </c>
      <c r="B17">
        <v>-0.80100000000000005</v>
      </c>
      <c r="C17">
        <v>0.441</v>
      </c>
      <c r="D17">
        <f t="shared" si="0"/>
        <v>-0.80100000000000005</v>
      </c>
      <c r="E17">
        <f t="shared" si="1"/>
        <v>0.441</v>
      </c>
    </row>
    <row r="18" spans="1:5" x14ac:dyDescent="0.25">
      <c r="A18" t="s">
        <v>182</v>
      </c>
      <c r="B18">
        <v>-0.129</v>
      </c>
      <c r="C18">
        <v>0.39500000000000002</v>
      </c>
      <c r="D18">
        <f t="shared" si="0"/>
        <v>-0.129</v>
      </c>
      <c r="E18">
        <f t="shared" si="1"/>
        <v>0.39500000000000002</v>
      </c>
    </row>
    <row r="19" spans="1:5" x14ac:dyDescent="0.25">
      <c r="A19" t="s">
        <v>176</v>
      </c>
      <c r="B19">
        <v>-0.156</v>
      </c>
      <c r="C19">
        <v>0.374</v>
      </c>
      <c r="D19">
        <f t="shared" si="0"/>
        <v>-0.156</v>
      </c>
      <c r="E19">
        <f t="shared" si="1"/>
        <v>0.374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48</v>
      </c>
      <c r="C1" t="s">
        <v>47</v>
      </c>
      <c r="D1" t="s">
        <v>368</v>
      </c>
      <c r="E1" t="s">
        <v>369</v>
      </c>
    </row>
    <row r="2" spans="1:5" x14ac:dyDescent="0.25">
      <c r="A2" t="s">
        <v>27</v>
      </c>
      <c r="B2">
        <v>-0.55400000000000005</v>
      </c>
      <c r="C2">
        <v>0.29099999999999998</v>
      </c>
      <c r="D2">
        <f>$B2</f>
        <v>-0.55400000000000005</v>
      </c>
      <c r="E2">
        <f>$C2</f>
        <v>0.29099999999999998</v>
      </c>
    </row>
    <row r="3" spans="1:5" x14ac:dyDescent="0.25">
      <c r="A3" t="s">
        <v>172</v>
      </c>
      <c r="B3">
        <v>-0.33900000000000002</v>
      </c>
      <c r="C3">
        <v>0.24299999999999999</v>
      </c>
      <c r="D3">
        <f t="shared" ref="D3:D7" si="0">$B3</f>
        <v>-0.33900000000000002</v>
      </c>
      <c r="E3">
        <f t="shared" ref="E3:E7" si="1">$C3</f>
        <v>0.24299999999999999</v>
      </c>
    </row>
    <row r="4" spans="1:5" x14ac:dyDescent="0.25">
      <c r="A4" t="s">
        <v>185</v>
      </c>
      <c r="B4">
        <v>-7.5999999999999998E-2</v>
      </c>
      <c r="C4">
        <v>0.34499999999999997</v>
      </c>
      <c r="D4">
        <f t="shared" si="0"/>
        <v>-7.5999999999999998E-2</v>
      </c>
      <c r="E4">
        <f t="shared" si="1"/>
        <v>0.34499999999999997</v>
      </c>
    </row>
    <row r="5" spans="1:5" x14ac:dyDescent="0.25">
      <c r="A5" t="s">
        <v>174</v>
      </c>
      <c r="B5">
        <v>-0.30399999999999999</v>
      </c>
      <c r="C5">
        <v>0.36699999999999999</v>
      </c>
      <c r="D5">
        <f t="shared" si="0"/>
        <v>-0.30399999999999999</v>
      </c>
      <c r="E5">
        <f t="shared" si="1"/>
        <v>0.36699999999999999</v>
      </c>
    </row>
    <row r="6" spans="1:5" x14ac:dyDescent="0.25">
      <c r="A6" t="s">
        <v>182</v>
      </c>
      <c r="B6">
        <v>-0.129</v>
      </c>
      <c r="C6">
        <v>0.39500000000000002</v>
      </c>
      <c r="D6">
        <f t="shared" si="0"/>
        <v>-0.129</v>
      </c>
      <c r="E6">
        <f t="shared" si="1"/>
        <v>0.39500000000000002</v>
      </c>
    </row>
    <row r="7" spans="1:5" x14ac:dyDescent="0.25">
      <c r="A7" t="s">
        <v>176</v>
      </c>
      <c r="B7">
        <v>-0.156</v>
      </c>
      <c r="C7">
        <v>0.374</v>
      </c>
      <c r="D7">
        <f t="shared" si="0"/>
        <v>-0.156</v>
      </c>
      <c r="E7">
        <f t="shared" si="1"/>
        <v>0.374</v>
      </c>
    </row>
  </sheetData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" sqref="E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48</v>
      </c>
      <c r="C1" t="s">
        <v>47</v>
      </c>
      <c r="D1" t="s">
        <v>368</v>
      </c>
      <c r="E1" t="s">
        <v>369</v>
      </c>
    </row>
    <row r="2" spans="1:5" x14ac:dyDescent="0.25">
      <c r="A2" t="s">
        <v>27</v>
      </c>
      <c r="B2">
        <v>-0.96099999999999997</v>
      </c>
      <c r="C2">
        <v>0.42699999999999999</v>
      </c>
      <c r="D2">
        <f>$B2</f>
        <v>-0.96099999999999997</v>
      </c>
      <c r="E2">
        <f>$C2</f>
        <v>0.42699999999999999</v>
      </c>
    </row>
    <row r="3" spans="1:5" x14ac:dyDescent="0.25">
      <c r="A3" t="s">
        <v>172</v>
      </c>
      <c r="B3">
        <v>-0.376</v>
      </c>
      <c r="C3">
        <v>0.17399999999999999</v>
      </c>
      <c r="D3">
        <f t="shared" ref="D3:D7" si="0">$B3</f>
        <v>-0.376</v>
      </c>
      <c r="E3">
        <f t="shared" ref="E3:E7" si="1">$C3</f>
        <v>0.17399999999999999</v>
      </c>
    </row>
    <row r="4" spans="1:5" x14ac:dyDescent="0.25">
      <c r="A4" t="s">
        <v>140</v>
      </c>
      <c r="B4">
        <v>-0.629</v>
      </c>
      <c r="C4">
        <v>0.311</v>
      </c>
      <c r="D4">
        <f t="shared" si="0"/>
        <v>-0.629</v>
      </c>
      <c r="E4">
        <f t="shared" si="1"/>
        <v>0.311</v>
      </c>
    </row>
    <row r="5" spans="1:5" x14ac:dyDescent="0.25">
      <c r="A5" t="s">
        <v>174</v>
      </c>
      <c r="B5">
        <v>-0.04</v>
      </c>
      <c r="C5">
        <v>0.35499999999999998</v>
      </c>
      <c r="D5">
        <f t="shared" si="0"/>
        <v>-0.04</v>
      </c>
      <c r="E5">
        <f t="shared" si="1"/>
        <v>0.35499999999999998</v>
      </c>
    </row>
    <row r="6" spans="1:5" x14ac:dyDescent="0.25">
      <c r="A6" t="s">
        <v>182</v>
      </c>
      <c r="B6">
        <v>-0.17100000000000001</v>
      </c>
      <c r="C6">
        <v>0.27900000000000003</v>
      </c>
      <c r="D6">
        <f t="shared" si="0"/>
        <v>-0.17100000000000001</v>
      </c>
      <c r="E6">
        <f t="shared" si="1"/>
        <v>0.27900000000000003</v>
      </c>
    </row>
    <row r="7" spans="1:5" x14ac:dyDescent="0.25">
      <c r="A7" t="s">
        <v>176</v>
      </c>
      <c r="B7">
        <v>-3.1E-2</v>
      </c>
      <c r="C7">
        <v>0.374</v>
      </c>
      <c r="D7">
        <f t="shared" si="0"/>
        <v>-3.1E-2</v>
      </c>
      <c r="E7">
        <f t="shared" si="1"/>
        <v>0.374</v>
      </c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K1" sqref="K1:K1048576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107</v>
      </c>
      <c r="F1" t="s">
        <v>81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87</v>
      </c>
      <c r="B2">
        <v>-0.7</v>
      </c>
      <c r="C2">
        <v>-1.52</v>
      </c>
      <c r="D2">
        <v>0.11</v>
      </c>
      <c r="E2">
        <v>12</v>
      </c>
      <c r="F2">
        <v>13</v>
      </c>
      <c r="G2">
        <v>0.95</v>
      </c>
      <c r="H2">
        <f>$B2</f>
        <v>-0.7</v>
      </c>
      <c r="I2">
        <f>($E2+$F2)/($E2*$F2)+$H2^2/(2*($E2+$F2))</f>
        <v>0.17005641025641027</v>
      </c>
      <c r="J2">
        <f>SQRT($I2)</f>
        <v>0.412378964371863</v>
      </c>
    </row>
    <row r="3" spans="1:10" x14ac:dyDescent="0.25">
      <c r="A3" t="s">
        <v>186</v>
      </c>
      <c r="B3">
        <v>-0.87</v>
      </c>
      <c r="C3">
        <v>-2.08</v>
      </c>
      <c r="D3">
        <v>0.34</v>
      </c>
      <c r="E3">
        <v>6</v>
      </c>
      <c r="F3">
        <v>6</v>
      </c>
      <c r="G3">
        <v>0.95</v>
      </c>
      <c r="H3">
        <f t="shared" ref="H3:H6" si="0">$B3</f>
        <v>-0.87</v>
      </c>
      <c r="I3">
        <f t="shared" ref="I3:I7" si="1">($E3+$F3)/($E3*$F3)+$H3^2/(2*($E3+$F3))</f>
        <v>0.36487083333333331</v>
      </c>
      <c r="J3">
        <f t="shared" ref="J3:J7" si="2">SQRT($I3)</f>
        <v>0.60404539012671332</v>
      </c>
    </row>
    <row r="4" spans="1:10" x14ac:dyDescent="0.25">
      <c r="A4" t="s">
        <v>92</v>
      </c>
      <c r="B4">
        <v>-0.35</v>
      </c>
      <c r="C4">
        <v>-0.92</v>
      </c>
      <c r="D4">
        <v>0.23</v>
      </c>
      <c r="E4">
        <v>27</v>
      </c>
      <c r="F4">
        <v>21</v>
      </c>
      <c r="G4">
        <v>0.95</v>
      </c>
      <c r="H4">
        <f t="shared" si="0"/>
        <v>-0.35</v>
      </c>
      <c r="I4">
        <f t="shared" si="1"/>
        <v>8.5932126322751323E-2</v>
      </c>
      <c r="J4">
        <f t="shared" si="2"/>
        <v>0.29314181947097095</v>
      </c>
    </row>
    <row r="5" spans="1:10" x14ac:dyDescent="0.25">
      <c r="A5" t="s">
        <v>187</v>
      </c>
      <c r="B5">
        <v>-0.33</v>
      </c>
      <c r="C5">
        <v>-1.1299999999999999</v>
      </c>
      <c r="D5">
        <v>0.48</v>
      </c>
      <c r="E5">
        <v>12</v>
      </c>
      <c r="F5">
        <v>12</v>
      </c>
      <c r="G5">
        <v>0.95</v>
      </c>
      <c r="H5">
        <f t="shared" si="0"/>
        <v>-0.33</v>
      </c>
      <c r="I5">
        <f t="shared" si="1"/>
        <v>0.16893541666666667</v>
      </c>
      <c r="J5">
        <f t="shared" si="2"/>
        <v>0.41101753814973235</v>
      </c>
    </row>
    <row r="6" spans="1:10" x14ac:dyDescent="0.25">
      <c r="A6" t="s">
        <v>98</v>
      </c>
      <c r="B6">
        <v>0.31</v>
      </c>
      <c r="C6">
        <v>-0.32</v>
      </c>
      <c r="D6">
        <v>0.93</v>
      </c>
      <c r="E6">
        <v>20</v>
      </c>
      <c r="F6">
        <v>20</v>
      </c>
      <c r="G6">
        <v>0.95</v>
      </c>
      <c r="H6">
        <f t="shared" si="0"/>
        <v>0.31</v>
      </c>
      <c r="I6">
        <f t="shared" si="1"/>
        <v>0.10120125000000001</v>
      </c>
      <c r="J6">
        <f t="shared" si="2"/>
        <v>0.31812143907633766</v>
      </c>
    </row>
    <row r="7" spans="1:10" x14ac:dyDescent="0.25">
      <c r="A7" t="s">
        <v>188</v>
      </c>
      <c r="B7">
        <v>-1.36</v>
      </c>
      <c r="C7">
        <v>-2.3199999999999998</v>
      </c>
      <c r="D7">
        <v>-0.39</v>
      </c>
      <c r="E7">
        <v>11</v>
      </c>
      <c r="F7">
        <v>10</v>
      </c>
      <c r="G7">
        <v>0.95</v>
      </c>
      <c r="H7">
        <f>$B7</f>
        <v>-1.36</v>
      </c>
      <c r="I7">
        <f t="shared" si="1"/>
        <v>0.23494718614718615</v>
      </c>
      <c r="J7">
        <f t="shared" si="2"/>
        <v>0.48471350935081864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K1" sqref="K1:K1048576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33</v>
      </c>
      <c r="D1" t="s">
        <v>34</v>
      </c>
      <c r="E1" t="s">
        <v>107</v>
      </c>
      <c r="F1" t="s">
        <v>81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87</v>
      </c>
      <c r="B2">
        <v>-0.7</v>
      </c>
      <c r="C2">
        <v>-1.52</v>
      </c>
      <c r="D2">
        <v>0.11</v>
      </c>
      <c r="E2">
        <v>12</v>
      </c>
      <c r="F2">
        <v>13</v>
      </c>
      <c r="G2">
        <v>0.95</v>
      </c>
      <c r="H2">
        <f>$B2</f>
        <v>-0.7</v>
      </c>
      <c r="I2">
        <f>($E2+$F2)/($E2*$F2)+$H2^2/(2*($E2+$F2))</f>
        <v>0.17005641025641027</v>
      </c>
      <c r="J2">
        <f>SQRT($I2)</f>
        <v>0.412378964371863</v>
      </c>
    </row>
    <row r="3" spans="1:10" x14ac:dyDescent="0.25">
      <c r="A3" t="s">
        <v>186</v>
      </c>
      <c r="B3">
        <v>-1.04</v>
      </c>
      <c r="C3">
        <v>-2.2799999999999998</v>
      </c>
      <c r="D3">
        <v>0.2</v>
      </c>
      <c r="E3">
        <v>6</v>
      </c>
      <c r="F3">
        <v>6</v>
      </c>
      <c r="G3">
        <v>0.95</v>
      </c>
      <c r="H3">
        <f t="shared" ref="H3:H8" si="0">$B3</f>
        <v>-1.04</v>
      </c>
      <c r="I3">
        <f t="shared" ref="I3:I9" si="1">($E3+$F3)/($E3*$F3)+$H3^2/(2*($E3+$F3))</f>
        <v>0.37839999999999996</v>
      </c>
      <c r="J3">
        <f t="shared" ref="J3:J9" si="2">SQRT($I3)</f>
        <v>0.61514225996918792</v>
      </c>
    </row>
    <row r="4" spans="1:10" x14ac:dyDescent="0.25">
      <c r="A4" t="s">
        <v>187</v>
      </c>
      <c r="B4">
        <v>-0.59</v>
      </c>
      <c r="C4">
        <v>-1.41</v>
      </c>
      <c r="D4">
        <v>0.23</v>
      </c>
      <c r="E4">
        <v>12</v>
      </c>
      <c r="F4">
        <v>12</v>
      </c>
      <c r="G4">
        <v>0.95</v>
      </c>
      <c r="H4">
        <f t="shared" si="0"/>
        <v>-0.59</v>
      </c>
      <c r="I4">
        <f t="shared" si="1"/>
        <v>0.17391874999999998</v>
      </c>
      <c r="J4">
        <f t="shared" si="2"/>
        <v>0.4170356699372369</v>
      </c>
    </row>
    <row r="5" spans="1:10" x14ac:dyDescent="0.25">
      <c r="A5" t="s">
        <v>92</v>
      </c>
      <c r="B5">
        <v>-0.51</v>
      </c>
      <c r="C5">
        <v>-1.0900000000000001</v>
      </c>
      <c r="D5">
        <v>7.0000000000000007E-2</v>
      </c>
      <c r="E5">
        <v>27</v>
      </c>
      <c r="F5">
        <v>21</v>
      </c>
      <c r="G5">
        <v>0.95</v>
      </c>
      <c r="H5">
        <f t="shared" si="0"/>
        <v>-0.51</v>
      </c>
      <c r="I5">
        <f t="shared" si="1"/>
        <v>8.7365459656084651E-2</v>
      </c>
      <c r="J5">
        <f t="shared" si="2"/>
        <v>0.29557648698109368</v>
      </c>
    </row>
    <row r="6" spans="1:10" x14ac:dyDescent="0.25">
      <c r="A6" t="s">
        <v>111</v>
      </c>
      <c r="B6">
        <v>-0.62</v>
      </c>
      <c r="C6">
        <v>-1.55</v>
      </c>
      <c r="D6">
        <v>0.31</v>
      </c>
      <c r="E6">
        <v>10</v>
      </c>
      <c r="F6">
        <v>9</v>
      </c>
      <c r="G6">
        <v>0.95</v>
      </c>
      <c r="H6">
        <f t="shared" si="0"/>
        <v>-0.62</v>
      </c>
      <c r="I6">
        <f t="shared" si="1"/>
        <v>0.22122690058479533</v>
      </c>
      <c r="J6">
        <f t="shared" si="2"/>
        <v>0.47034763801341167</v>
      </c>
    </row>
    <row r="7" spans="1:10" x14ac:dyDescent="0.25">
      <c r="A7" t="s">
        <v>189</v>
      </c>
      <c r="B7">
        <v>-0.99</v>
      </c>
      <c r="C7">
        <v>-1.63</v>
      </c>
      <c r="D7">
        <v>-0.34</v>
      </c>
      <c r="E7">
        <v>21</v>
      </c>
      <c r="F7">
        <v>21</v>
      </c>
      <c r="G7">
        <v>0.95</v>
      </c>
      <c r="H7">
        <f>$B7</f>
        <v>-0.99</v>
      </c>
      <c r="I7">
        <f t="shared" si="1"/>
        <v>0.10690595238095238</v>
      </c>
      <c r="J7">
        <f t="shared" si="2"/>
        <v>0.3269647570931038</v>
      </c>
    </row>
    <row r="8" spans="1:10" x14ac:dyDescent="0.25">
      <c r="A8" t="s">
        <v>190</v>
      </c>
      <c r="B8">
        <v>-0.91</v>
      </c>
      <c r="C8">
        <v>-1.26</v>
      </c>
      <c r="D8">
        <v>-0.56999999999999995</v>
      </c>
      <c r="E8">
        <v>70</v>
      </c>
      <c r="F8">
        <v>70</v>
      </c>
      <c r="G8">
        <v>0.95</v>
      </c>
      <c r="H8">
        <f t="shared" si="0"/>
        <v>-0.91</v>
      </c>
      <c r="I8">
        <f t="shared" si="1"/>
        <v>3.1528928571428569E-2</v>
      </c>
      <c r="J8">
        <f t="shared" si="2"/>
        <v>0.17756387180794569</v>
      </c>
    </row>
    <row r="9" spans="1:10" x14ac:dyDescent="0.25">
      <c r="A9" t="s">
        <v>188</v>
      </c>
      <c r="B9">
        <v>-1.54</v>
      </c>
      <c r="C9">
        <v>-2.5499999999999998</v>
      </c>
      <c r="D9">
        <v>-0.54</v>
      </c>
      <c r="E9">
        <v>11</v>
      </c>
      <c r="F9">
        <v>10</v>
      </c>
      <c r="G9">
        <v>0.95</v>
      </c>
      <c r="H9">
        <f>$B9</f>
        <v>-1.54</v>
      </c>
      <c r="I9">
        <f t="shared" si="1"/>
        <v>0.24737575757575758</v>
      </c>
      <c r="J9">
        <f t="shared" si="2"/>
        <v>0.49736883454410125</v>
      </c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H1" sqref="H1:M8"/>
    </sheetView>
  </sheetViews>
  <sheetFormatPr defaultColWidth="11.42578125" defaultRowHeight="15" x14ac:dyDescent="0.25"/>
  <sheetData>
    <row r="1" spans="1:15" x14ac:dyDescent="0.25">
      <c r="A1" t="s">
        <v>19</v>
      </c>
      <c r="B1" t="s">
        <v>48</v>
      </c>
      <c r="C1" t="s">
        <v>33</v>
      </c>
      <c r="D1" t="s">
        <v>34</v>
      </c>
      <c r="E1" t="s">
        <v>196</v>
      </c>
      <c r="F1" t="s">
        <v>197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5" x14ac:dyDescent="0.25">
      <c r="A2" t="s">
        <v>132</v>
      </c>
      <c r="B2">
        <v>0.46</v>
      </c>
      <c r="C2">
        <v>-0.27</v>
      </c>
      <c r="D2">
        <v>1.18</v>
      </c>
      <c r="E2">
        <v>15</v>
      </c>
      <c r="F2">
        <v>15</v>
      </c>
      <c r="G2">
        <v>0.95</v>
      </c>
      <c r="H2">
        <f>$B2</f>
        <v>0.46</v>
      </c>
      <c r="I2">
        <f>1-3/(4*($E2+$F2-2)-1)</f>
        <v>0.97297297297297303</v>
      </c>
      <c r="J2">
        <f>$H2/$I2</f>
        <v>0.4727777777777778</v>
      </c>
      <c r="K2">
        <f>($E2+$F2)/($E2*$F2)+$J2^2/(2*($E2+$F2))</f>
        <v>0.13705864711934157</v>
      </c>
      <c r="L2">
        <f>SQRT($K2)</f>
        <v>0.3702143259239728</v>
      </c>
      <c r="M2">
        <f>SQRT($I2^2*$K2)</f>
        <v>0.36020853333143305</v>
      </c>
    </row>
    <row r="3" spans="1:15" x14ac:dyDescent="0.25">
      <c r="A3" t="s">
        <v>191</v>
      </c>
      <c r="B3">
        <v>0.08</v>
      </c>
      <c r="C3">
        <v>-0.5</v>
      </c>
      <c r="D3">
        <v>0.67</v>
      </c>
      <c r="E3">
        <v>24</v>
      </c>
      <c r="F3">
        <v>21</v>
      </c>
      <c r="G3">
        <v>0.95</v>
      </c>
      <c r="H3">
        <f t="shared" ref="H3:H8" si="0">$B3</f>
        <v>0.08</v>
      </c>
      <c r="I3">
        <f t="shared" ref="I3:I8" si="1">1-3/(4*($E3+$F3-2)-1)</f>
        <v>0.98245614035087714</v>
      </c>
      <c r="J3">
        <f t="shared" ref="J3:J8" si="2">$H3/$I3</f>
        <v>8.1428571428571433E-2</v>
      </c>
      <c r="K3">
        <f t="shared" ref="K3:K8" si="3">($E3+$F3)/($E3*$F3)+$J3^2/(2*($E3+$F3))</f>
        <v>8.9359387755102049E-2</v>
      </c>
      <c r="L3">
        <f t="shared" ref="L3:L8" si="4">SQRT($K3)</f>
        <v>0.29893040620703348</v>
      </c>
      <c r="M3">
        <f t="shared" ref="M3:M8" si="5">SQRT($I3^2*$K3)</f>
        <v>0.29368601311568204</v>
      </c>
      <c r="O3" s="1"/>
    </row>
    <row r="4" spans="1:15" x14ac:dyDescent="0.25">
      <c r="A4" t="s">
        <v>192</v>
      </c>
      <c r="B4">
        <v>0.38</v>
      </c>
      <c r="C4">
        <v>-0.15</v>
      </c>
      <c r="D4">
        <v>0.92</v>
      </c>
      <c r="E4">
        <v>27</v>
      </c>
      <c r="F4">
        <v>27</v>
      </c>
      <c r="G4">
        <v>0.95</v>
      </c>
      <c r="H4">
        <f t="shared" si="0"/>
        <v>0.38</v>
      </c>
      <c r="I4">
        <f t="shared" si="1"/>
        <v>0.98550724637681164</v>
      </c>
      <c r="J4">
        <f t="shared" si="2"/>
        <v>0.38558823529411762</v>
      </c>
      <c r="K4">
        <f t="shared" si="3"/>
        <v>7.545072488145585E-2</v>
      </c>
      <c r="L4">
        <f t="shared" si="4"/>
        <v>0.27468295338709292</v>
      </c>
      <c r="M4">
        <f t="shared" si="5"/>
        <v>0.27070204101916401</v>
      </c>
    </row>
    <row r="5" spans="1:15" x14ac:dyDescent="0.25">
      <c r="A5" t="s">
        <v>193</v>
      </c>
      <c r="B5">
        <v>-0.04</v>
      </c>
      <c r="C5">
        <v>-0.67</v>
      </c>
      <c r="D5">
        <v>0.6</v>
      </c>
      <c r="E5">
        <v>19</v>
      </c>
      <c r="F5">
        <v>19</v>
      </c>
      <c r="G5">
        <v>0.95</v>
      </c>
      <c r="H5">
        <f t="shared" si="0"/>
        <v>-0.04</v>
      </c>
      <c r="I5">
        <f t="shared" si="1"/>
        <v>0.97902097902097907</v>
      </c>
      <c r="J5">
        <f t="shared" si="2"/>
        <v>-4.0857142857142856E-2</v>
      </c>
      <c r="K5">
        <f t="shared" si="3"/>
        <v>0.10528512244897958</v>
      </c>
      <c r="L5">
        <f t="shared" si="4"/>
        <v>0.32447669014735031</v>
      </c>
      <c r="M5">
        <f t="shared" si="5"/>
        <v>0.31766948685754581</v>
      </c>
      <c r="O5" s="1"/>
    </row>
    <row r="6" spans="1:15" x14ac:dyDescent="0.25">
      <c r="A6" t="s">
        <v>194</v>
      </c>
      <c r="B6">
        <v>-0.42</v>
      </c>
      <c r="C6">
        <v>-1.42</v>
      </c>
      <c r="D6">
        <v>0.57999999999999996</v>
      </c>
      <c r="E6">
        <v>8</v>
      </c>
      <c r="F6">
        <v>8</v>
      </c>
      <c r="G6">
        <v>0.95</v>
      </c>
      <c r="H6">
        <f t="shared" si="0"/>
        <v>-0.42</v>
      </c>
      <c r="I6">
        <f t="shared" si="1"/>
        <v>0.94545454545454544</v>
      </c>
      <c r="J6">
        <f t="shared" si="2"/>
        <v>-0.44423076923076921</v>
      </c>
      <c r="K6">
        <f t="shared" si="3"/>
        <v>0.25616690551035504</v>
      </c>
      <c r="L6">
        <f t="shared" si="4"/>
        <v>0.50612933674146476</v>
      </c>
      <c r="M6">
        <f t="shared" si="5"/>
        <v>0.47852228201011215</v>
      </c>
    </row>
    <row r="7" spans="1:15" x14ac:dyDescent="0.25">
      <c r="A7" t="s">
        <v>4</v>
      </c>
      <c r="B7">
        <v>0.71</v>
      </c>
      <c r="C7">
        <v>0.22</v>
      </c>
      <c r="D7">
        <v>1.2</v>
      </c>
      <c r="E7">
        <v>34</v>
      </c>
      <c r="F7">
        <v>35</v>
      </c>
      <c r="G7">
        <v>0.95</v>
      </c>
      <c r="H7">
        <f t="shared" si="0"/>
        <v>0.71</v>
      </c>
      <c r="I7">
        <f t="shared" si="1"/>
        <v>0.9887640449438202</v>
      </c>
      <c r="J7">
        <f t="shared" si="2"/>
        <v>0.71806818181818177</v>
      </c>
      <c r="K7">
        <f t="shared" si="3"/>
        <v>6.171958395658389E-2</v>
      </c>
      <c r="L7">
        <f t="shared" si="4"/>
        <v>0.24843426486011122</v>
      </c>
      <c r="M7">
        <f t="shared" si="5"/>
        <v>0.24564286862572793</v>
      </c>
    </row>
    <row r="8" spans="1:15" x14ac:dyDescent="0.25">
      <c r="A8" t="s">
        <v>195</v>
      </c>
      <c r="B8">
        <v>0.16</v>
      </c>
      <c r="C8">
        <v>-0.28999999999999998</v>
      </c>
      <c r="D8">
        <v>0.61</v>
      </c>
      <c r="E8">
        <v>38</v>
      </c>
      <c r="F8">
        <v>38</v>
      </c>
      <c r="G8">
        <v>0.95</v>
      </c>
      <c r="H8">
        <f t="shared" si="0"/>
        <v>0.16</v>
      </c>
      <c r="I8">
        <f t="shared" si="1"/>
        <v>0.98983050847457632</v>
      </c>
      <c r="J8">
        <f t="shared" si="2"/>
        <v>0.16164383561643836</v>
      </c>
      <c r="K8">
        <f t="shared" si="3"/>
        <v>5.2803478484163113E-2</v>
      </c>
      <c r="L8">
        <f t="shared" si="4"/>
        <v>0.2297900748164792</v>
      </c>
      <c r="M8">
        <f t="shared" si="5"/>
        <v>0.22745322659800654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1.42578125" defaultRowHeight="15" x14ac:dyDescent="0.25"/>
  <sheetData>
    <row r="1" spans="1:13" x14ac:dyDescent="0.25">
      <c r="A1" t="s">
        <v>19</v>
      </c>
      <c r="B1" t="s">
        <v>48</v>
      </c>
      <c r="C1" t="s">
        <v>33</v>
      </c>
      <c r="D1" t="s">
        <v>34</v>
      </c>
      <c r="E1" t="s">
        <v>196</v>
      </c>
      <c r="F1" t="s">
        <v>197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132</v>
      </c>
      <c r="B2">
        <v>0.71</v>
      </c>
      <c r="C2">
        <v>-0.03</v>
      </c>
      <c r="D2">
        <v>1.45</v>
      </c>
      <c r="E2">
        <v>15</v>
      </c>
      <c r="F2">
        <v>15</v>
      </c>
      <c r="G2">
        <v>0.95</v>
      </c>
      <c r="H2">
        <f>$B2</f>
        <v>0.71</v>
      </c>
      <c r="I2">
        <f>1-3/(4*($E2+$F2-2)-1)</f>
        <v>0.97297297297297303</v>
      </c>
      <c r="J2">
        <f>$H2/$I2</f>
        <v>0.72972222222222216</v>
      </c>
      <c r="K2">
        <f>($E2+$F2)/($E2*$F2)+$J2^2/(2*($E2+$F2))</f>
        <v>0.14220824202674898</v>
      </c>
      <c r="L2">
        <f>SQRT($K2)</f>
        <v>0.37710508088164096</v>
      </c>
      <c r="M2">
        <f>SQRT($I2^2*$K2)</f>
        <v>0.36691305166862365</v>
      </c>
    </row>
    <row r="3" spans="1:13" x14ac:dyDescent="0.25">
      <c r="A3" t="s">
        <v>191</v>
      </c>
      <c r="B3">
        <v>0.09</v>
      </c>
      <c r="C3">
        <v>-0.52</v>
      </c>
      <c r="D3">
        <v>0.69</v>
      </c>
      <c r="E3">
        <v>24</v>
      </c>
      <c r="F3">
        <v>21</v>
      </c>
      <c r="G3">
        <v>0.95</v>
      </c>
      <c r="H3">
        <f t="shared" ref="H3:H8" si="0">$B3</f>
        <v>0.09</v>
      </c>
      <c r="I3">
        <f t="shared" ref="I3:I8" si="1">1-3/(4*($E3+$F3-2)-1)</f>
        <v>0.98245614035087714</v>
      </c>
      <c r="J3">
        <f t="shared" ref="J3:J8" si="2">$H3/$I3</f>
        <v>9.1607142857142859E-2</v>
      </c>
      <c r="K3">
        <f t="shared" ref="K3:K8" si="3">($E3+$F3)/($E3*$F3)+$J3^2/(2*($E3+$F3))</f>
        <v>8.9378957270408163E-2</v>
      </c>
      <c r="L3">
        <f t="shared" ref="L3:L8" si="4">SQRT($K3)</f>
        <v>0.29896313697579535</v>
      </c>
      <c r="M3">
        <f t="shared" ref="M3:M8" si="5">SQRT($I3^2*$K3)</f>
        <v>0.29371816966043046</v>
      </c>
    </row>
    <row r="4" spans="1:13" x14ac:dyDescent="0.25">
      <c r="A4" t="s">
        <v>192</v>
      </c>
      <c r="B4">
        <v>0.28000000000000003</v>
      </c>
      <c r="C4">
        <v>-0.36</v>
      </c>
      <c r="D4">
        <v>0.92</v>
      </c>
      <c r="E4">
        <v>27</v>
      </c>
      <c r="F4">
        <v>27</v>
      </c>
      <c r="G4">
        <v>0.95</v>
      </c>
      <c r="H4">
        <f t="shared" si="0"/>
        <v>0.28000000000000003</v>
      </c>
      <c r="I4">
        <f t="shared" si="1"/>
        <v>0.98550724637681164</v>
      </c>
      <c r="J4">
        <f t="shared" si="2"/>
        <v>0.28411764705882353</v>
      </c>
      <c r="K4">
        <f t="shared" si="3"/>
        <v>7.4821507753428163E-2</v>
      </c>
      <c r="L4">
        <f t="shared" si="4"/>
        <v>0.2735352038649288</v>
      </c>
      <c r="M4">
        <f t="shared" si="5"/>
        <v>0.26957092554804579</v>
      </c>
    </row>
    <row r="5" spans="1:13" x14ac:dyDescent="0.25">
      <c r="A5" t="s">
        <v>193</v>
      </c>
      <c r="B5">
        <v>-0.25</v>
      </c>
      <c r="C5">
        <v>-1.1000000000000001</v>
      </c>
      <c r="D5">
        <v>0.59</v>
      </c>
      <c r="E5">
        <v>19</v>
      </c>
      <c r="F5">
        <v>19</v>
      </c>
      <c r="G5">
        <v>0.95</v>
      </c>
      <c r="H5">
        <f t="shared" si="0"/>
        <v>-0.25</v>
      </c>
      <c r="I5">
        <f t="shared" si="1"/>
        <v>0.97902097902097907</v>
      </c>
      <c r="J5">
        <f t="shared" si="2"/>
        <v>-0.25535714285714284</v>
      </c>
      <c r="K5">
        <f t="shared" si="3"/>
        <v>0.10612114829484424</v>
      </c>
      <c r="L5">
        <f t="shared" si="4"/>
        <v>0.32576241080708535</v>
      </c>
      <c r="M5">
        <f t="shared" si="5"/>
        <v>0.31892823435658707</v>
      </c>
    </row>
    <row r="6" spans="1:13" x14ac:dyDescent="0.25">
      <c r="A6" t="s">
        <v>194</v>
      </c>
      <c r="B6">
        <v>-0.41</v>
      </c>
      <c r="C6">
        <v>-1.42</v>
      </c>
      <c r="D6">
        <v>0.59</v>
      </c>
      <c r="E6">
        <v>8</v>
      </c>
      <c r="F6">
        <v>8</v>
      </c>
      <c r="G6">
        <v>0.95</v>
      </c>
      <c r="H6">
        <f t="shared" si="0"/>
        <v>-0.41</v>
      </c>
      <c r="I6">
        <f t="shared" si="1"/>
        <v>0.94545454545454544</v>
      </c>
      <c r="J6">
        <f t="shared" si="2"/>
        <v>-0.43365384615384611</v>
      </c>
      <c r="K6">
        <f t="shared" si="3"/>
        <v>0.25587673932137572</v>
      </c>
      <c r="L6">
        <f t="shared" si="4"/>
        <v>0.50584260330796149</v>
      </c>
      <c r="M6">
        <f t="shared" si="5"/>
        <v>0.47825118858207272</v>
      </c>
    </row>
    <row r="7" spans="1:13" x14ac:dyDescent="0.25">
      <c r="A7" t="s">
        <v>4</v>
      </c>
      <c r="B7">
        <v>0.41</v>
      </c>
      <c r="C7">
        <v>-0.15</v>
      </c>
      <c r="D7">
        <v>0.98</v>
      </c>
      <c r="E7">
        <v>34</v>
      </c>
      <c r="F7">
        <v>35</v>
      </c>
      <c r="G7">
        <v>0.95</v>
      </c>
      <c r="H7">
        <f t="shared" si="0"/>
        <v>0.41</v>
      </c>
      <c r="I7">
        <f t="shared" si="1"/>
        <v>0.9887640449438202</v>
      </c>
      <c r="J7">
        <f t="shared" si="2"/>
        <v>0.41465909090909092</v>
      </c>
      <c r="K7">
        <f t="shared" si="3"/>
        <v>5.9229150970597548E-2</v>
      </c>
      <c r="L7">
        <f t="shared" si="4"/>
        <v>0.24337039871479346</v>
      </c>
      <c r="M7">
        <f t="shared" si="5"/>
        <v>0.24063589985282949</v>
      </c>
    </row>
    <row r="8" spans="1:13" x14ac:dyDescent="0.25">
      <c r="A8" t="s">
        <v>195</v>
      </c>
      <c r="B8">
        <v>0</v>
      </c>
      <c r="C8">
        <v>-0.44</v>
      </c>
      <c r="D8">
        <v>0.44</v>
      </c>
      <c r="E8">
        <v>38</v>
      </c>
      <c r="F8">
        <v>38</v>
      </c>
      <c r="G8">
        <v>0.95</v>
      </c>
      <c r="H8">
        <f t="shared" si="0"/>
        <v>0</v>
      </c>
      <c r="I8">
        <f t="shared" si="1"/>
        <v>0.98983050847457632</v>
      </c>
      <c r="J8">
        <f t="shared" si="2"/>
        <v>0</v>
      </c>
      <c r="K8">
        <f t="shared" si="3"/>
        <v>5.2631578947368418E-2</v>
      </c>
      <c r="L8">
        <f t="shared" si="4"/>
        <v>0.22941573387056177</v>
      </c>
      <c r="M8">
        <f t="shared" si="5"/>
        <v>0.22708269250916621</v>
      </c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H2" sqref="H2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48</v>
      </c>
      <c r="C1" t="s">
        <v>47</v>
      </c>
      <c r="D1" t="s">
        <v>169</v>
      </c>
      <c r="E1" t="s">
        <v>170</v>
      </c>
      <c r="F1" t="s">
        <v>392</v>
      </c>
      <c r="G1" t="s">
        <v>372</v>
      </c>
      <c r="H1" t="s">
        <v>368</v>
      </c>
      <c r="I1" t="s">
        <v>381</v>
      </c>
      <c r="J1" t="s">
        <v>369</v>
      </c>
    </row>
    <row r="2" spans="1:10" x14ac:dyDescent="0.25">
      <c r="A2" t="s">
        <v>198</v>
      </c>
      <c r="B2">
        <v>2.81</v>
      </c>
      <c r="C2">
        <v>1</v>
      </c>
      <c r="D2">
        <v>5</v>
      </c>
      <c r="E2">
        <v>5</v>
      </c>
      <c r="F2">
        <f>$B2</f>
        <v>2.81</v>
      </c>
      <c r="G2">
        <f>1-3/(4*($D2-1)-1)</f>
        <v>0.8</v>
      </c>
      <c r="H2">
        <f>$F2/$G2</f>
        <v>3.5124999999999997</v>
      </c>
      <c r="I2">
        <f>(1/$D2+$H2^2/(2*$D2))*(2*(1-0))</f>
        <v>2.8675312499999994</v>
      </c>
      <c r="J2">
        <f>SQRT($I2)</f>
        <v>1.693378649328023</v>
      </c>
    </row>
    <row r="3" spans="1:10" x14ac:dyDescent="0.25">
      <c r="A3" t="s">
        <v>199</v>
      </c>
      <c r="B3">
        <v>0.7</v>
      </c>
      <c r="C3">
        <v>0.31</v>
      </c>
      <c r="D3">
        <v>13</v>
      </c>
      <c r="E3">
        <v>13</v>
      </c>
      <c r="F3">
        <f t="shared" ref="F3:F7" si="0">$B3</f>
        <v>0.7</v>
      </c>
      <c r="G3">
        <f t="shared" ref="G3:G7" si="1">1-3/(4*($D3-1)-1)</f>
        <v>0.93617021276595747</v>
      </c>
      <c r="H3">
        <f t="shared" ref="H3:H7" si="2">$F3/$G3</f>
        <v>0.74772727272727268</v>
      </c>
      <c r="I3">
        <f t="shared" ref="I3:I7" si="3">(1/$D3+$H3^2/(2*$D3))*(2*(1-0))</f>
        <v>0.19685354418308965</v>
      </c>
      <c r="J3">
        <f t="shared" ref="J3:J7" si="4">SQRT($I3)</f>
        <v>0.44368180510709432</v>
      </c>
    </row>
    <row r="4" spans="1:10" x14ac:dyDescent="0.25">
      <c r="A4" t="s">
        <v>120</v>
      </c>
      <c r="B4">
        <v>0.65</v>
      </c>
      <c r="C4">
        <v>0.49</v>
      </c>
      <c r="D4">
        <v>5</v>
      </c>
      <c r="E4">
        <v>5</v>
      </c>
      <c r="F4">
        <f t="shared" si="0"/>
        <v>0.65</v>
      </c>
      <c r="G4">
        <f t="shared" si="1"/>
        <v>0.8</v>
      </c>
      <c r="H4">
        <f t="shared" si="2"/>
        <v>0.8125</v>
      </c>
      <c r="I4">
        <f t="shared" si="3"/>
        <v>0.53203124999999996</v>
      </c>
      <c r="J4">
        <f t="shared" si="4"/>
        <v>0.7294047230447579</v>
      </c>
    </row>
    <row r="5" spans="1:10" x14ac:dyDescent="0.25">
      <c r="A5" t="s">
        <v>200</v>
      </c>
      <c r="B5">
        <v>0.54</v>
      </c>
      <c r="C5">
        <v>0.44</v>
      </c>
      <c r="D5">
        <v>21</v>
      </c>
      <c r="E5">
        <v>21</v>
      </c>
      <c r="F5">
        <f t="shared" si="0"/>
        <v>0.54</v>
      </c>
      <c r="G5">
        <f t="shared" si="1"/>
        <v>0.96202531645569622</v>
      </c>
      <c r="H5">
        <f t="shared" si="2"/>
        <v>0.56131578947368421</v>
      </c>
      <c r="I5">
        <f t="shared" si="3"/>
        <v>0.11024168645297454</v>
      </c>
      <c r="J5">
        <f t="shared" si="4"/>
        <v>0.33202663515593828</v>
      </c>
    </row>
    <row r="6" spans="1:10" x14ac:dyDescent="0.25">
      <c r="A6" t="s">
        <v>135</v>
      </c>
      <c r="B6">
        <v>0.8</v>
      </c>
      <c r="C6">
        <v>0.35</v>
      </c>
      <c r="D6">
        <v>6</v>
      </c>
      <c r="E6">
        <v>6</v>
      </c>
      <c r="F6">
        <f t="shared" si="0"/>
        <v>0.8</v>
      </c>
      <c r="G6">
        <f t="shared" si="1"/>
        <v>0.84210526315789469</v>
      </c>
      <c r="H6">
        <f t="shared" si="2"/>
        <v>0.95000000000000007</v>
      </c>
      <c r="I6">
        <f t="shared" si="3"/>
        <v>0.48375000000000001</v>
      </c>
      <c r="J6">
        <f t="shared" si="4"/>
        <v>0.69552138716217782</v>
      </c>
    </row>
    <row r="7" spans="1:10" x14ac:dyDescent="0.25">
      <c r="A7" t="s">
        <v>201</v>
      </c>
      <c r="B7">
        <v>0.4</v>
      </c>
      <c r="C7">
        <v>0.33</v>
      </c>
      <c r="D7">
        <v>10</v>
      </c>
      <c r="E7">
        <v>10</v>
      </c>
      <c r="F7">
        <f t="shared" si="0"/>
        <v>0.4</v>
      </c>
      <c r="G7">
        <f t="shared" si="1"/>
        <v>0.91428571428571426</v>
      </c>
      <c r="H7">
        <f t="shared" si="2"/>
        <v>0.43750000000000006</v>
      </c>
      <c r="I7">
        <f t="shared" si="3"/>
        <v>0.21914062500000001</v>
      </c>
      <c r="J7">
        <f t="shared" si="4"/>
        <v>0.46812458277685015</v>
      </c>
    </row>
  </sheetData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H1" sqref="H1"/>
    </sheetView>
  </sheetViews>
  <sheetFormatPr defaultColWidth="11.42578125" defaultRowHeight="15" x14ac:dyDescent="0.25"/>
  <sheetData>
    <row r="1" spans="1:8" x14ac:dyDescent="0.25">
      <c r="A1" t="s">
        <v>19</v>
      </c>
      <c r="B1" t="s">
        <v>43</v>
      </c>
      <c r="C1" t="s">
        <v>210</v>
      </c>
      <c r="D1" t="s">
        <v>169</v>
      </c>
      <c r="E1" t="s">
        <v>170</v>
      </c>
      <c r="F1" t="s">
        <v>368</v>
      </c>
      <c r="G1" t="s">
        <v>381</v>
      </c>
      <c r="H1" t="s">
        <v>369</v>
      </c>
    </row>
    <row r="2" spans="1:8" x14ac:dyDescent="0.25">
      <c r="A2" t="s">
        <v>202</v>
      </c>
      <c r="B2">
        <v>0.90600000000000003</v>
      </c>
      <c r="C2">
        <v>0.17599999999999999</v>
      </c>
      <c r="D2">
        <v>16</v>
      </c>
      <c r="E2">
        <v>16</v>
      </c>
      <c r="F2">
        <f>$B2</f>
        <v>0.90600000000000003</v>
      </c>
      <c r="G2">
        <f>$C2</f>
        <v>0.17599999999999999</v>
      </c>
      <c r="H2">
        <f>SQRT($G2)</f>
        <v>0.41952353926806063</v>
      </c>
    </row>
    <row r="3" spans="1:8" x14ac:dyDescent="0.25">
      <c r="A3" t="s">
        <v>91</v>
      </c>
      <c r="B3">
        <v>2.3370000000000002</v>
      </c>
      <c r="C3">
        <v>0.33900000000000002</v>
      </c>
      <c r="D3">
        <v>22</v>
      </c>
      <c r="E3">
        <v>22</v>
      </c>
      <c r="F3">
        <f t="shared" ref="F3:F10" si="0">$B3</f>
        <v>2.3370000000000002</v>
      </c>
      <c r="G3">
        <f t="shared" ref="G3:G10" si="1">$C3</f>
        <v>0.33900000000000002</v>
      </c>
      <c r="H3">
        <f t="shared" ref="H3:H10" si="2">SQRT($G3)</f>
        <v>0.58223706512038553</v>
      </c>
    </row>
    <row r="4" spans="1:8" x14ac:dyDescent="0.25">
      <c r="A4" t="s">
        <v>203</v>
      </c>
      <c r="B4">
        <v>2.2189999999999999</v>
      </c>
      <c r="C4">
        <v>0.23100000000000001</v>
      </c>
      <c r="D4">
        <v>30</v>
      </c>
      <c r="E4">
        <v>30</v>
      </c>
      <c r="F4">
        <f t="shared" si="0"/>
        <v>2.2189999999999999</v>
      </c>
      <c r="G4">
        <f t="shared" si="1"/>
        <v>0.23100000000000001</v>
      </c>
      <c r="H4">
        <f t="shared" si="2"/>
        <v>0.48062459362791665</v>
      </c>
    </row>
    <row r="5" spans="1:8" x14ac:dyDescent="0.25">
      <c r="A5" t="s">
        <v>204</v>
      </c>
      <c r="B5">
        <v>1.7529999999999999</v>
      </c>
      <c r="C5">
        <v>0.29799999999999999</v>
      </c>
      <c r="D5">
        <v>17</v>
      </c>
      <c r="E5">
        <v>17</v>
      </c>
      <c r="F5">
        <f t="shared" si="0"/>
        <v>1.7529999999999999</v>
      </c>
      <c r="G5">
        <f t="shared" si="1"/>
        <v>0.29799999999999999</v>
      </c>
      <c r="H5">
        <f t="shared" si="2"/>
        <v>0.54589376255824718</v>
      </c>
    </row>
    <row r="6" spans="1:8" x14ac:dyDescent="0.25">
      <c r="A6" t="s">
        <v>205</v>
      </c>
      <c r="B6">
        <v>1.385</v>
      </c>
      <c r="C6">
        <v>0.19600000000000001</v>
      </c>
      <c r="D6">
        <v>20</v>
      </c>
      <c r="E6">
        <v>20</v>
      </c>
      <c r="F6">
        <f t="shared" si="0"/>
        <v>1.385</v>
      </c>
      <c r="G6">
        <f t="shared" si="1"/>
        <v>0.19600000000000001</v>
      </c>
      <c r="H6">
        <f t="shared" si="2"/>
        <v>0.44271887242357311</v>
      </c>
    </row>
    <row r="7" spans="1:8" x14ac:dyDescent="0.25">
      <c r="A7" t="s">
        <v>206</v>
      </c>
      <c r="B7">
        <v>1.94</v>
      </c>
      <c r="C7">
        <v>0.20599999999999999</v>
      </c>
      <c r="D7">
        <v>28</v>
      </c>
      <c r="E7">
        <v>28</v>
      </c>
      <c r="F7">
        <f t="shared" si="0"/>
        <v>1.94</v>
      </c>
      <c r="G7">
        <f t="shared" si="1"/>
        <v>0.20599999999999999</v>
      </c>
      <c r="H7">
        <f t="shared" si="2"/>
        <v>0.4538722287164087</v>
      </c>
    </row>
    <row r="8" spans="1:8" x14ac:dyDescent="0.25">
      <c r="A8" t="s">
        <v>207</v>
      </c>
      <c r="B8">
        <v>2.3540000000000001</v>
      </c>
      <c r="C8">
        <v>0.26900000000000002</v>
      </c>
      <c r="D8">
        <v>28</v>
      </c>
      <c r="E8">
        <v>28</v>
      </c>
      <c r="F8">
        <f t="shared" si="0"/>
        <v>2.3540000000000001</v>
      </c>
      <c r="G8">
        <f t="shared" si="1"/>
        <v>0.26900000000000002</v>
      </c>
      <c r="H8">
        <f t="shared" si="2"/>
        <v>0.51865209919559763</v>
      </c>
    </row>
    <row r="9" spans="1:8" x14ac:dyDescent="0.25">
      <c r="A9" t="s">
        <v>208</v>
      </c>
      <c r="B9">
        <v>2.2149999999999999</v>
      </c>
      <c r="C9">
        <v>0.34499999999999997</v>
      </c>
      <c r="D9">
        <v>20</v>
      </c>
      <c r="E9">
        <v>20</v>
      </c>
      <c r="F9">
        <f t="shared" si="0"/>
        <v>2.2149999999999999</v>
      </c>
      <c r="G9">
        <f t="shared" si="1"/>
        <v>0.34499999999999997</v>
      </c>
      <c r="H9">
        <f t="shared" si="2"/>
        <v>0.58736700622353655</v>
      </c>
    </row>
    <row r="10" spans="1:8" x14ac:dyDescent="0.25">
      <c r="A10" t="s">
        <v>209</v>
      </c>
      <c r="B10">
        <v>1.1200000000000001</v>
      </c>
      <c r="C10">
        <v>0.105</v>
      </c>
      <c r="D10">
        <v>31</v>
      </c>
      <c r="E10">
        <v>31</v>
      </c>
      <c r="F10">
        <f t="shared" si="0"/>
        <v>1.1200000000000001</v>
      </c>
      <c r="G10">
        <f t="shared" si="1"/>
        <v>0.105</v>
      </c>
      <c r="H10">
        <f t="shared" si="2"/>
        <v>0.32403703492039299</v>
      </c>
    </row>
  </sheetData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G2" sqref="G2"/>
    </sheetView>
  </sheetViews>
  <sheetFormatPr defaultColWidth="11.42578125" defaultRowHeight="15" x14ac:dyDescent="0.25"/>
  <sheetData>
    <row r="1" spans="1:8" x14ac:dyDescent="0.25">
      <c r="A1" t="s">
        <v>19</v>
      </c>
      <c r="B1" t="s">
        <v>43</v>
      </c>
      <c r="C1" t="s">
        <v>210</v>
      </c>
      <c r="D1" t="s">
        <v>169</v>
      </c>
      <c r="E1" t="s">
        <v>170</v>
      </c>
      <c r="F1" t="s">
        <v>368</v>
      </c>
      <c r="G1" t="s">
        <v>381</v>
      </c>
      <c r="H1" t="s">
        <v>369</v>
      </c>
    </row>
    <row r="2" spans="1:8" x14ac:dyDescent="0.25">
      <c r="A2" t="s">
        <v>202</v>
      </c>
      <c r="B2">
        <v>0.63</v>
      </c>
      <c r="C2">
        <v>0.104</v>
      </c>
      <c r="D2">
        <v>24</v>
      </c>
      <c r="E2">
        <v>24</v>
      </c>
      <c r="F2">
        <f>$B2</f>
        <v>0.63</v>
      </c>
      <c r="G2">
        <f>$C2</f>
        <v>0.104</v>
      </c>
      <c r="H2">
        <f>SQRT($G2)</f>
        <v>0.322490309931942</v>
      </c>
    </row>
    <row r="3" spans="1:8" x14ac:dyDescent="0.25">
      <c r="A3" t="s">
        <v>91</v>
      </c>
      <c r="B3">
        <v>1.659</v>
      </c>
      <c r="C3">
        <v>0.153</v>
      </c>
      <c r="D3">
        <v>31</v>
      </c>
      <c r="E3">
        <v>31</v>
      </c>
      <c r="F3">
        <f t="shared" ref="F3:F10" si="0">$B3</f>
        <v>1.659</v>
      </c>
      <c r="G3">
        <f t="shared" ref="G3:G10" si="1">$C3</f>
        <v>0.153</v>
      </c>
      <c r="H3">
        <f t="shared" ref="H3:H10" si="2">SQRT($G3)</f>
        <v>0.39115214431215894</v>
      </c>
    </row>
    <row r="4" spans="1:8" x14ac:dyDescent="0.25">
      <c r="A4" t="s">
        <v>203</v>
      </c>
      <c r="B4">
        <v>1.849</v>
      </c>
      <c r="C4">
        <v>0.151</v>
      </c>
      <c r="D4">
        <v>36</v>
      </c>
      <c r="E4">
        <v>36</v>
      </c>
      <c r="F4">
        <f t="shared" si="0"/>
        <v>1.849</v>
      </c>
      <c r="G4">
        <f t="shared" si="1"/>
        <v>0.151</v>
      </c>
      <c r="H4">
        <f t="shared" si="2"/>
        <v>0.38858718455450897</v>
      </c>
    </row>
    <row r="5" spans="1:8" x14ac:dyDescent="0.25">
      <c r="A5" t="s">
        <v>204</v>
      </c>
      <c r="B5">
        <v>1.0269999999999999</v>
      </c>
      <c r="C5">
        <v>0.105</v>
      </c>
      <c r="D5">
        <v>29</v>
      </c>
      <c r="E5">
        <v>29</v>
      </c>
      <c r="F5">
        <f t="shared" si="0"/>
        <v>1.0269999999999999</v>
      </c>
      <c r="G5">
        <f t="shared" si="1"/>
        <v>0.105</v>
      </c>
      <c r="H5">
        <f t="shared" si="2"/>
        <v>0.32403703492039299</v>
      </c>
    </row>
    <row r="6" spans="1:8" x14ac:dyDescent="0.25">
      <c r="A6" t="s">
        <v>205</v>
      </c>
      <c r="B6">
        <v>1.2589999999999999</v>
      </c>
      <c r="C6">
        <v>0.16300000000000001</v>
      </c>
      <c r="D6">
        <v>22</v>
      </c>
      <c r="E6">
        <v>22</v>
      </c>
      <c r="F6">
        <f t="shared" si="0"/>
        <v>1.2589999999999999</v>
      </c>
      <c r="G6">
        <f t="shared" si="1"/>
        <v>0.16300000000000001</v>
      </c>
      <c r="H6">
        <f t="shared" si="2"/>
        <v>0.40373258476372698</v>
      </c>
    </row>
    <row r="7" spans="1:8" x14ac:dyDescent="0.25">
      <c r="A7" t="s">
        <v>206</v>
      </c>
      <c r="B7">
        <v>1.6459999999999999</v>
      </c>
      <c r="C7">
        <v>0.14299999999999999</v>
      </c>
      <c r="D7">
        <v>33</v>
      </c>
      <c r="E7">
        <v>33</v>
      </c>
      <c r="F7">
        <f t="shared" si="0"/>
        <v>1.6459999999999999</v>
      </c>
      <c r="G7">
        <f t="shared" si="1"/>
        <v>0.14299999999999999</v>
      </c>
      <c r="H7">
        <f t="shared" si="2"/>
        <v>0.37815340802378072</v>
      </c>
    </row>
    <row r="8" spans="1:8" x14ac:dyDescent="0.25">
      <c r="A8" t="s">
        <v>207</v>
      </c>
      <c r="B8">
        <v>1.7350000000000001</v>
      </c>
      <c r="C8">
        <v>0.13200000000000001</v>
      </c>
      <c r="D8">
        <v>38</v>
      </c>
      <c r="E8">
        <v>38</v>
      </c>
      <c r="F8">
        <f t="shared" si="0"/>
        <v>1.7350000000000001</v>
      </c>
      <c r="G8">
        <f t="shared" si="1"/>
        <v>0.13200000000000001</v>
      </c>
      <c r="H8">
        <f t="shared" si="2"/>
        <v>0.36331804249169902</v>
      </c>
    </row>
    <row r="9" spans="1:8" x14ac:dyDescent="0.25">
      <c r="A9" t="s">
        <v>208</v>
      </c>
      <c r="B9">
        <v>1.343</v>
      </c>
      <c r="C9">
        <v>0.115</v>
      </c>
      <c r="D9">
        <v>33</v>
      </c>
      <c r="E9">
        <v>33</v>
      </c>
      <c r="F9">
        <f t="shared" si="0"/>
        <v>1.343</v>
      </c>
      <c r="G9">
        <f t="shared" si="1"/>
        <v>0.115</v>
      </c>
      <c r="H9">
        <f t="shared" si="2"/>
        <v>0.33911649915626341</v>
      </c>
    </row>
    <row r="10" spans="1:8" x14ac:dyDescent="0.25">
      <c r="A10" t="s">
        <v>209</v>
      </c>
      <c r="B10">
        <v>0.98799999999999999</v>
      </c>
      <c r="C10">
        <v>7.8E-2</v>
      </c>
      <c r="D10">
        <v>38</v>
      </c>
      <c r="E10">
        <v>38</v>
      </c>
      <c r="F10">
        <f t="shared" si="0"/>
        <v>0.98799999999999999</v>
      </c>
      <c r="G10">
        <f t="shared" si="1"/>
        <v>7.8E-2</v>
      </c>
      <c r="H10">
        <f t="shared" si="2"/>
        <v>0.27928480087537882</v>
      </c>
    </row>
  </sheetData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H2" sqref="H2"/>
    </sheetView>
  </sheetViews>
  <sheetFormatPr defaultColWidth="11.42578125" defaultRowHeight="15" x14ac:dyDescent="0.25"/>
  <sheetData>
    <row r="1" spans="1:8" x14ac:dyDescent="0.25">
      <c r="A1" t="s">
        <v>19</v>
      </c>
      <c r="B1" t="s">
        <v>43</v>
      </c>
      <c r="C1" t="s">
        <v>210</v>
      </c>
      <c r="D1" t="s">
        <v>169</v>
      </c>
      <c r="E1" t="s">
        <v>170</v>
      </c>
      <c r="F1" t="s">
        <v>368</v>
      </c>
      <c r="G1" t="s">
        <v>381</v>
      </c>
      <c r="H1" t="s">
        <v>369</v>
      </c>
    </row>
    <row r="2" spans="1:8" x14ac:dyDescent="0.25">
      <c r="A2" t="s">
        <v>202</v>
      </c>
      <c r="B2">
        <v>0.90600000000000003</v>
      </c>
      <c r="C2">
        <v>0.17599999999999999</v>
      </c>
      <c r="D2">
        <v>16</v>
      </c>
      <c r="E2">
        <v>16</v>
      </c>
      <c r="F2">
        <f>$B2</f>
        <v>0.90600000000000003</v>
      </c>
      <c r="G2">
        <f>$C2</f>
        <v>0.17599999999999999</v>
      </c>
      <c r="H2">
        <f>SQRT($G2)</f>
        <v>0.41952353926806063</v>
      </c>
    </row>
    <row r="3" spans="1:8" x14ac:dyDescent="0.25">
      <c r="A3" t="s">
        <v>91</v>
      </c>
      <c r="B3">
        <v>2.3370000000000002</v>
      </c>
      <c r="C3">
        <v>0.33900000000000002</v>
      </c>
      <c r="D3">
        <v>22</v>
      </c>
      <c r="E3">
        <v>22</v>
      </c>
      <c r="F3">
        <f t="shared" ref="F3:F9" si="0">$B3</f>
        <v>2.3370000000000002</v>
      </c>
      <c r="G3">
        <f t="shared" ref="G3:G9" si="1">$C3</f>
        <v>0.33900000000000002</v>
      </c>
      <c r="H3">
        <f t="shared" ref="H3:H9" si="2">SQRT($G3)</f>
        <v>0.58223706512038553</v>
      </c>
    </row>
    <row r="4" spans="1:8" x14ac:dyDescent="0.25">
      <c r="A4" t="s">
        <v>203</v>
      </c>
      <c r="B4">
        <v>2.2189999999999999</v>
      </c>
      <c r="C4">
        <v>0.23100000000000001</v>
      </c>
      <c r="D4">
        <v>30</v>
      </c>
      <c r="E4">
        <v>30</v>
      </c>
      <c r="F4">
        <f t="shared" si="0"/>
        <v>2.2189999999999999</v>
      </c>
      <c r="G4">
        <f t="shared" si="1"/>
        <v>0.23100000000000001</v>
      </c>
      <c r="H4">
        <f t="shared" si="2"/>
        <v>0.48062459362791665</v>
      </c>
    </row>
    <row r="5" spans="1:8" x14ac:dyDescent="0.25">
      <c r="A5" t="s">
        <v>204</v>
      </c>
      <c r="B5">
        <v>1.7529999999999999</v>
      </c>
      <c r="C5">
        <v>0.29799999999999999</v>
      </c>
      <c r="D5">
        <v>17</v>
      </c>
      <c r="E5">
        <v>17</v>
      </c>
      <c r="F5">
        <f t="shared" si="0"/>
        <v>1.7529999999999999</v>
      </c>
      <c r="G5">
        <f t="shared" si="1"/>
        <v>0.29799999999999999</v>
      </c>
      <c r="H5">
        <f t="shared" si="2"/>
        <v>0.54589376255824718</v>
      </c>
    </row>
    <row r="6" spans="1:8" x14ac:dyDescent="0.25">
      <c r="A6" t="s">
        <v>206</v>
      </c>
      <c r="B6">
        <v>1.94</v>
      </c>
      <c r="C6">
        <v>0.20599999999999999</v>
      </c>
      <c r="D6">
        <v>28</v>
      </c>
      <c r="E6">
        <v>28</v>
      </c>
      <c r="F6">
        <f t="shared" si="0"/>
        <v>1.94</v>
      </c>
      <c r="G6">
        <f t="shared" si="1"/>
        <v>0.20599999999999999</v>
      </c>
      <c r="H6">
        <f t="shared" si="2"/>
        <v>0.4538722287164087</v>
      </c>
    </row>
    <row r="7" spans="1:8" x14ac:dyDescent="0.25">
      <c r="A7" t="s">
        <v>207</v>
      </c>
      <c r="B7">
        <v>2.3540000000000001</v>
      </c>
      <c r="C7">
        <v>0.26900000000000002</v>
      </c>
      <c r="D7">
        <v>28</v>
      </c>
      <c r="E7">
        <v>28</v>
      </c>
      <c r="F7">
        <f t="shared" si="0"/>
        <v>2.3540000000000001</v>
      </c>
      <c r="G7">
        <f t="shared" si="1"/>
        <v>0.26900000000000002</v>
      </c>
      <c r="H7">
        <f t="shared" si="2"/>
        <v>0.51865209919559763</v>
      </c>
    </row>
    <row r="8" spans="1:8" x14ac:dyDescent="0.25">
      <c r="A8" t="s">
        <v>208</v>
      </c>
      <c r="B8">
        <v>2.2149999999999999</v>
      </c>
      <c r="C8">
        <v>0.34499999999999997</v>
      </c>
      <c r="D8">
        <v>20</v>
      </c>
      <c r="E8">
        <v>20</v>
      </c>
      <c r="F8">
        <f t="shared" si="0"/>
        <v>2.2149999999999999</v>
      </c>
      <c r="G8">
        <f t="shared" si="1"/>
        <v>0.34499999999999997</v>
      </c>
      <c r="H8">
        <f t="shared" si="2"/>
        <v>0.58736700622353655</v>
      </c>
    </row>
    <row r="9" spans="1:8" x14ac:dyDescent="0.25">
      <c r="A9" t="s">
        <v>209</v>
      </c>
      <c r="B9">
        <v>1.1200000000000001</v>
      </c>
      <c r="C9">
        <v>0.105</v>
      </c>
      <c r="D9">
        <v>31</v>
      </c>
      <c r="E9">
        <v>31</v>
      </c>
      <c r="F9">
        <f t="shared" si="0"/>
        <v>1.1200000000000001</v>
      </c>
      <c r="G9">
        <f t="shared" si="1"/>
        <v>0.105</v>
      </c>
      <c r="H9">
        <f t="shared" si="2"/>
        <v>0.32403703492039299</v>
      </c>
    </row>
  </sheetData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H2" sqref="H2"/>
    </sheetView>
  </sheetViews>
  <sheetFormatPr defaultColWidth="11.42578125" defaultRowHeight="15" x14ac:dyDescent="0.25"/>
  <sheetData>
    <row r="1" spans="1:8" x14ac:dyDescent="0.25">
      <c r="A1" t="s">
        <v>19</v>
      </c>
      <c r="B1" t="s">
        <v>43</v>
      </c>
      <c r="C1" t="s">
        <v>210</v>
      </c>
      <c r="D1" t="s">
        <v>169</v>
      </c>
      <c r="E1" t="s">
        <v>170</v>
      </c>
      <c r="F1" t="s">
        <v>368</v>
      </c>
      <c r="G1" t="s">
        <v>381</v>
      </c>
      <c r="H1" t="s">
        <v>369</v>
      </c>
    </row>
    <row r="2" spans="1:8" x14ac:dyDescent="0.25">
      <c r="A2" t="s">
        <v>202</v>
      </c>
      <c r="B2">
        <v>0.63</v>
      </c>
      <c r="C2">
        <v>0.104</v>
      </c>
      <c r="D2">
        <v>24</v>
      </c>
      <c r="E2">
        <v>24</v>
      </c>
      <c r="F2">
        <f>$B2</f>
        <v>0.63</v>
      </c>
      <c r="G2">
        <f>$C2</f>
        <v>0.104</v>
      </c>
      <c r="H2">
        <f>SQRT($G2)</f>
        <v>0.322490309931942</v>
      </c>
    </row>
    <row r="3" spans="1:8" x14ac:dyDescent="0.25">
      <c r="A3" t="s">
        <v>91</v>
      </c>
      <c r="B3">
        <v>1.659</v>
      </c>
      <c r="C3">
        <v>0.153</v>
      </c>
      <c r="D3">
        <v>31</v>
      </c>
      <c r="E3">
        <v>31</v>
      </c>
      <c r="F3">
        <f t="shared" ref="F3:F9" si="0">$B3</f>
        <v>1.659</v>
      </c>
      <c r="G3">
        <f t="shared" ref="G3:G9" si="1">$C3</f>
        <v>0.153</v>
      </c>
      <c r="H3">
        <f t="shared" ref="H3:H9" si="2">SQRT($G3)</f>
        <v>0.39115214431215894</v>
      </c>
    </row>
    <row r="4" spans="1:8" x14ac:dyDescent="0.25">
      <c r="A4" t="s">
        <v>203</v>
      </c>
      <c r="B4">
        <v>1.849</v>
      </c>
      <c r="C4">
        <v>0.151</v>
      </c>
      <c r="D4">
        <v>36</v>
      </c>
      <c r="E4">
        <v>36</v>
      </c>
      <c r="F4">
        <f t="shared" si="0"/>
        <v>1.849</v>
      </c>
      <c r="G4">
        <f t="shared" si="1"/>
        <v>0.151</v>
      </c>
      <c r="H4">
        <f t="shared" si="2"/>
        <v>0.38858718455450897</v>
      </c>
    </row>
    <row r="5" spans="1:8" x14ac:dyDescent="0.25">
      <c r="A5" t="s">
        <v>204</v>
      </c>
      <c r="B5">
        <v>1.0269999999999999</v>
      </c>
      <c r="C5">
        <v>0.105</v>
      </c>
      <c r="D5">
        <v>29</v>
      </c>
      <c r="E5">
        <v>29</v>
      </c>
      <c r="F5">
        <f t="shared" si="0"/>
        <v>1.0269999999999999</v>
      </c>
      <c r="G5">
        <f t="shared" si="1"/>
        <v>0.105</v>
      </c>
      <c r="H5">
        <f t="shared" si="2"/>
        <v>0.32403703492039299</v>
      </c>
    </row>
    <row r="6" spans="1:8" x14ac:dyDescent="0.25">
      <c r="A6" t="s">
        <v>206</v>
      </c>
      <c r="B6">
        <v>1.6459999999999999</v>
      </c>
      <c r="C6">
        <v>0.14299999999999999</v>
      </c>
      <c r="D6">
        <v>33</v>
      </c>
      <c r="E6">
        <v>33</v>
      </c>
      <c r="F6">
        <f t="shared" si="0"/>
        <v>1.6459999999999999</v>
      </c>
      <c r="G6">
        <f t="shared" si="1"/>
        <v>0.14299999999999999</v>
      </c>
      <c r="H6">
        <f t="shared" si="2"/>
        <v>0.37815340802378072</v>
      </c>
    </row>
    <row r="7" spans="1:8" x14ac:dyDescent="0.25">
      <c r="A7" t="s">
        <v>207</v>
      </c>
      <c r="B7">
        <v>1.7350000000000001</v>
      </c>
      <c r="C7">
        <v>0.13200000000000001</v>
      </c>
      <c r="D7">
        <v>38</v>
      </c>
      <c r="E7">
        <v>38</v>
      </c>
      <c r="F7">
        <f t="shared" si="0"/>
        <v>1.7350000000000001</v>
      </c>
      <c r="G7">
        <f t="shared" si="1"/>
        <v>0.13200000000000001</v>
      </c>
      <c r="H7">
        <f t="shared" si="2"/>
        <v>0.36331804249169902</v>
      </c>
    </row>
    <row r="8" spans="1:8" x14ac:dyDescent="0.25">
      <c r="A8" t="s">
        <v>208</v>
      </c>
      <c r="B8">
        <v>1.343</v>
      </c>
      <c r="C8">
        <v>0.115</v>
      </c>
      <c r="D8">
        <v>33</v>
      </c>
      <c r="E8">
        <v>33</v>
      </c>
      <c r="F8">
        <f t="shared" si="0"/>
        <v>1.343</v>
      </c>
      <c r="G8">
        <f t="shared" si="1"/>
        <v>0.115</v>
      </c>
      <c r="H8">
        <f t="shared" si="2"/>
        <v>0.33911649915626341</v>
      </c>
    </row>
    <row r="9" spans="1:8" x14ac:dyDescent="0.25">
      <c r="A9" t="s">
        <v>209</v>
      </c>
      <c r="B9">
        <v>0.98799999999999999</v>
      </c>
      <c r="C9">
        <v>7.8E-2</v>
      </c>
      <c r="D9">
        <v>38</v>
      </c>
      <c r="E9">
        <v>38</v>
      </c>
      <c r="F9">
        <f t="shared" si="0"/>
        <v>0.98799999999999999</v>
      </c>
      <c r="G9">
        <f t="shared" si="1"/>
        <v>7.8E-2</v>
      </c>
      <c r="H9">
        <f t="shared" si="2"/>
        <v>0.27928480087537882</v>
      </c>
    </row>
  </sheetData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1" sqref="H1"/>
    </sheetView>
  </sheetViews>
  <sheetFormatPr defaultColWidth="11.42578125" defaultRowHeight="15" x14ac:dyDescent="0.25"/>
  <sheetData>
    <row r="1" spans="1:8" x14ac:dyDescent="0.25">
      <c r="A1" t="s">
        <v>19</v>
      </c>
      <c r="B1" t="s">
        <v>43</v>
      </c>
      <c r="C1" t="s">
        <v>210</v>
      </c>
      <c r="D1" t="s">
        <v>169</v>
      </c>
      <c r="E1" t="s">
        <v>170</v>
      </c>
      <c r="F1" t="s">
        <v>368</v>
      </c>
      <c r="G1" t="s">
        <v>381</v>
      </c>
      <c r="H1" t="s">
        <v>369</v>
      </c>
    </row>
    <row r="2" spans="1:8" x14ac:dyDescent="0.25">
      <c r="A2" t="s">
        <v>202</v>
      </c>
      <c r="B2">
        <v>0.90600000000000003</v>
      </c>
      <c r="C2">
        <v>0.17599999999999999</v>
      </c>
      <c r="D2">
        <v>16</v>
      </c>
      <c r="E2">
        <v>16</v>
      </c>
      <c r="F2">
        <f>$B2</f>
        <v>0.90600000000000003</v>
      </c>
      <c r="G2">
        <f>$C2</f>
        <v>0.17599999999999999</v>
      </c>
      <c r="H2">
        <f>SQRT($G2)</f>
        <v>0.41952353926806063</v>
      </c>
    </row>
    <row r="3" spans="1:8" x14ac:dyDescent="0.25">
      <c r="A3" t="s">
        <v>204</v>
      </c>
      <c r="B3">
        <v>1.7529999999999999</v>
      </c>
      <c r="C3">
        <v>0.29799999999999999</v>
      </c>
      <c r="D3">
        <v>17</v>
      </c>
      <c r="E3">
        <v>17</v>
      </c>
      <c r="F3">
        <f t="shared" ref="F3:F8" si="0">$B3</f>
        <v>1.7529999999999999</v>
      </c>
      <c r="G3">
        <f t="shared" ref="G3:G8" si="1">$C3</f>
        <v>0.29799999999999999</v>
      </c>
      <c r="H3">
        <f t="shared" ref="H3:H8" si="2">SQRT($G3)</f>
        <v>0.54589376255824718</v>
      </c>
    </row>
    <row r="4" spans="1:8" x14ac:dyDescent="0.25">
      <c r="A4" t="s">
        <v>205</v>
      </c>
      <c r="B4">
        <v>1.385</v>
      </c>
      <c r="C4">
        <v>0.19600000000000001</v>
      </c>
      <c r="D4">
        <v>20</v>
      </c>
      <c r="E4">
        <v>20</v>
      </c>
      <c r="F4">
        <f t="shared" si="0"/>
        <v>1.385</v>
      </c>
      <c r="G4">
        <f t="shared" si="1"/>
        <v>0.19600000000000001</v>
      </c>
      <c r="H4">
        <f t="shared" si="2"/>
        <v>0.44271887242357311</v>
      </c>
    </row>
    <row r="5" spans="1:8" x14ac:dyDescent="0.25">
      <c r="A5" t="s">
        <v>206</v>
      </c>
      <c r="B5">
        <v>1.94</v>
      </c>
      <c r="C5">
        <v>0.20599999999999999</v>
      </c>
      <c r="D5">
        <v>28</v>
      </c>
      <c r="E5">
        <v>28</v>
      </c>
      <c r="F5">
        <f t="shared" si="0"/>
        <v>1.94</v>
      </c>
      <c r="G5">
        <f t="shared" si="1"/>
        <v>0.20599999999999999</v>
      </c>
      <c r="H5">
        <f t="shared" si="2"/>
        <v>0.4538722287164087</v>
      </c>
    </row>
    <row r="6" spans="1:8" x14ac:dyDescent="0.25">
      <c r="A6" t="s">
        <v>207</v>
      </c>
      <c r="B6">
        <v>2.3540000000000001</v>
      </c>
      <c r="C6">
        <v>0.26900000000000002</v>
      </c>
      <c r="D6">
        <v>28</v>
      </c>
      <c r="E6">
        <v>28</v>
      </c>
      <c r="F6">
        <f t="shared" si="0"/>
        <v>2.3540000000000001</v>
      </c>
      <c r="G6">
        <f t="shared" si="1"/>
        <v>0.26900000000000002</v>
      </c>
      <c r="H6">
        <f t="shared" si="2"/>
        <v>0.51865209919559763</v>
      </c>
    </row>
    <row r="7" spans="1:8" x14ac:dyDescent="0.25">
      <c r="A7" t="s">
        <v>208</v>
      </c>
      <c r="B7">
        <v>2.2149999999999999</v>
      </c>
      <c r="C7">
        <v>0.34499999999999997</v>
      </c>
      <c r="D7">
        <v>20</v>
      </c>
      <c r="E7">
        <v>20</v>
      </c>
      <c r="F7">
        <f t="shared" si="0"/>
        <v>2.2149999999999999</v>
      </c>
      <c r="G7">
        <f t="shared" si="1"/>
        <v>0.34499999999999997</v>
      </c>
      <c r="H7">
        <f t="shared" si="2"/>
        <v>0.58736700622353655</v>
      </c>
    </row>
    <row r="8" spans="1:8" x14ac:dyDescent="0.25">
      <c r="A8" t="s">
        <v>209</v>
      </c>
      <c r="B8">
        <v>1.1200000000000001</v>
      </c>
      <c r="C8">
        <v>0.105</v>
      </c>
      <c r="D8">
        <v>31</v>
      </c>
      <c r="E8">
        <v>31</v>
      </c>
      <c r="F8">
        <f t="shared" si="0"/>
        <v>1.1200000000000001</v>
      </c>
      <c r="G8">
        <f t="shared" si="1"/>
        <v>0.105</v>
      </c>
      <c r="H8">
        <f t="shared" si="2"/>
        <v>0.32403703492039299</v>
      </c>
    </row>
  </sheetData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2" sqref="H2"/>
    </sheetView>
  </sheetViews>
  <sheetFormatPr defaultColWidth="11.42578125" defaultRowHeight="15" x14ac:dyDescent="0.25"/>
  <sheetData>
    <row r="1" spans="1:8" x14ac:dyDescent="0.25">
      <c r="A1" t="s">
        <v>19</v>
      </c>
      <c r="B1" t="s">
        <v>43</v>
      </c>
      <c r="C1" t="s">
        <v>210</v>
      </c>
      <c r="D1" t="s">
        <v>169</v>
      </c>
      <c r="E1" t="s">
        <v>170</v>
      </c>
      <c r="F1" t="s">
        <v>368</v>
      </c>
      <c r="G1" t="s">
        <v>381</v>
      </c>
      <c r="H1" t="s">
        <v>369</v>
      </c>
    </row>
    <row r="2" spans="1:8" x14ac:dyDescent="0.25">
      <c r="A2" t="s">
        <v>202</v>
      </c>
      <c r="B2">
        <v>0.63</v>
      </c>
      <c r="C2">
        <v>0.104</v>
      </c>
      <c r="D2">
        <v>24</v>
      </c>
      <c r="E2">
        <v>24</v>
      </c>
      <c r="F2">
        <f>$B2</f>
        <v>0.63</v>
      </c>
      <c r="G2">
        <f>$C2</f>
        <v>0.104</v>
      </c>
      <c r="H2">
        <f>SQRT($G2)</f>
        <v>0.322490309931942</v>
      </c>
    </row>
    <row r="3" spans="1:8" x14ac:dyDescent="0.25">
      <c r="A3" t="s">
        <v>204</v>
      </c>
      <c r="B3">
        <v>1.0269999999999999</v>
      </c>
      <c r="C3">
        <v>0.105</v>
      </c>
      <c r="D3">
        <v>29</v>
      </c>
      <c r="E3">
        <v>29</v>
      </c>
      <c r="F3">
        <f t="shared" ref="F3:F8" si="0">$B3</f>
        <v>1.0269999999999999</v>
      </c>
      <c r="G3">
        <f t="shared" ref="G3:G8" si="1">$C3</f>
        <v>0.105</v>
      </c>
      <c r="H3">
        <f t="shared" ref="H3:H8" si="2">SQRT($G3)</f>
        <v>0.32403703492039299</v>
      </c>
    </row>
    <row r="4" spans="1:8" x14ac:dyDescent="0.25">
      <c r="A4" t="s">
        <v>205</v>
      </c>
      <c r="B4">
        <v>1.2589999999999999</v>
      </c>
      <c r="C4">
        <v>0.16300000000000001</v>
      </c>
      <c r="D4">
        <v>22</v>
      </c>
      <c r="E4">
        <v>22</v>
      </c>
      <c r="F4">
        <f t="shared" si="0"/>
        <v>1.2589999999999999</v>
      </c>
      <c r="G4">
        <f t="shared" si="1"/>
        <v>0.16300000000000001</v>
      </c>
      <c r="H4">
        <f t="shared" si="2"/>
        <v>0.40373258476372698</v>
      </c>
    </row>
    <row r="5" spans="1:8" x14ac:dyDescent="0.25">
      <c r="A5" t="s">
        <v>206</v>
      </c>
      <c r="B5">
        <v>1.6459999999999999</v>
      </c>
      <c r="C5">
        <v>0.14299999999999999</v>
      </c>
      <c r="D5">
        <v>33</v>
      </c>
      <c r="E5">
        <v>33</v>
      </c>
      <c r="F5">
        <f t="shared" si="0"/>
        <v>1.6459999999999999</v>
      </c>
      <c r="G5">
        <f t="shared" si="1"/>
        <v>0.14299999999999999</v>
      </c>
      <c r="H5">
        <f t="shared" si="2"/>
        <v>0.37815340802378072</v>
      </c>
    </row>
    <row r="6" spans="1:8" x14ac:dyDescent="0.25">
      <c r="A6" t="s">
        <v>207</v>
      </c>
      <c r="B6">
        <v>1.7350000000000001</v>
      </c>
      <c r="C6">
        <v>0.13200000000000001</v>
      </c>
      <c r="D6">
        <v>38</v>
      </c>
      <c r="E6">
        <v>38</v>
      </c>
      <c r="F6">
        <f t="shared" si="0"/>
        <v>1.7350000000000001</v>
      </c>
      <c r="G6">
        <f t="shared" si="1"/>
        <v>0.13200000000000001</v>
      </c>
      <c r="H6">
        <f t="shared" si="2"/>
        <v>0.36331804249169902</v>
      </c>
    </row>
    <row r="7" spans="1:8" x14ac:dyDescent="0.25">
      <c r="A7" t="s">
        <v>208</v>
      </c>
      <c r="B7">
        <v>1.343</v>
      </c>
      <c r="C7">
        <v>0.115</v>
      </c>
      <c r="D7">
        <v>33</v>
      </c>
      <c r="E7">
        <v>33</v>
      </c>
      <c r="F7">
        <f t="shared" si="0"/>
        <v>1.343</v>
      </c>
      <c r="G7">
        <f t="shared" si="1"/>
        <v>0.115</v>
      </c>
      <c r="H7">
        <f t="shared" si="2"/>
        <v>0.33911649915626341</v>
      </c>
    </row>
    <row r="8" spans="1:8" x14ac:dyDescent="0.25">
      <c r="A8" t="s">
        <v>209</v>
      </c>
      <c r="B8">
        <v>0.98799999999999999</v>
      </c>
      <c r="C8">
        <v>7.8E-2</v>
      </c>
      <c r="D8">
        <v>38</v>
      </c>
      <c r="E8">
        <v>38</v>
      </c>
      <c r="F8">
        <f t="shared" si="0"/>
        <v>0.98799999999999999</v>
      </c>
      <c r="G8">
        <f t="shared" si="1"/>
        <v>7.8E-2</v>
      </c>
      <c r="H8">
        <f t="shared" si="2"/>
        <v>0.27928480087537882</v>
      </c>
    </row>
  </sheetData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1" sqref="H1"/>
    </sheetView>
  </sheetViews>
  <sheetFormatPr defaultColWidth="11.42578125" defaultRowHeight="15" x14ac:dyDescent="0.25"/>
  <sheetData>
    <row r="1" spans="1:8" x14ac:dyDescent="0.25">
      <c r="A1" t="s">
        <v>19</v>
      </c>
      <c r="B1" t="s">
        <v>43</v>
      </c>
      <c r="C1" t="s">
        <v>210</v>
      </c>
      <c r="D1" t="s">
        <v>169</v>
      </c>
      <c r="E1" t="s">
        <v>170</v>
      </c>
      <c r="F1" t="s">
        <v>368</v>
      </c>
      <c r="G1" t="s">
        <v>381</v>
      </c>
      <c r="H1" t="s">
        <v>369</v>
      </c>
    </row>
    <row r="2" spans="1:8" x14ac:dyDescent="0.25">
      <c r="A2" t="s">
        <v>202</v>
      </c>
      <c r="B2">
        <v>0.90600000000000003</v>
      </c>
      <c r="C2">
        <v>0.17599999999999999</v>
      </c>
      <c r="D2">
        <v>16</v>
      </c>
      <c r="E2">
        <v>16</v>
      </c>
      <c r="F2">
        <f>$B2</f>
        <v>0.90600000000000003</v>
      </c>
      <c r="G2">
        <f>$C2</f>
        <v>0.17599999999999999</v>
      </c>
      <c r="H2">
        <f>SQRT($G2)</f>
        <v>0.41952353926806063</v>
      </c>
    </row>
    <row r="3" spans="1:8" x14ac:dyDescent="0.25">
      <c r="A3" t="s">
        <v>204</v>
      </c>
      <c r="B3">
        <v>1.7529999999999999</v>
      </c>
      <c r="C3">
        <v>0.29799999999999999</v>
      </c>
      <c r="D3">
        <v>17</v>
      </c>
      <c r="E3">
        <v>17</v>
      </c>
      <c r="F3">
        <f t="shared" ref="F3:F7" si="0">$B3</f>
        <v>1.7529999999999999</v>
      </c>
      <c r="G3">
        <f t="shared" ref="G3:G7" si="1">$C3</f>
        <v>0.29799999999999999</v>
      </c>
      <c r="H3">
        <f t="shared" ref="H3:H7" si="2">SQRT($G3)</f>
        <v>0.54589376255824718</v>
      </c>
    </row>
    <row r="4" spans="1:8" x14ac:dyDescent="0.25">
      <c r="A4" t="s">
        <v>206</v>
      </c>
      <c r="B4">
        <v>1.94</v>
      </c>
      <c r="C4">
        <v>0.20599999999999999</v>
      </c>
      <c r="D4">
        <v>28</v>
      </c>
      <c r="E4">
        <v>28</v>
      </c>
      <c r="F4">
        <f t="shared" si="0"/>
        <v>1.94</v>
      </c>
      <c r="G4">
        <f t="shared" si="1"/>
        <v>0.20599999999999999</v>
      </c>
      <c r="H4">
        <f t="shared" si="2"/>
        <v>0.4538722287164087</v>
      </c>
    </row>
    <row r="5" spans="1:8" x14ac:dyDescent="0.25">
      <c r="A5" t="s">
        <v>207</v>
      </c>
      <c r="B5">
        <v>2.3540000000000001</v>
      </c>
      <c r="C5">
        <v>0.26900000000000002</v>
      </c>
      <c r="D5">
        <v>28</v>
      </c>
      <c r="E5">
        <v>28</v>
      </c>
      <c r="F5">
        <f t="shared" si="0"/>
        <v>2.3540000000000001</v>
      </c>
      <c r="G5">
        <f t="shared" si="1"/>
        <v>0.26900000000000002</v>
      </c>
      <c r="H5">
        <f t="shared" si="2"/>
        <v>0.51865209919559763</v>
      </c>
    </row>
    <row r="6" spans="1:8" x14ac:dyDescent="0.25">
      <c r="A6" t="s">
        <v>208</v>
      </c>
      <c r="B6">
        <v>2.2149999999999999</v>
      </c>
      <c r="C6">
        <v>0.34499999999999997</v>
      </c>
      <c r="D6">
        <v>20</v>
      </c>
      <c r="E6">
        <v>20</v>
      </c>
      <c r="F6">
        <f t="shared" si="0"/>
        <v>2.2149999999999999</v>
      </c>
      <c r="G6">
        <f t="shared" si="1"/>
        <v>0.34499999999999997</v>
      </c>
      <c r="H6">
        <f t="shared" si="2"/>
        <v>0.58736700622353655</v>
      </c>
    </row>
    <row r="7" spans="1:8" x14ac:dyDescent="0.25">
      <c r="A7" t="s">
        <v>209</v>
      </c>
      <c r="B7">
        <v>1.1200000000000001</v>
      </c>
      <c r="C7">
        <v>0.105</v>
      </c>
      <c r="D7">
        <v>31</v>
      </c>
      <c r="E7">
        <v>31</v>
      </c>
      <c r="F7">
        <f t="shared" si="0"/>
        <v>1.1200000000000001</v>
      </c>
      <c r="G7">
        <f t="shared" si="1"/>
        <v>0.105</v>
      </c>
      <c r="H7">
        <f t="shared" si="2"/>
        <v>0.32403703492039299</v>
      </c>
    </row>
  </sheetData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1" sqref="H1"/>
    </sheetView>
  </sheetViews>
  <sheetFormatPr defaultColWidth="11.42578125" defaultRowHeight="15" x14ac:dyDescent="0.25"/>
  <sheetData>
    <row r="1" spans="1:8" x14ac:dyDescent="0.25">
      <c r="A1" t="s">
        <v>19</v>
      </c>
      <c r="B1" t="s">
        <v>43</v>
      </c>
      <c r="C1" t="s">
        <v>210</v>
      </c>
      <c r="D1" t="s">
        <v>169</v>
      </c>
      <c r="E1" t="s">
        <v>170</v>
      </c>
      <c r="F1" t="s">
        <v>368</v>
      </c>
      <c r="G1" t="s">
        <v>381</v>
      </c>
      <c r="H1" t="s">
        <v>369</v>
      </c>
    </row>
    <row r="2" spans="1:8" x14ac:dyDescent="0.25">
      <c r="A2" t="s">
        <v>202</v>
      </c>
      <c r="B2">
        <v>0.63</v>
      </c>
      <c r="C2">
        <v>0.104</v>
      </c>
      <c r="D2">
        <v>24</v>
      </c>
      <c r="E2">
        <v>24</v>
      </c>
      <c r="F2">
        <f>$B2</f>
        <v>0.63</v>
      </c>
      <c r="G2">
        <f>$C2</f>
        <v>0.104</v>
      </c>
      <c r="H2">
        <f>SQRT($G2)</f>
        <v>0.322490309931942</v>
      </c>
    </row>
    <row r="3" spans="1:8" x14ac:dyDescent="0.25">
      <c r="A3" t="s">
        <v>204</v>
      </c>
      <c r="B3">
        <v>1.0269999999999999</v>
      </c>
      <c r="C3">
        <v>0.105</v>
      </c>
      <c r="D3">
        <v>29</v>
      </c>
      <c r="E3">
        <v>29</v>
      </c>
      <c r="F3">
        <f t="shared" ref="F3:F7" si="0">$B3</f>
        <v>1.0269999999999999</v>
      </c>
      <c r="G3">
        <f t="shared" ref="G3:G7" si="1">$C3</f>
        <v>0.105</v>
      </c>
      <c r="H3">
        <f t="shared" ref="H3:H7" si="2">SQRT($G3)</f>
        <v>0.32403703492039299</v>
      </c>
    </row>
    <row r="4" spans="1:8" x14ac:dyDescent="0.25">
      <c r="A4" t="s">
        <v>206</v>
      </c>
      <c r="B4">
        <v>1.6459999999999999</v>
      </c>
      <c r="C4">
        <v>0.14299999999999999</v>
      </c>
      <c r="D4">
        <v>33</v>
      </c>
      <c r="E4">
        <v>33</v>
      </c>
      <c r="F4">
        <f t="shared" si="0"/>
        <v>1.6459999999999999</v>
      </c>
      <c r="G4">
        <f t="shared" si="1"/>
        <v>0.14299999999999999</v>
      </c>
      <c r="H4">
        <f t="shared" si="2"/>
        <v>0.37815340802378072</v>
      </c>
    </row>
    <row r="5" spans="1:8" x14ac:dyDescent="0.25">
      <c r="A5" t="s">
        <v>207</v>
      </c>
      <c r="B5">
        <v>1.7350000000000001</v>
      </c>
      <c r="C5">
        <v>0.13200000000000001</v>
      </c>
      <c r="D5">
        <v>38</v>
      </c>
      <c r="E5">
        <v>38</v>
      </c>
      <c r="F5">
        <f t="shared" si="0"/>
        <v>1.7350000000000001</v>
      </c>
      <c r="G5">
        <f t="shared" si="1"/>
        <v>0.13200000000000001</v>
      </c>
      <c r="H5">
        <f t="shared" si="2"/>
        <v>0.36331804249169902</v>
      </c>
    </row>
    <row r="6" spans="1:8" x14ac:dyDescent="0.25">
      <c r="A6" t="s">
        <v>208</v>
      </c>
      <c r="B6">
        <v>1.343</v>
      </c>
      <c r="C6">
        <v>0.115</v>
      </c>
      <c r="D6">
        <v>33</v>
      </c>
      <c r="E6">
        <v>33</v>
      </c>
      <c r="F6">
        <f t="shared" si="0"/>
        <v>1.343</v>
      </c>
      <c r="G6">
        <f t="shared" si="1"/>
        <v>0.115</v>
      </c>
      <c r="H6">
        <f t="shared" si="2"/>
        <v>0.33911649915626341</v>
      </c>
    </row>
    <row r="7" spans="1:8" x14ac:dyDescent="0.25">
      <c r="A7" t="s">
        <v>209</v>
      </c>
      <c r="B7">
        <v>0.98799999999999999</v>
      </c>
      <c r="C7">
        <v>7.8E-2</v>
      </c>
      <c r="D7">
        <v>38</v>
      </c>
      <c r="E7">
        <v>38</v>
      </c>
      <c r="F7">
        <f t="shared" si="0"/>
        <v>0.98799999999999999</v>
      </c>
      <c r="G7">
        <f t="shared" si="1"/>
        <v>7.8E-2</v>
      </c>
      <c r="H7">
        <f t="shared" si="2"/>
        <v>0.27928480087537882</v>
      </c>
    </row>
  </sheetData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211</v>
      </c>
      <c r="B2">
        <v>-0.46</v>
      </c>
      <c r="C2">
        <v>-1.31</v>
      </c>
      <c r="D2">
        <v>0.4</v>
      </c>
      <c r="E2">
        <v>10</v>
      </c>
      <c r="F2">
        <v>13</v>
      </c>
      <c r="G2">
        <v>0.95</v>
      </c>
      <c r="H2">
        <f>$B2</f>
        <v>-0.46</v>
      </c>
      <c r="I2">
        <f>1-3/(4*($E2+$F2-2)-1)</f>
        <v>0.96385542168674698</v>
      </c>
      <c r="J2">
        <f>$H2/$I2</f>
        <v>-0.47725000000000001</v>
      </c>
      <c r="K2">
        <f>($E2+$F2)/($E2*$F2)+$J2^2/(2*($E2+$F2))</f>
        <v>0.18187454567307693</v>
      </c>
      <c r="L2">
        <f>SQRT($K2)</f>
        <v>0.42646752006814881</v>
      </c>
      <c r="M2">
        <f>SQRT($I2^2*$K2)</f>
        <v>0.41105303139098681</v>
      </c>
    </row>
    <row r="3" spans="1:13" x14ac:dyDescent="0.25">
      <c r="A3" t="s">
        <v>212</v>
      </c>
      <c r="B3">
        <v>-1.38</v>
      </c>
      <c r="C3">
        <v>-2.4700000000000002</v>
      </c>
      <c r="D3">
        <v>-0.28999999999999998</v>
      </c>
      <c r="E3">
        <v>12</v>
      </c>
      <c r="F3">
        <v>12</v>
      </c>
      <c r="G3">
        <v>0.95</v>
      </c>
      <c r="H3">
        <f t="shared" ref="H3:H13" si="0">$B3</f>
        <v>-1.38</v>
      </c>
      <c r="I3">
        <f t="shared" ref="I3:I13" si="1">1-3/(4*($E3+$F3-2)-1)</f>
        <v>0.96551724137931039</v>
      </c>
      <c r="J3">
        <f t="shared" ref="J3:J13" si="2">$H3/$I3</f>
        <v>-1.429285714285714</v>
      </c>
      <c r="K3">
        <f t="shared" ref="K3:K13" si="3">($E3+$F3)/($E3*$F3)+$J3^2/(2*($E3+$F3))</f>
        <v>0.20922620110544216</v>
      </c>
      <c r="L3">
        <f t="shared" ref="L3:L13" si="4">SQRT($K3)</f>
        <v>0.45741250650309306</v>
      </c>
      <c r="M3">
        <f t="shared" ref="M3:M13" si="5">SQRT($I3^2*$K3)</f>
        <v>0.44163966145126232</v>
      </c>
    </row>
    <row r="4" spans="1:13" x14ac:dyDescent="0.25">
      <c r="A4" t="s">
        <v>213</v>
      </c>
      <c r="B4">
        <v>-0.12</v>
      </c>
      <c r="C4">
        <v>-1</v>
      </c>
      <c r="D4">
        <v>0.76</v>
      </c>
      <c r="E4">
        <v>10</v>
      </c>
      <c r="F4">
        <v>10</v>
      </c>
      <c r="G4">
        <v>0.95</v>
      </c>
      <c r="H4">
        <f t="shared" si="0"/>
        <v>-0.12</v>
      </c>
      <c r="I4">
        <f t="shared" si="1"/>
        <v>0.95774647887323949</v>
      </c>
      <c r="J4">
        <f t="shared" si="2"/>
        <v>-0.12529411764705881</v>
      </c>
      <c r="K4">
        <f t="shared" si="3"/>
        <v>0.20039246539792388</v>
      </c>
      <c r="L4">
        <f t="shared" si="4"/>
        <v>0.44765217010299846</v>
      </c>
      <c r="M4">
        <f t="shared" si="5"/>
        <v>0.42873728967611124</v>
      </c>
    </row>
    <row r="5" spans="1:13" x14ac:dyDescent="0.25">
      <c r="A5" t="s">
        <v>214</v>
      </c>
      <c r="B5">
        <v>-0.05</v>
      </c>
      <c r="C5">
        <v>-0.93</v>
      </c>
      <c r="D5">
        <v>0.83</v>
      </c>
      <c r="E5">
        <v>10</v>
      </c>
      <c r="F5">
        <v>10</v>
      </c>
      <c r="G5">
        <v>0.95</v>
      </c>
      <c r="H5">
        <f t="shared" si="0"/>
        <v>-0.05</v>
      </c>
      <c r="I5">
        <f t="shared" si="1"/>
        <v>0.95774647887323949</v>
      </c>
      <c r="J5">
        <f t="shared" si="2"/>
        <v>-5.2205882352941178E-2</v>
      </c>
      <c r="K5">
        <f t="shared" si="3"/>
        <v>0.20006813635380624</v>
      </c>
      <c r="L5">
        <f t="shared" si="4"/>
        <v>0.44728976777230917</v>
      </c>
      <c r="M5">
        <f t="shared" si="5"/>
        <v>0.4283902001199581</v>
      </c>
    </row>
    <row r="6" spans="1:13" x14ac:dyDescent="0.25">
      <c r="A6" t="s">
        <v>72</v>
      </c>
      <c r="B6">
        <v>-0.19</v>
      </c>
      <c r="C6">
        <v>-0.91</v>
      </c>
      <c r="D6">
        <v>0.52</v>
      </c>
      <c r="E6">
        <v>14</v>
      </c>
      <c r="F6">
        <v>31</v>
      </c>
      <c r="G6">
        <v>0.95</v>
      </c>
      <c r="H6">
        <f t="shared" si="0"/>
        <v>-0.19</v>
      </c>
      <c r="I6">
        <f t="shared" si="1"/>
        <v>0.98245614035087714</v>
      </c>
      <c r="J6">
        <f t="shared" si="2"/>
        <v>-0.19339285714285714</v>
      </c>
      <c r="K6">
        <f t="shared" si="3"/>
        <v>0.10410220035796576</v>
      </c>
      <c r="L6">
        <f t="shared" si="4"/>
        <v>0.32264872595125144</v>
      </c>
      <c r="M6">
        <f t="shared" si="5"/>
        <v>0.3169882219871944</v>
      </c>
    </row>
    <row r="7" spans="1:13" x14ac:dyDescent="0.25">
      <c r="A7" t="s">
        <v>80</v>
      </c>
      <c r="B7">
        <v>0</v>
      </c>
      <c r="C7">
        <v>-0.56000000000000005</v>
      </c>
      <c r="D7">
        <v>0.56000000000000005</v>
      </c>
      <c r="E7">
        <v>66</v>
      </c>
      <c r="F7">
        <v>21</v>
      </c>
      <c r="G7">
        <v>0.95</v>
      </c>
      <c r="H7">
        <f t="shared" si="0"/>
        <v>0</v>
      </c>
      <c r="I7">
        <f t="shared" si="1"/>
        <v>0.99115044247787609</v>
      </c>
      <c r="J7">
        <f t="shared" si="2"/>
        <v>0</v>
      </c>
      <c r="K7">
        <f t="shared" si="3"/>
        <v>6.2770562770562768E-2</v>
      </c>
      <c r="L7">
        <f t="shared" si="4"/>
        <v>0.25054054117160912</v>
      </c>
      <c r="M7">
        <f t="shared" si="5"/>
        <v>0.24832336824088691</v>
      </c>
    </row>
    <row r="8" spans="1:13" x14ac:dyDescent="0.25">
      <c r="A8" t="s">
        <v>39</v>
      </c>
      <c r="B8">
        <v>0.22</v>
      </c>
      <c r="C8">
        <v>-0.33</v>
      </c>
      <c r="D8">
        <v>0.78</v>
      </c>
      <c r="E8">
        <v>29</v>
      </c>
      <c r="F8">
        <v>22</v>
      </c>
      <c r="G8">
        <v>0.95</v>
      </c>
      <c r="H8">
        <f t="shared" si="0"/>
        <v>0.22</v>
      </c>
      <c r="I8">
        <f t="shared" si="1"/>
        <v>0.98461538461538467</v>
      </c>
      <c r="J8">
        <f t="shared" si="2"/>
        <v>0.22343749999999998</v>
      </c>
      <c r="K8">
        <f t="shared" si="3"/>
        <v>8.0426758157649325E-2</v>
      </c>
      <c r="L8">
        <f t="shared" si="4"/>
        <v>0.28359611802288359</v>
      </c>
      <c r="M8">
        <f t="shared" si="5"/>
        <v>0.27923310082253155</v>
      </c>
    </row>
    <row r="9" spans="1:13" x14ac:dyDescent="0.25">
      <c r="A9" t="s">
        <v>134</v>
      </c>
      <c r="B9">
        <v>-0.06</v>
      </c>
      <c r="C9">
        <v>-0.8</v>
      </c>
      <c r="D9">
        <v>0.68</v>
      </c>
      <c r="E9">
        <v>17</v>
      </c>
      <c r="F9">
        <v>14</v>
      </c>
      <c r="G9">
        <v>0.95</v>
      </c>
      <c r="H9">
        <f t="shared" si="0"/>
        <v>-0.06</v>
      </c>
      <c r="I9">
        <f t="shared" si="1"/>
        <v>0.97391304347826091</v>
      </c>
      <c r="J9">
        <f t="shared" si="2"/>
        <v>-6.1607142857142853E-2</v>
      </c>
      <c r="K9">
        <f t="shared" si="3"/>
        <v>0.13031331761535261</v>
      </c>
      <c r="L9">
        <f t="shared" si="4"/>
        <v>0.36098935942123367</v>
      </c>
      <c r="M9">
        <f t="shared" si="5"/>
        <v>0.35157224569720147</v>
      </c>
    </row>
    <row r="10" spans="1:13" x14ac:dyDescent="0.25">
      <c r="A10" t="s">
        <v>215</v>
      </c>
      <c r="B10">
        <v>0.02</v>
      </c>
      <c r="C10">
        <v>-0.25</v>
      </c>
      <c r="D10">
        <v>0.28000000000000003</v>
      </c>
      <c r="E10">
        <v>111</v>
      </c>
      <c r="F10">
        <v>111</v>
      </c>
      <c r="G10">
        <v>0.95</v>
      </c>
      <c r="H10">
        <f t="shared" si="0"/>
        <v>0.02</v>
      </c>
      <c r="I10">
        <f t="shared" si="1"/>
        <v>0.9965870307167235</v>
      </c>
      <c r="J10">
        <f t="shared" si="2"/>
        <v>2.0068493150684933E-2</v>
      </c>
      <c r="K10">
        <f t="shared" si="3"/>
        <v>1.8018925100039052E-2</v>
      </c>
      <c r="L10">
        <f t="shared" si="4"/>
        <v>0.13423458980471112</v>
      </c>
      <c r="M10">
        <f t="shared" si="5"/>
        <v>0.1337764512729544</v>
      </c>
    </row>
    <row r="11" spans="1:13" x14ac:dyDescent="0.25">
      <c r="A11" t="s">
        <v>173</v>
      </c>
      <c r="B11">
        <v>-0.75</v>
      </c>
      <c r="C11">
        <v>-1.29</v>
      </c>
      <c r="D11">
        <v>-0.21</v>
      </c>
      <c r="E11">
        <v>42</v>
      </c>
      <c r="F11">
        <v>43</v>
      </c>
      <c r="G11">
        <v>0.95</v>
      </c>
      <c r="H11">
        <f t="shared" si="0"/>
        <v>-0.75</v>
      </c>
      <c r="I11">
        <f t="shared" si="1"/>
        <v>0.99093655589123864</v>
      </c>
      <c r="J11">
        <f t="shared" si="2"/>
        <v>-0.75685975609756095</v>
      </c>
      <c r="K11">
        <f t="shared" si="3"/>
        <v>5.0434965353600765E-2</v>
      </c>
      <c r="L11">
        <f t="shared" si="4"/>
        <v>0.22457730373659926</v>
      </c>
      <c r="M11">
        <f t="shared" si="5"/>
        <v>0.22254185989608627</v>
      </c>
    </row>
    <row r="12" spans="1:13" x14ac:dyDescent="0.25">
      <c r="A12" t="s">
        <v>136</v>
      </c>
      <c r="B12">
        <v>-0.38</v>
      </c>
      <c r="C12">
        <v>-0.61</v>
      </c>
      <c r="D12">
        <v>-0.14000000000000001</v>
      </c>
      <c r="E12">
        <v>141</v>
      </c>
      <c r="F12">
        <v>143</v>
      </c>
      <c r="G12">
        <v>0.95</v>
      </c>
      <c r="H12">
        <f t="shared" si="0"/>
        <v>-0.38</v>
      </c>
      <c r="I12">
        <f t="shared" si="1"/>
        <v>0.99733806566104699</v>
      </c>
      <c r="J12">
        <f t="shared" si="2"/>
        <v>-0.38101423487544483</v>
      </c>
      <c r="K12">
        <f t="shared" si="3"/>
        <v>1.4340789812556222E-2</v>
      </c>
      <c r="L12">
        <f t="shared" si="4"/>
        <v>0.11975303675713707</v>
      </c>
      <c r="M12">
        <f t="shared" si="5"/>
        <v>0.11943426203639934</v>
      </c>
    </row>
    <row r="13" spans="1:13" x14ac:dyDescent="0.25">
      <c r="A13" t="s">
        <v>216</v>
      </c>
      <c r="B13">
        <v>-0.28999999999999998</v>
      </c>
      <c r="C13">
        <v>-0.71</v>
      </c>
      <c r="D13">
        <v>0.13</v>
      </c>
      <c r="E13">
        <v>44</v>
      </c>
      <c r="F13">
        <v>43</v>
      </c>
      <c r="G13">
        <v>0.95</v>
      </c>
      <c r="H13">
        <f t="shared" si="0"/>
        <v>-0.28999999999999998</v>
      </c>
      <c r="I13">
        <f t="shared" si="1"/>
        <v>0.99115044247787609</v>
      </c>
      <c r="J13">
        <f t="shared" si="2"/>
        <v>-0.29258928571428572</v>
      </c>
      <c r="K13">
        <f t="shared" si="3"/>
        <v>4.6475089497512799E-2</v>
      </c>
      <c r="L13">
        <f t="shared" si="4"/>
        <v>0.2155808189461966</v>
      </c>
      <c r="M13">
        <f t="shared" si="5"/>
        <v>0.21367302408826566</v>
      </c>
    </row>
  </sheetData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N1" sqref="N1:S1048576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5</v>
      </c>
      <c r="B2">
        <v>-0.88</v>
      </c>
      <c r="C2">
        <v>-1.44</v>
      </c>
      <c r="D2">
        <v>-0.32</v>
      </c>
      <c r="E2">
        <v>37</v>
      </c>
      <c r="F2">
        <v>36</v>
      </c>
      <c r="G2">
        <v>0.95</v>
      </c>
      <c r="H2">
        <f>$B2</f>
        <v>-0.88</v>
      </c>
      <c r="I2">
        <f>1-3/(4*($E2+$F2-2)-1)</f>
        <v>0.98939929328621912</v>
      </c>
      <c r="J2">
        <f>$H2/$I2</f>
        <v>-0.88942857142857135</v>
      </c>
      <c r="K2">
        <f>($E2+$F2)/($E2*$F2)+$J2^2/(2*($E2+$F2))</f>
        <v>6.0223182775171032E-2</v>
      </c>
      <c r="L2">
        <f>SQRT($K2)</f>
        <v>0.24540412134919623</v>
      </c>
      <c r="M2">
        <f>SQRT($I2^2*$K2)</f>
        <v>0.24280266423242031</v>
      </c>
    </row>
    <row r="3" spans="1:13" x14ac:dyDescent="0.25">
      <c r="A3" t="s">
        <v>132</v>
      </c>
      <c r="B3">
        <v>-0.68</v>
      </c>
      <c r="C3">
        <v>-1.25</v>
      </c>
      <c r="D3">
        <v>-0.11</v>
      </c>
      <c r="E3">
        <v>40</v>
      </c>
      <c r="F3">
        <v>18</v>
      </c>
      <c r="G3">
        <v>0.95</v>
      </c>
      <c r="H3">
        <f t="shared" ref="H3:H7" si="0">$B3</f>
        <v>-0.68</v>
      </c>
      <c r="I3">
        <f t="shared" ref="I3:I7" si="1">1-3/(4*($E3+$F3-2)-1)</f>
        <v>0.98654708520179368</v>
      </c>
      <c r="J3">
        <f t="shared" ref="J3:J7" si="2">$H3/$I3</f>
        <v>-0.68927272727272737</v>
      </c>
      <c r="K3">
        <f t="shared" ref="K3:K7" si="3">($E3+$F3)/($E3*$F3)+$J3^2/(2*($E3+$F3))</f>
        <v>8.4651218422469213E-2</v>
      </c>
      <c r="L3">
        <f t="shared" ref="L3:L7" si="4">SQRT($K3)</f>
        <v>0.29094882440468672</v>
      </c>
      <c r="M3">
        <f t="shared" ref="M3:M7" si="5">SQRT($I3^2*$K3)</f>
        <v>0.28703471465933217</v>
      </c>
    </row>
    <row r="4" spans="1:13" x14ac:dyDescent="0.25">
      <c r="A4" t="s">
        <v>174</v>
      </c>
      <c r="B4">
        <v>-0.45</v>
      </c>
      <c r="C4">
        <v>-1.07</v>
      </c>
      <c r="D4">
        <v>0.18</v>
      </c>
      <c r="E4">
        <v>32</v>
      </c>
      <c r="F4">
        <v>16</v>
      </c>
      <c r="G4">
        <v>0.95</v>
      </c>
      <c r="H4">
        <f t="shared" si="0"/>
        <v>-0.45</v>
      </c>
      <c r="I4">
        <f t="shared" si="1"/>
        <v>0.98360655737704916</v>
      </c>
      <c r="J4">
        <f t="shared" si="2"/>
        <v>-0.45750000000000002</v>
      </c>
      <c r="K4">
        <f t="shared" si="3"/>
        <v>9.5930273437500005E-2</v>
      </c>
      <c r="L4">
        <f t="shared" si="4"/>
        <v>0.30972612650130116</v>
      </c>
      <c r="M4">
        <f t="shared" si="5"/>
        <v>0.30464864901767325</v>
      </c>
    </row>
    <row r="5" spans="1:13" x14ac:dyDescent="0.25">
      <c r="A5" t="s">
        <v>218</v>
      </c>
      <c r="B5">
        <v>-2.23</v>
      </c>
      <c r="C5">
        <v>-3.4</v>
      </c>
      <c r="D5">
        <v>-1.06</v>
      </c>
      <c r="E5">
        <v>10</v>
      </c>
      <c r="F5">
        <v>10</v>
      </c>
      <c r="G5">
        <v>0.95</v>
      </c>
      <c r="H5">
        <f t="shared" si="0"/>
        <v>-2.23</v>
      </c>
      <c r="I5">
        <f t="shared" si="1"/>
        <v>0.95774647887323949</v>
      </c>
      <c r="J5">
        <f t="shared" si="2"/>
        <v>-2.3283823529411762</v>
      </c>
      <c r="K5">
        <f t="shared" si="3"/>
        <v>0.3355341095371972</v>
      </c>
      <c r="L5">
        <f t="shared" si="4"/>
        <v>0.57925306174175484</v>
      </c>
      <c r="M5">
        <f t="shared" si="5"/>
        <v>0.55477758025970891</v>
      </c>
    </row>
    <row r="6" spans="1:13" x14ac:dyDescent="0.25">
      <c r="A6" t="s">
        <v>75</v>
      </c>
      <c r="B6">
        <v>-0.85</v>
      </c>
      <c r="C6">
        <v>-1.5</v>
      </c>
      <c r="D6">
        <v>-0.2</v>
      </c>
      <c r="E6">
        <v>41</v>
      </c>
      <c r="F6">
        <v>19</v>
      </c>
      <c r="G6">
        <v>0.95</v>
      </c>
      <c r="H6">
        <f t="shared" si="0"/>
        <v>-0.85</v>
      </c>
      <c r="I6">
        <f t="shared" si="1"/>
        <v>0.98701298701298701</v>
      </c>
      <c r="J6">
        <f t="shared" si="2"/>
        <v>-0.86118421052631577</v>
      </c>
      <c r="K6">
        <f t="shared" si="3"/>
        <v>8.3202141553639392E-2</v>
      </c>
      <c r="L6">
        <f t="shared" si="4"/>
        <v>0.28844781426393129</v>
      </c>
      <c r="M6">
        <f t="shared" si="5"/>
        <v>0.28470173875401011</v>
      </c>
    </row>
    <row r="7" spans="1:13" x14ac:dyDescent="0.25">
      <c r="A7" t="s">
        <v>27</v>
      </c>
      <c r="B7">
        <v>-0.99</v>
      </c>
      <c r="C7">
        <v>-1.74</v>
      </c>
      <c r="D7">
        <v>-0.24</v>
      </c>
      <c r="E7">
        <v>25</v>
      </c>
      <c r="F7">
        <v>11</v>
      </c>
      <c r="G7">
        <v>0.95</v>
      </c>
      <c r="H7">
        <f t="shared" si="0"/>
        <v>-0.99</v>
      </c>
      <c r="I7">
        <f t="shared" si="1"/>
        <v>0.97777777777777775</v>
      </c>
      <c r="J7">
        <f t="shared" si="2"/>
        <v>-1.0125</v>
      </c>
      <c r="K7">
        <f t="shared" si="3"/>
        <v>0.14514737215909093</v>
      </c>
      <c r="L7">
        <f t="shared" si="4"/>
        <v>0.38098211527457682</v>
      </c>
      <c r="M7">
        <f t="shared" si="5"/>
        <v>0.37251584604625287</v>
      </c>
    </row>
  </sheetData>
  <pageMargins left="0.7" right="0.7" top="0.78740157499999996" bottom="0.78740157499999996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H1" sqref="H1:M16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5</v>
      </c>
      <c r="B2">
        <v>-0.88</v>
      </c>
      <c r="C2">
        <v>-1.44</v>
      </c>
      <c r="D2">
        <v>-0.32</v>
      </c>
      <c r="E2">
        <v>37</v>
      </c>
      <c r="F2">
        <v>36</v>
      </c>
      <c r="G2">
        <v>0.95</v>
      </c>
      <c r="H2">
        <f>$B2</f>
        <v>-0.88</v>
      </c>
      <c r="I2">
        <f>1-3/(4*($E2+$F2-2)-1)</f>
        <v>0.98939929328621912</v>
      </c>
      <c r="J2">
        <f>$H2/$I2</f>
        <v>-0.88942857142857135</v>
      </c>
      <c r="K2">
        <f>($E2+$F2)/($E2*$F2)+$J2^2/(2*($E2+$F2))</f>
        <v>6.0223182775171032E-2</v>
      </c>
      <c r="L2">
        <f>SQRT($K2)</f>
        <v>0.24540412134919623</v>
      </c>
      <c r="M2">
        <f>SQRT($I2^2*$K2)</f>
        <v>0.24280266423242031</v>
      </c>
    </row>
    <row r="3" spans="1:13" x14ac:dyDescent="0.25">
      <c r="A3" t="s">
        <v>132</v>
      </c>
      <c r="B3">
        <v>-0.68</v>
      </c>
      <c r="C3">
        <v>-1.25</v>
      </c>
      <c r="D3">
        <v>-0.11</v>
      </c>
      <c r="E3">
        <v>40</v>
      </c>
      <c r="F3">
        <v>18</v>
      </c>
      <c r="G3">
        <v>0.95</v>
      </c>
      <c r="H3">
        <f t="shared" ref="H3:H16" si="0">$B3</f>
        <v>-0.68</v>
      </c>
      <c r="I3">
        <f t="shared" ref="I3:I16" si="1">1-3/(4*($E3+$F3-2)-1)</f>
        <v>0.98654708520179368</v>
      </c>
      <c r="J3">
        <f t="shared" ref="J3:J16" si="2">$H3/$I3</f>
        <v>-0.68927272727272737</v>
      </c>
      <c r="K3">
        <f t="shared" ref="K3:K16" si="3">($E3+$F3)/($E3*$F3)+$J3^2/(2*($E3+$F3))</f>
        <v>8.4651218422469213E-2</v>
      </c>
      <c r="L3">
        <f t="shared" ref="L3:L16" si="4">SQRT($K3)</f>
        <v>0.29094882440468672</v>
      </c>
      <c r="M3">
        <f t="shared" ref="M3:M16" si="5">SQRT($I3^2*$K3)</f>
        <v>0.28703471465933217</v>
      </c>
    </row>
    <row r="4" spans="1:13" x14ac:dyDescent="0.25">
      <c r="A4" t="s">
        <v>174</v>
      </c>
      <c r="B4">
        <v>-0.45</v>
      </c>
      <c r="C4">
        <v>-1.07</v>
      </c>
      <c r="D4">
        <v>0.18</v>
      </c>
      <c r="E4">
        <v>32</v>
      </c>
      <c r="F4">
        <v>16</v>
      </c>
      <c r="G4">
        <v>0.95</v>
      </c>
      <c r="H4">
        <f t="shared" si="0"/>
        <v>-0.45</v>
      </c>
      <c r="I4">
        <f t="shared" si="1"/>
        <v>0.98360655737704916</v>
      </c>
      <c r="J4">
        <f t="shared" si="2"/>
        <v>-0.45750000000000002</v>
      </c>
      <c r="K4">
        <f t="shared" si="3"/>
        <v>9.5930273437500005E-2</v>
      </c>
      <c r="L4">
        <f t="shared" si="4"/>
        <v>0.30972612650130116</v>
      </c>
      <c r="M4">
        <f t="shared" si="5"/>
        <v>0.30464864901767325</v>
      </c>
    </row>
    <row r="5" spans="1:13" x14ac:dyDescent="0.25">
      <c r="A5" t="s">
        <v>75</v>
      </c>
      <c r="B5">
        <v>-0.85</v>
      </c>
      <c r="C5">
        <v>-1.5</v>
      </c>
      <c r="D5">
        <v>-0.2</v>
      </c>
      <c r="E5">
        <v>41</v>
      </c>
      <c r="F5">
        <v>19</v>
      </c>
      <c r="G5">
        <v>0.95</v>
      </c>
      <c r="H5">
        <f t="shared" si="0"/>
        <v>-0.85</v>
      </c>
      <c r="I5">
        <f t="shared" si="1"/>
        <v>0.98701298701298701</v>
      </c>
      <c r="J5">
        <f t="shared" si="2"/>
        <v>-0.86118421052631577</v>
      </c>
      <c r="K5">
        <f t="shared" si="3"/>
        <v>8.3202141553639392E-2</v>
      </c>
      <c r="L5">
        <f t="shared" si="4"/>
        <v>0.28844781426393129</v>
      </c>
      <c r="M5">
        <f t="shared" si="5"/>
        <v>0.28470173875401011</v>
      </c>
    </row>
    <row r="6" spans="1:13" x14ac:dyDescent="0.25">
      <c r="A6" t="s">
        <v>27</v>
      </c>
      <c r="B6">
        <v>-0.99</v>
      </c>
      <c r="C6">
        <v>-1.74</v>
      </c>
      <c r="D6">
        <v>-0.24</v>
      </c>
      <c r="E6">
        <v>25</v>
      </c>
      <c r="F6">
        <v>11</v>
      </c>
      <c r="G6">
        <v>0.95</v>
      </c>
      <c r="H6">
        <f t="shared" si="0"/>
        <v>-0.99</v>
      </c>
      <c r="I6">
        <f t="shared" si="1"/>
        <v>0.97777777777777775</v>
      </c>
      <c r="J6">
        <f t="shared" si="2"/>
        <v>-1.0125</v>
      </c>
      <c r="K6">
        <f t="shared" si="3"/>
        <v>0.14514737215909093</v>
      </c>
      <c r="L6">
        <f t="shared" si="4"/>
        <v>0.38098211527457682</v>
      </c>
      <c r="M6">
        <f t="shared" si="5"/>
        <v>0.37251584604625287</v>
      </c>
    </row>
    <row r="7" spans="1:13" x14ac:dyDescent="0.25">
      <c r="A7" t="s">
        <v>211</v>
      </c>
      <c r="B7">
        <v>-0.46</v>
      </c>
      <c r="C7">
        <v>-1.31</v>
      </c>
      <c r="D7">
        <v>0.4</v>
      </c>
      <c r="E7">
        <v>10</v>
      </c>
      <c r="F7">
        <v>13</v>
      </c>
      <c r="G7">
        <v>0.95</v>
      </c>
      <c r="H7">
        <f t="shared" si="0"/>
        <v>-0.46</v>
      </c>
      <c r="I7">
        <f t="shared" si="1"/>
        <v>0.96385542168674698</v>
      </c>
      <c r="J7">
        <f t="shared" si="2"/>
        <v>-0.47725000000000001</v>
      </c>
      <c r="K7">
        <f t="shared" si="3"/>
        <v>0.18187454567307693</v>
      </c>
      <c r="L7">
        <f t="shared" si="4"/>
        <v>0.42646752006814881</v>
      </c>
      <c r="M7">
        <f t="shared" si="5"/>
        <v>0.41105303139098681</v>
      </c>
    </row>
    <row r="8" spans="1:13" x14ac:dyDescent="0.25">
      <c r="A8" t="s">
        <v>212</v>
      </c>
      <c r="B8">
        <v>-1.38</v>
      </c>
      <c r="C8">
        <v>-2.4700000000000002</v>
      </c>
      <c r="D8">
        <v>-0.28999999999999998</v>
      </c>
      <c r="E8">
        <v>12</v>
      </c>
      <c r="F8">
        <v>12</v>
      </c>
      <c r="G8">
        <v>0.95</v>
      </c>
      <c r="H8">
        <f t="shared" si="0"/>
        <v>-1.38</v>
      </c>
      <c r="I8">
        <f t="shared" si="1"/>
        <v>0.96551724137931039</v>
      </c>
      <c r="J8">
        <f t="shared" si="2"/>
        <v>-1.429285714285714</v>
      </c>
      <c r="K8">
        <f t="shared" si="3"/>
        <v>0.20922620110544216</v>
      </c>
      <c r="L8">
        <f t="shared" si="4"/>
        <v>0.45741250650309306</v>
      </c>
      <c r="M8">
        <f t="shared" si="5"/>
        <v>0.44163966145126232</v>
      </c>
    </row>
    <row r="9" spans="1:13" x14ac:dyDescent="0.25">
      <c r="A9" t="s">
        <v>213</v>
      </c>
      <c r="B9">
        <v>-0.12</v>
      </c>
      <c r="C9">
        <v>-1</v>
      </c>
      <c r="D9">
        <v>0.76</v>
      </c>
      <c r="E9">
        <v>10</v>
      </c>
      <c r="F9">
        <v>10</v>
      </c>
      <c r="G9">
        <v>0.95</v>
      </c>
      <c r="H9">
        <f t="shared" si="0"/>
        <v>-0.12</v>
      </c>
      <c r="I9">
        <f t="shared" si="1"/>
        <v>0.95774647887323949</v>
      </c>
      <c r="J9">
        <f t="shared" si="2"/>
        <v>-0.12529411764705881</v>
      </c>
      <c r="K9">
        <f t="shared" si="3"/>
        <v>0.20039246539792388</v>
      </c>
      <c r="L9">
        <f t="shared" si="4"/>
        <v>0.44765217010299846</v>
      </c>
      <c r="M9">
        <f t="shared" si="5"/>
        <v>0.42873728967611124</v>
      </c>
    </row>
    <row r="10" spans="1:13" x14ac:dyDescent="0.25">
      <c r="A10" t="s">
        <v>214</v>
      </c>
      <c r="B10">
        <v>-0.05</v>
      </c>
      <c r="C10">
        <v>-0.93</v>
      </c>
      <c r="D10">
        <v>0.83</v>
      </c>
      <c r="E10">
        <v>10</v>
      </c>
      <c r="F10">
        <v>10</v>
      </c>
      <c r="G10">
        <v>0.95</v>
      </c>
      <c r="H10">
        <f t="shared" si="0"/>
        <v>-0.05</v>
      </c>
      <c r="I10">
        <f t="shared" si="1"/>
        <v>0.95774647887323949</v>
      </c>
      <c r="J10">
        <f t="shared" si="2"/>
        <v>-5.2205882352941178E-2</v>
      </c>
      <c r="K10">
        <f t="shared" si="3"/>
        <v>0.20006813635380624</v>
      </c>
      <c r="L10">
        <f t="shared" si="4"/>
        <v>0.44728976777230917</v>
      </c>
      <c r="M10">
        <f t="shared" si="5"/>
        <v>0.4283902001199581</v>
      </c>
    </row>
    <row r="11" spans="1:13" x14ac:dyDescent="0.25">
      <c r="A11" t="s">
        <v>72</v>
      </c>
      <c r="B11">
        <v>-0.19</v>
      </c>
      <c r="C11">
        <v>-0.91</v>
      </c>
      <c r="D11">
        <v>0.52</v>
      </c>
      <c r="E11">
        <v>14</v>
      </c>
      <c r="F11">
        <v>31</v>
      </c>
      <c r="G11">
        <v>0.95</v>
      </c>
      <c r="H11">
        <f t="shared" si="0"/>
        <v>-0.19</v>
      </c>
      <c r="I11">
        <f t="shared" si="1"/>
        <v>0.98245614035087714</v>
      </c>
      <c r="J11">
        <f t="shared" si="2"/>
        <v>-0.19339285714285714</v>
      </c>
      <c r="K11">
        <f t="shared" si="3"/>
        <v>0.10410220035796576</v>
      </c>
      <c r="L11">
        <f t="shared" si="4"/>
        <v>0.32264872595125144</v>
      </c>
      <c r="M11">
        <f t="shared" si="5"/>
        <v>0.3169882219871944</v>
      </c>
    </row>
    <row r="12" spans="1:13" x14ac:dyDescent="0.25">
      <c r="A12" t="s">
        <v>80</v>
      </c>
      <c r="B12">
        <v>0</v>
      </c>
      <c r="C12">
        <v>-0.56000000000000005</v>
      </c>
      <c r="D12">
        <v>0.56000000000000005</v>
      </c>
      <c r="E12">
        <v>66</v>
      </c>
      <c r="F12">
        <v>21</v>
      </c>
      <c r="G12">
        <v>0.95</v>
      </c>
      <c r="H12">
        <f t="shared" si="0"/>
        <v>0</v>
      </c>
      <c r="I12">
        <f t="shared" si="1"/>
        <v>0.99115044247787609</v>
      </c>
      <c r="J12">
        <f t="shared" si="2"/>
        <v>0</v>
      </c>
      <c r="K12">
        <f t="shared" si="3"/>
        <v>6.2770562770562768E-2</v>
      </c>
      <c r="L12">
        <f t="shared" si="4"/>
        <v>0.25054054117160912</v>
      </c>
      <c r="M12">
        <f t="shared" si="5"/>
        <v>0.24832336824088691</v>
      </c>
    </row>
    <row r="13" spans="1:13" x14ac:dyDescent="0.25">
      <c r="A13" t="s">
        <v>39</v>
      </c>
      <c r="B13">
        <v>0.22</v>
      </c>
      <c r="C13">
        <v>-0.33</v>
      </c>
      <c r="D13">
        <v>0.78</v>
      </c>
      <c r="E13">
        <v>29</v>
      </c>
      <c r="F13">
        <v>22</v>
      </c>
      <c r="G13">
        <v>0.95</v>
      </c>
      <c r="H13">
        <f t="shared" si="0"/>
        <v>0.22</v>
      </c>
      <c r="I13">
        <f t="shared" si="1"/>
        <v>0.98461538461538467</v>
      </c>
      <c r="J13">
        <f t="shared" si="2"/>
        <v>0.22343749999999998</v>
      </c>
      <c r="K13">
        <f t="shared" si="3"/>
        <v>8.0426758157649325E-2</v>
      </c>
      <c r="L13">
        <f t="shared" si="4"/>
        <v>0.28359611802288359</v>
      </c>
      <c r="M13">
        <f t="shared" si="5"/>
        <v>0.27923310082253155</v>
      </c>
    </row>
    <row r="14" spans="1:13" x14ac:dyDescent="0.25">
      <c r="A14" t="s">
        <v>134</v>
      </c>
      <c r="B14">
        <v>-0.06</v>
      </c>
      <c r="C14">
        <v>-0.8</v>
      </c>
      <c r="D14">
        <v>0.68</v>
      </c>
      <c r="E14">
        <v>17</v>
      </c>
      <c r="F14">
        <v>14</v>
      </c>
      <c r="G14">
        <v>0.95</v>
      </c>
      <c r="H14">
        <f t="shared" si="0"/>
        <v>-0.06</v>
      </c>
      <c r="I14">
        <f t="shared" si="1"/>
        <v>0.97391304347826091</v>
      </c>
      <c r="J14">
        <f t="shared" si="2"/>
        <v>-6.1607142857142853E-2</v>
      </c>
      <c r="K14">
        <f t="shared" si="3"/>
        <v>0.13031331761535261</v>
      </c>
      <c r="L14">
        <f t="shared" si="4"/>
        <v>0.36098935942123367</v>
      </c>
      <c r="M14">
        <f t="shared" si="5"/>
        <v>0.35157224569720147</v>
      </c>
    </row>
    <row r="15" spans="1:13" x14ac:dyDescent="0.25">
      <c r="A15" t="s">
        <v>136</v>
      </c>
      <c r="B15">
        <v>-0.38</v>
      </c>
      <c r="C15">
        <v>-0.61</v>
      </c>
      <c r="D15">
        <v>-0.14000000000000001</v>
      </c>
      <c r="E15">
        <v>141</v>
      </c>
      <c r="F15">
        <v>143</v>
      </c>
      <c r="G15">
        <v>0.95</v>
      </c>
      <c r="H15">
        <f t="shared" si="0"/>
        <v>-0.38</v>
      </c>
      <c r="I15">
        <f t="shared" si="1"/>
        <v>0.99733806566104699</v>
      </c>
      <c r="J15">
        <f t="shared" si="2"/>
        <v>-0.38101423487544483</v>
      </c>
      <c r="K15">
        <f t="shared" si="3"/>
        <v>1.4340789812556222E-2</v>
      </c>
      <c r="L15">
        <f t="shared" si="4"/>
        <v>0.11975303675713707</v>
      </c>
      <c r="M15">
        <f t="shared" si="5"/>
        <v>0.11943426203639934</v>
      </c>
    </row>
    <row r="16" spans="1:13" x14ac:dyDescent="0.25">
      <c r="A16" t="s">
        <v>216</v>
      </c>
      <c r="B16">
        <v>-0.28999999999999998</v>
      </c>
      <c r="C16">
        <v>-0.71</v>
      </c>
      <c r="D16">
        <v>0.13</v>
      </c>
      <c r="E16">
        <v>44</v>
      </c>
      <c r="F16">
        <v>43</v>
      </c>
      <c r="G16">
        <v>0.95</v>
      </c>
      <c r="H16">
        <f t="shared" si="0"/>
        <v>-0.28999999999999998</v>
      </c>
      <c r="I16">
        <f t="shared" si="1"/>
        <v>0.99115044247787609</v>
      </c>
      <c r="J16">
        <f t="shared" si="2"/>
        <v>-0.29258928571428572</v>
      </c>
      <c r="K16">
        <f t="shared" si="3"/>
        <v>4.6475089497512799E-2</v>
      </c>
      <c r="L16">
        <f t="shared" si="4"/>
        <v>0.2155808189461966</v>
      </c>
      <c r="M16">
        <f t="shared" si="5"/>
        <v>0.21367302408826566</v>
      </c>
    </row>
  </sheetData>
  <pageMargins left="0.7" right="0.7" top="0.78740157499999996" bottom="0.78740157499999996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H1" sqref="H1:M8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132</v>
      </c>
      <c r="B2">
        <v>-0.68</v>
      </c>
      <c r="C2">
        <v>-1.25</v>
      </c>
      <c r="D2">
        <v>-0.11</v>
      </c>
      <c r="E2">
        <v>40</v>
      </c>
      <c r="F2">
        <v>18</v>
      </c>
      <c r="G2">
        <v>0.95</v>
      </c>
      <c r="H2">
        <f>$B2</f>
        <v>-0.68</v>
      </c>
      <c r="I2">
        <f>1-3/(4*($E2+$F2-2)-1)</f>
        <v>0.98654708520179368</v>
      </c>
      <c r="J2">
        <f>$H2/$I2</f>
        <v>-0.68927272727272737</v>
      </c>
      <c r="K2">
        <f>($E2+$F2)/($E2*$F2)+$J2^2/(2*($E2+$F2))</f>
        <v>8.4651218422469213E-2</v>
      </c>
      <c r="L2">
        <f>SQRT($K2)</f>
        <v>0.29094882440468672</v>
      </c>
      <c r="M2">
        <f>SQRT($I2^2*$K2)</f>
        <v>0.28703471465933217</v>
      </c>
    </row>
    <row r="3" spans="1:13" x14ac:dyDescent="0.25">
      <c r="A3" t="s">
        <v>72</v>
      </c>
      <c r="B3">
        <v>-0.19</v>
      </c>
      <c r="C3">
        <v>-0.91</v>
      </c>
      <c r="D3">
        <v>0.52</v>
      </c>
      <c r="E3">
        <v>14</v>
      </c>
      <c r="F3">
        <v>31</v>
      </c>
      <c r="G3">
        <v>0.95</v>
      </c>
      <c r="H3">
        <f t="shared" ref="H3:H8" si="0">$B3</f>
        <v>-0.19</v>
      </c>
      <c r="I3">
        <f t="shared" ref="I3:I8" si="1">1-3/(4*($E3+$F3-2)-1)</f>
        <v>0.98245614035087714</v>
      </c>
      <c r="J3">
        <f t="shared" ref="J3:J8" si="2">$H3/$I3</f>
        <v>-0.19339285714285714</v>
      </c>
      <c r="K3">
        <f t="shared" ref="K3:K8" si="3">($E3+$F3)/($E3*$F3)+$J3^2/(2*($E3+$F3))</f>
        <v>0.10410220035796576</v>
      </c>
      <c r="L3">
        <f t="shared" ref="L3:L8" si="4">SQRT($K3)</f>
        <v>0.32264872595125144</v>
      </c>
      <c r="M3">
        <f t="shared" ref="M3:M8" si="5">SQRT($I3^2*$K3)</f>
        <v>0.3169882219871944</v>
      </c>
    </row>
    <row r="4" spans="1:13" x14ac:dyDescent="0.25">
      <c r="A4" t="s">
        <v>80</v>
      </c>
      <c r="B4">
        <v>0</v>
      </c>
      <c r="C4">
        <v>-0.56000000000000005</v>
      </c>
      <c r="D4">
        <v>0.56000000000000005</v>
      </c>
      <c r="E4">
        <v>66</v>
      </c>
      <c r="F4">
        <v>21</v>
      </c>
      <c r="G4">
        <v>0.95</v>
      </c>
      <c r="H4">
        <f t="shared" si="0"/>
        <v>0</v>
      </c>
      <c r="I4">
        <f t="shared" si="1"/>
        <v>0.99115044247787609</v>
      </c>
      <c r="J4">
        <f t="shared" si="2"/>
        <v>0</v>
      </c>
      <c r="K4">
        <f t="shared" si="3"/>
        <v>6.2770562770562768E-2</v>
      </c>
      <c r="L4">
        <f t="shared" si="4"/>
        <v>0.25054054117160912</v>
      </c>
      <c r="M4">
        <f t="shared" si="5"/>
        <v>0.24832336824088691</v>
      </c>
    </row>
    <row r="5" spans="1:13" x14ac:dyDescent="0.25">
      <c r="A5" t="s">
        <v>39</v>
      </c>
      <c r="B5">
        <v>0.22</v>
      </c>
      <c r="C5">
        <v>-0.33</v>
      </c>
      <c r="D5">
        <v>0.78</v>
      </c>
      <c r="E5">
        <v>29</v>
      </c>
      <c r="F5">
        <v>22</v>
      </c>
      <c r="G5">
        <v>0.95</v>
      </c>
      <c r="H5">
        <f t="shared" si="0"/>
        <v>0.22</v>
      </c>
      <c r="I5">
        <f t="shared" si="1"/>
        <v>0.98461538461538467</v>
      </c>
      <c r="J5">
        <f t="shared" si="2"/>
        <v>0.22343749999999998</v>
      </c>
      <c r="K5">
        <f t="shared" si="3"/>
        <v>8.0426758157649325E-2</v>
      </c>
      <c r="L5">
        <f t="shared" si="4"/>
        <v>0.28359611802288359</v>
      </c>
      <c r="M5">
        <f t="shared" si="5"/>
        <v>0.27923310082253155</v>
      </c>
    </row>
    <row r="6" spans="1:13" x14ac:dyDescent="0.25">
      <c r="A6" t="s">
        <v>134</v>
      </c>
      <c r="B6">
        <v>-0.06</v>
      </c>
      <c r="C6">
        <v>-0.8</v>
      </c>
      <c r="D6">
        <v>0.68</v>
      </c>
      <c r="E6">
        <v>17</v>
      </c>
      <c r="F6">
        <v>14</v>
      </c>
      <c r="G6">
        <v>0.95</v>
      </c>
      <c r="H6">
        <f t="shared" si="0"/>
        <v>-0.06</v>
      </c>
      <c r="I6">
        <f t="shared" si="1"/>
        <v>0.97391304347826091</v>
      </c>
      <c r="J6">
        <f t="shared" si="2"/>
        <v>-6.1607142857142853E-2</v>
      </c>
      <c r="K6">
        <f t="shared" si="3"/>
        <v>0.13031331761535261</v>
      </c>
      <c r="L6">
        <f t="shared" si="4"/>
        <v>0.36098935942123367</v>
      </c>
      <c r="M6">
        <f t="shared" si="5"/>
        <v>0.35157224569720147</v>
      </c>
    </row>
    <row r="7" spans="1:13" x14ac:dyDescent="0.25">
      <c r="A7" t="s">
        <v>215</v>
      </c>
      <c r="B7">
        <v>0.02</v>
      </c>
      <c r="C7">
        <v>-0.25</v>
      </c>
      <c r="D7">
        <v>0.28000000000000003</v>
      </c>
      <c r="E7">
        <v>111</v>
      </c>
      <c r="F7">
        <v>111</v>
      </c>
      <c r="G7">
        <v>0.95</v>
      </c>
      <c r="H7">
        <f t="shared" si="0"/>
        <v>0.02</v>
      </c>
      <c r="I7">
        <f t="shared" si="1"/>
        <v>0.9965870307167235</v>
      </c>
      <c r="J7">
        <f t="shared" si="2"/>
        <v>2.0068493150684933E-2</v>
      </c>
      <c r="K7">
        <f t="shared" si="3"/>
        <v>1.8018925100039052E-2</v>
      </c>
      <c r="L7">
        <f t="shared" si="4"/>
        <v>0.13423458980471112</v>
      </c>
      <c r="M7">
        <f t="shared" si="5"/>
        <v>0.1337764512729544</v>
      </c>
    </row>
    <row r="8" spans="1:13" x14ac:dyDescent="0.25">
      <c r="A8" t="s">
        <v>136</v>
      </c>
      <c r="B8">
        <v>-0.38</v>
      </c>
      <c r="C8">
        <v>-0.61</v>
      </c>
      <c r="D8">
        <v>-0.14000000000000001</v>
      </c>
      <c r="E8">
        <v>141</v>
      </c>
      <c r="F8">
        <v>143</v>
      </c>
      <c r="G8">
        <v>0.95</v>
      </c>
      <c r="H8">
        <f t="shared" si="0"/>
        <v>-0.38</v>
      </c>
      <c r="I8">
        <f t="shared" si="1"/>
        <v>0.99733806566104699</v>
      </c>
      <c r="J8">
        <f t="shared" si="2"/>
        <v>-0.38101423487544483</v>
      </c>
      <c r="K8">
        <f t="shared" si="3"/>
        <v>1.4340789812556222E-2</v>
      </c>
      <c r="L8">
        <f t="shared" si="4"/>
        <v>0.11975303675713707</v>
      </c>
      <c r="M8">
        <f t="shared" si="5"/>
        <v>0.11943426203639934</v>
      </c>
    </row>
  </sheetData>
  <pageMargins left="0.7" right="0.7" top="0.78740157499999996" bottom="0.78740157499999996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M7" sqref="M7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72</v>
      </c>
      <c r="B2">
        <v>-0.19</v>
      </c>
      <c r="C2">
        <v>-0.91</v>
      </c>
      <c r="D2">
        <v>0.52</v>
      </c>
      <c r="E2">
        <v>14</v>
      </c>
      <c r="F2">
        <v>31</v>
      </c>
      <c r="G2">
        <v>0.95</v>
      </c>
      <c r="H2">
        <f>$B2</f>
        <v>-0.19</v>
      </c>
      <c r="I2">
        <f>1-3/(4*($E2+$F2-2)-1)</f>
        <v>0.98245614035087714</v>
      </c>
      <c r="J2">
        <f>$H2/$I2</f>
        <v>-0.19339285714285714</v>
      </c>
      <c r="K2">
        <f>($E2+$F2)/($E2*$F2)+$J2^2/(2*($E2+$F2))</f>
        <v>0.10410220035796576</v>
      </c>
      <c r="L2">
        <f>SQRT($K2)</f>
        <v>0.32264872595125144</v>
      </c>
      <c r="M2">
        <f>SQRT($I2^2*$K2)</f>
        <v>0.3169882219871944</v>
      </c>
    </row>
    <row r="3" spans="1:13" x14ac:dyDescent="0.25">
      <c r="A3" t="s">
        <v>80</v>
      </c>
      <c r="B3">
        <v>0</v>
      </c>
      <c r="C3">
        <v>-0.56000000000000005</v>
      </c>
      <c r="D3">
        <v>0.56000000000000005</v>
      </c>
      <c r="E3">
        <v>66</v>
      </c>
      <c r="F3">
        <v>21</v>
      </c>
      <c r="G3">
        <v>0.95</v>
      </c>
      <c r="H3">
        <f t="shared" ref="H3:H7" si="0">$B3</f>
        <v>0</v>
      </c>
      <c r="I3">
        <f t="shared" ref="I3:I7" si="1">1-3/(4*($E3+$F3-2)-1)</f>
        <v>0.99115044247787609</v>
      </c>
      <c r="J3">
        <f t="shared" ref="J3:J7" si="2">$H3/$I3</f>
        <v>0</v>
      </c>
      <c r="K3">
        <f t="shared" ref="K3:K7" si="3">($E3+$F3)/($E3*$F3)+$J3^2/(2*($E3+$F3))</f>
        <v>6.2770562770562768E-2</v>
      </c>
      <c r="L3">
        <f t="shared" ref="L3:L7" si="4">SQRT($K3)</f>
        <v>0.25054054117160912</v>
      </c>
      <c r="M3">
        <f t="shared" ref="M3:M7" si="5">SQRT($I3^2*$K3)</f>
        <v>0.24832336824088691</v>
      </c>
    </row>
    <row r="4" spans="1:13" x14ac:dyDescent="0.25">
      <c r="A4" t="s">
        <v>39</v>
      </c>
      <c r="B4">
        <v>0.22</v>
      </c>
      <c r="C4">
        <v>-0.33</v>
      </c>
      <c r="D4">
        <v>0.78</v>
      </c>
      <c r="E4">
        <v>29</v>
      </c>
      <c r="F4">
        <v>22</v>
      </c>
      <c r="G4">
        <v>0.95</v>
      </c>
      <c r="H4">
        <f t="shared" si="0"/>
        <v>0.22</v>
      </c>
      <c r="I4">
        <f t="shared" si="1"/>
        <v>0.98461538461538467</v>
      </c>
      <c r="J4">
        <f t="shared" si="2"/>
        <v>0.22343749999999998</v>
      </c>
      <c r="K4">
        <f t="shared" si="3"/>
        <v>8.0426758157649325E-2</v>
      </c>
      <c r="L4">
        <f t="shared" si="4"/>
        <v>0.28359611802288359</v>
      </c>
      <c r="M4">
        <f t="shared" si="5"/>
        <v>0.27923310082253155</v>
      </c>
    </row>
    <row r="5" spans="1:13" x14ac:dyDescent="0.25">
      <c r="A5" t="s">
        <v>134</v>
      </c>
      <c r="B5">
        <v>-0.06</v>
      </c>
      <c r="C5">
        <v>-0.8</v>
      </c>
      <c r="D5">
        <v>0.68</v>
      </c>
      <c r="E5">
        <v>17</v>
      </c>
      <c r="F5">
        <v>14</v>
      </c>
      <c r="G5">
        <v>0.95</v>
      </c>
      <c r="H5">
        <f t="shared" si="0"/>
        <v>-0.06</v>
      </c>
      <c r="I5">
        <f t="shared" si="1"/>
        <v>0.97391304347826091</v>
      </c>
      <c r="J5">
        <f t="shared" si="2"/>
        <v>-6.1607142857142853E-2</v>
      </c>
      <c r="K5">
        <f t="shared" si="3"/>
        <v>0.13031331761535261</v>
      </c>
      <c r="L5">
        <f t="shared" si="4"/>
        <v>0.36098935942123367</v>
      </c>
      <c r="M5">
        <f t="shared" si="5"/>
        <v>0.35157224569720147</v>
      </c>
    </row>
    <row r="6" spans="1:13" x14ac:dyDescent="0.25">
      <c r="A6" t="s">
        <v>215</v>
      </c>
      <c r="B6">
        <v>0.02</v>
      </c>
      <c r="C6">
        <v>-0.25</v>
      </c>
      <c r="D6">
        <v>0.28000000000000003</v>
      </c>
      <c r="E6">
        <v>111</v>
      </c>
      <c r="F6">
        <v>111</v>
      </c>
      <c r="G6">
        <v>0.95</v>
      </c>
      <c r="H6">
        <f t="shared" si="0"/>
        <v>0.02</v>
      </c>
      <c r="I6">
        <f t="shared" si="1"/>
        <v>0.9965870307167235</v>
      </c>
      <c r="J6">
        <f t="shared" si="2"/>
        <v>2.0068493150684933E-2</v>
      </c>
      <c r="K6">
        <f t="shared" si="3"/>
        <v>1.8018925100039052E-2</v>
      </c>
      <c r="L6">
        <f t="shared" si="4"/>
        <v>0.13423458980471112</v>
      </c>
      <c r="M6">
        <f t="shared" si="5"/>
        <v>0.1337764512729544</v>
      </c>
    </row>
    <row r="7" spans="1:13" x14ac:dyDescent="0.25">
      <c r="A7" t="s">
        <v>136</v>
      </c>
      <c r="B7">
        <v>-0.38</v>
      </c>
      <c r="C7">
        <v>-0.61</v>
      </c>
      <c r="D7">
        <v>-0.14000000000000001</v>
      </c>
      <c r="E7">
        <v>141</v>
      </c>
      <c r="F7">
        <v>143</v>
      </c>
      <c r="G7">
        <v>0.95</v>
      </c>
      <c r="H7">
        <f t="shared" si="0"/>
        <v>-0.38</v>
      </c>
      <c r="I7">
        <f t="shared" si="1"/>
        <v>0.99733806566104699</v>
      </c>
      <c r="J7">
        <f t="shared" si="2"/>
        <v>-0.38101423487544483</v>
      </c>
      <c r="K7">
        <f t="shared" si="3"/>
        <v>1.4340789812556222E-2</v>
      </c>
      <c r="L7">
        <f t="shared" si="4"/>
        <v>0.11975303675713707</v>
      </c>
      <c r="M7">
        <f t="shared" si="5"/>
        <v>0.11943426203639934</v>
      </c>
    </row>
  </sheetData>
  <pageMargins left="0.7" right="0.7" top="0.78740157499999996" bottom="0.78740157499999996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H1" sqref="H1:M17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5</v>
      </c>
      <c r="B2">
        <v>-0.88</v>
      </c>
      <c r="C2">
        <v>-1.44</v>
      </c>
      <c r="D2">
        <v>-0.32</v>
      </c>
      <c r="E2">
        <v>37</v>
      </c>
      <c r="F2">
        <v>36</v>
      </c>
      <c r="G2">
        <v>0.95</v>
      </c>
      <c r="H2">
        <f>$B2</f>
        <v>-0.88</v>
      </c>
      <c r="I2">
        <f>1-3/(4*($E2+$F2-2)-1)</f>
        <v>0.98939929328621912</v>
      </c>
      <c r="J2">
        <f>$H2/$I2</f>
        <v>-0.88942857142857135</v>
      </c>
      <c r="K2">
        <f>($E2+$F2)/($E2*$F2)+$J2^2/(2*($E2+$F2))</f>
        <v>6.0223182775171032E-2</v>
      </c>
      <c r="L2">
        <f>SQRT($K2)</f>
        <v>0.24540412134919623</v>
      </c>
      <c r="M2">
        <f>SQRT($I2^2*$K2)</f>
        <v>0.24280266423242031</v>
      </c>
    </row>
    <row r="3" spans="1:13" x14ac:dyDescent="0.25">
      <c r="A3" t="s">
        <v>132</v>
      </c>
      <c r="B3">
        <v>-0.68</v>
      </c>
      <c r="C3">
        <v>-1.25</v>
      </c>
      <c r="D3">
        <v>-0.11</v>
      </c>
      <c r="E3">
        <v>40</v>
      </c>
      <c r="F3">
        <v>18</v>
      </c>
      <c r="G3">
        <v>0.95</v>
      </c>
      <c r="H3">
        <f t="shared" ref="H3:H17" si="0">$B3</f>
        <v>-0.68</v>
      </c>
      <c r="I3">
        <f t="shared" ref="I3:I17" si="1">1-3/(4*($E3+$F3-2)-1)</f>
        <v>0.98654708520179368</v>
      </c>
      <c r="J3">
        <f t="shared" ref="J3:J17" si="2">$H3/$I3</f>
        <v>-0.68927272727272737</v>
      </c>
      <c r="K3">
        <f t="shared" ref="K3:K17" si="3">($E3+$F3)/($E3*$F3)+$J3^2/(2*($E3+$F3))</f>
        <v>8.4651218422469213E-2</v>
      </c>
      <c r="L3">
        <f t="shared" ref="L3:L17" si="4">SQRT($K3)</f>
        <v>0.29094882440468672</v>
      </c>
      <c r="M3">
        <f t="shared" ref="M3:M17" si="5">SQRT($I3^2*$K3)</f>
        <v>0.28703471465933217</v>
      </c>
    </row>
    <row r="4" spans="1:13" x14ac:dyDescent="0.25">
      <c r="A4" t="s">
        <v>174</v>
      </c>
      <c r="B4">
        <v>-0.45</v>
      </c>
      <c r="C4">
        <v>-1.07</v>
      </c>
      <c r="D4">
        <v>0.18</v>
      </c>
      <c r="E4">
        <v>32</v>
      </c>
      <c r="F4">
        <v>16</v>
      </c>
      <c r="G4">
        <v>0.95</v>
      </c>
      <c r="H4">
        <f t="shared" si="0"/>
        <v>-0.45</v>
      </c>
      <c r="I4">
        <f t="shared" si="1"/>
        <v>0.98360655737704916</v>
      </c>
      <c r="J4">
        <f t="shared" si="2"/>
        <v>-0.45750000000000002</v>
      </c>
      <c r="K4">
        <f t="shared" si="3"/>
        <v>9.5930273437500005E-2</v>
      </c>
      <c r="L4">
        <f t="shared" si="4"/>
        <v>0.30972612650130116</v>
      </c>
      <c r="M4">
        <f t="shared" si="5"/>
        <v>0.30464864901767325</v>
      </c>
    </row>
    <row r="5" spans="1:13" x14ac:dyDescent="0.25">
      <c r="A5" t="s">
        <v>75</v>
      </c>
      <c r="B5">
        <v>-0.85</v>
      </c>
      <c r="C5">
        <v>-1.5</v>
      </c>
      <c r="D5">
        <v>-0.2</v>
      </c>
      <c r="E5">
        <v>41</v>
      </c>
      <c r="F5">
        <v>19</v>
      </c>
      <c r="G5">
        <v>0.95</v>
      </c>
      <c r="H5">
        <f t="shared" si="0"/>
        <v>-0.85</v>
      </c>
      <c r="I5">
        <f t="shared" si="1"/>
        <v>0.98701298701298701</v>
      </c>
      <c r="J5">
        <f t="shared" si="2"/>
        <v>-0.86118421052631577</v>
      </c>
      <c r="K5">
        <f t="shared" si="3"/>
        <v>8.3202141553639392E-2</v>
      </c>
      <c r="L5">
        <f t="shared" si="4"/>
        <v>0.28844781426393129</v>
      </c>
      <c r="M5">
        <f t="shared" si="5"/>
        <v>0.28470173875401011</v>
      </c>
    </row>
    <row r="6" spans="1:13" x14ac:dyDescent="0.25">
      <c r="A6" t="s">
        <v>27</v>
      </c>
      <c r="B6">
        <v>-0.99</v>
      </c>
      <c r="C6">
        <v>-1.74</v>
      </c>
      <c r="D6">
        <v>-0.24</v>
      </c>
      <c r="E6">
        <v>25</v>
      </c>
      <c r="F6">
        <v>11</v>
      </c>
      <c r="G6">
        <v>0.95</v>
      </c>
      <c r="H6">
        <f t="shared" si="0"/>
        <v>-0.99</v>
      </c>
      <c r="I6">
        <f t="shared" si="1"/>
        <v>0.97777777777777775</v>
      </c>
      <c r="J6">
        <f t="shared" si="2"/>
        <v>-1.0125</v>
      </c>
      <c r="K6">
        <f t="shared" si="3"/>
        <v>0.14514737215909093</v>
      </c>
      <c r="L6">
        <f t="shared" si="4"/>
        <v>0.38098211527457682</v>
      </c>
      <c r="M6">
        <f t="shared" si="5"/>
        <v>0.37251584604625287</v>
      </c>
    </row>
    <row r="7" spans="1:13" x14ac:dyDescent="0.25">
      <c r="A7" t="s">
        <v>211</v>
      </c>
      <c r="B7">
        <v>-0.46</v>
      </c>
      <c r="C7">
        <v>-1.31</v>
      </c>
      <c r="D7">
        <v>0.4</v>
      </c>
      <c r="E7">
        <v>10</v>
      </c>
      <c r="F7">
        <v>13</v>
      </c>
      <c r="G7">
        <v>0.95</v>
      </c>
      <c r="H7">
        <f t="shared" si="0"/>
        <v>-0.46</v>
      </c>
      <c r="I7">
        <f t="shared" si="1"/>
        <v>0.96385542168674698</v>
      </c>
      <c r="J7">
        <f t="shared" si="2"/>
        <v>-0.47725000000000001</v>
      </c>
      <c r="K7">
        <f t="shared" si="3"/>
        <v>0.18187454567307693</v>
      </c>
      <c r="L7">
        <f t="shared" si="4"/>
        <v>0.42646752006814881</v>
      </c>
      <c r="M7">
        <f t="shared" si="5"/>
        <v>0.41105303139098681</v>
      </c>
    </row>
    <row r="8" spans="1:13" x14ac:dyDescent="0.25">
      <c r="A8" t="s">
        <v>212</v>
      </c>
      <c r="B8">
        <v>-1.38</v>
      </c>
      <c r="C8">
        <v>-2.4700000000000002</v>
      </c>
      <c r="D8">
        <v>-0.28999999999999998</v>
      </c>
      <c r="E8">
        <v>12</v>
      </c>
      <c r="F8">
        <v>12</v>
      </c>
      <c r="G8">
        <v>0.95</v>
      </c>
      <c r="H8">
        <f t="shared" si="0"/>
        <v>-1.38</v>
      </c>
      <c r="I8">
        <f t="shared" si="1"/>
        <v>0.96551724137931039</v>
      </c>
      <c r="J8">
        <f t="shared" si="2"/>
        <v>-1.429285714285714</v>
      </c>
      <c r="K8">
        <f t="shared" si="3"/>
        <v>0.20922620110544216</v>
      </c>
      <c r="L8">
        <f t="shared" si="4"/>
        <v>0.45741250650309306</v>
      </c>
      <c r="M8">
        <f t="shared" si="5"/>
        <v>0.44163966145126232</v>
      </c>
    </row>
    <row r="9" spans="1:13" x14ac:dyDescent="0.25">
      <c r="A9" t="s">
        <v>213</v>
      </c>
      <c r="B9">
        <v>-0.12</v>
      </c>
      <c r="C9">
        <v>-1</v>
      </c>
      <c r="D9">
        <v>0.76</v>
      </c>
      <c r="E9">
        <v>10</v>
      </c>
      <c r="F9">
        <v>10</v>
      </c>
      <c r="G9">
        <v>0.95</v>
      </c>
      <c r="H9">
        <f t="shared" si="0"/>
        <v>-0.12</v>
      </c>
      <c r="I9">
        <f t="shared" si="1"/>
        <v>0.95774647887323949</v>
      </c>
      <c r="J9">
        <f t="shared" si="2"/>
        <v>-0.12529411764705881</v>
      </c>
      <c r="K9">
        <f t="shared" si="3"/>
        <v>0.20039246539792388</v>
      </c>
      <c r="L9">
        <f t="shared" si="4"/>
        <v>0.44765217010299846</v>
      </c>
      <c r="M9">
        <f t="shared" si="5"/>
        <v>0.42873728967611124</v>
      </c>
    </row>
    <row r="10" spans="1:13" x14ac:dyDescent="0.25">
      <c r="A10" t="s">
        <v>214</v>
      </c>
      <c r="B10">
        <v>-0.05</v>
      </c>
      <c r="C10">
        <v>-0.93</v>
      </c>
      <c r="D10">
        <v>0.83</v>
      </c>
      <c r="E10">
        <v>10</v>
      </c>
      <c r="F10">
        <v>10</v>
      </c>
      <c r="G10">
        <v>0.95</v>
      </c>
      <c r="H10">
        <f t="shared" si="0"/>
        <v>-0.05</v>
      </c>
      <c r="I10">
        <f t="shared" si="1"/>
        <v>0.95774647887323949</v>
      </c>
      <c r="J10">
        <f t="shared" si="2"/>
        <v>-5.2205882352941178E-2</v>
      </c>
      <c r="K10">
        <f t="shared" si="3"/>
        <v>0.20006813635380624</v>
      </c>
      <c r="L10">
        <f t="shared" si="4"/>
        <v>0.44728976777230917</v>
      </c>
      <c r="M10">
        <f t="shared" si="5"/>
        <v>0.4283902001199581</v>
      </c>
    </row>
    <row r="11" spans="1:13" x14ac:dyDescent="0.25">
      <c r="A11" t="s">
        <v>72</v>
      </c>
      <c r="B11">
        <v>-0.19</v>
      </c>
      <c r="C11">
        <v>-0.91</v>
      </c>
      <c r="D11">
        <v>0.52</v>
      </c>
      <c r="E11">
        <v>14</v>
      </c>
      <c r="F11">
        <v>31</v>
      </c>
      <c r="G11">
        <v>0.95</v>
      </c>
      <c r="H11">
        <f t="shared" si="0"/>
        <v>-0.19</v>
      </c>
      <c r="I11">
        <f t="shared" si="1"/>
        <v>0.98245614035087714</v>
      </c>
      <c r="J11">
        <f t="shared" si="2"/>
        <v>-0.19339285714285714</v>
      </c>
      <c r="K11">
        <f t="shared" si="3"/>
        <v>0.10410220035796576</v>
      </c>
      <c r="L11">
        <f t="shared" si="4"/>
        <v>0.32264872595125144</v>
      </c>
      <c r="M11">
        <f t="shared" si="5"/>
        <v>0.3169882219871944</v>
      </c>
    </row>
    <row r="12" spans="1:13" x14ac:dyDescent="0.25">
      <c r="A12" t="s">
        <v>80</v>
      </c>
      <c r="B12">
        <v>0</v>
      </c>
      <c r="C12">
        <v>-0.56000000000000005</v>
      </c>
      <c r="D12">
        <v>0.56000000000000005</v>
      </c>
      <c r="E12">
        <v>66</v>
      </c>
      <c r="F12">
        <v>21</v>
      </c>
      <c r="G12">
        <v>0.95</v>
      </c>
      <c r="H12">
        <f t="shared" si="0"/>
        <v>0</v>
      </c>
      <c r="I12">
        <f t="shared" si="1"/>
        <v>0.99115044247787609</v>
      </c>
      <c r="J12">
        <f t="shared" si="2"/>
        <v>0</v>
      </c>
      <c r="K12">
        <f t="shared" si="3"/>
        <v>6.2770562770562768E-2</v>
      </c>
      <c r="L12">
        <f t="shared" si="4"/>
        <v>0.25054054117160912</v>
      </c>
      <c r="M12">
        <f t="shared" si="5"/>
        <v>0.24832336824088691</v>
      </c>
    </row>
    <row r="13" spans="1:13" x14ac:dyDescent="0.25">
      <c r="A13" t="s">
        <v>39</v>
      </c>
      <c r="B13">
        <v>0.22</v>
      </c>
      <c r="C13">
        <v>-0.33</v>
      </c>
      <c r="D13">
        <v>0.78</v>
      </c>
      <c r="E13">
        <v>29</v>
      </c>
      <c r="F13">
        <v>22</v>
      </c>
      <c r="G13">
        <v>0.95</v>
      </c>
      <c r="H13">
        <f t="shared" si="0"/>
        <v>0.22</v>
      </c>
      <c r="I13">
        <f t="shared" si="1"/>
        <v>0.98461538461538467</v>
      </c>
      <c r="J13">
        <f t="shared" si="2"/>
        <v>0.22343749999999998</v>
      </c>
      <c r="K13">
        <f t="shared" si="3"/>
        <v>8.0426758157649325E-2</v>
      </c>
      <c r="L13">
        <f t="shared" si="4"/>
        <v>0.28359611802288359</v>
      </c>
      <c r="M13">
        <f t="shared" si="5"/>
        <v>0.27923310082253155</v>
      </c>
    </row>
    <row r="14" spans="1:13" x14ac:dyDescent="0.25">
      <c r="A14" t="s">
        <v>134</v>
      </c>
      <c r="B14">
        <v>-0.06</v>
      </c>
      <c r="C14">
        <v>-0.8</v>
      </c>
      <c r="D14">
        <v>0.68</v>
      </c>
      <c r="E14">
        <v>17</v>
      </c>
      <c r="F14">
        <v>14</v>
      </c>
      <c r="G14">
        <v>0.95</v>
      </c>
      <c r="H14">
        <f t="shared" si="0"/>
        <v>-0.06</v>
      </c>
      <c r="I14">
        <f t="shared" si="1"/>
        <v>0.97391304347826091</v>
      </c>
      <c r="J14">
        <f t="shared" si="2"/>
        <v>-6.1607142857142853E-2</v>
      </c>
      <c r="K14">
        <f t="shared" si="3"/>
        <v>0.13031331761535261</v>
      </c>
      <c r="L14">
        <f t="shared" si="4"/>
        <v>0.36098935942123367</v>
      </c>
      <c r="M14">
        <f t="shared" si="5"/>
        <v>0.35157224569720147</v>
      </c>
    </row>
    <row r="15" spans="1:13" x14ac:dyDescent="0.25">
      <c r="A15" t="s">
        <v>173</v>
      </c>
      <c r="B15">
        <v>-0.75</v>
      </c>
      <c r="C15">
        <v>-1.29</v>
      </c>
      <c r="D15">
        <v>-0.21</v>
      </c>
      <c r="E15">
        <v>42</v>
      </c>
      <c r="F15">
        <v>43</v>
      </c>
      <c r="G15">
        <v>0.95</v>
      </c>
      <c r="H15">
        <f t="shared" si="0"/>
        <v>-0.75</v>
      </c>
      <c r="I15">
        <f t="shared" si="1"/>
        <v>0.99093655589123864</v>
      </c>
      <c r="J15">
        <f t="shared" si="2"/>
        <v>-0.75685975609756095</v>
      </c>
      <c r="K15">
        <f t="shared" si="3"/>
        <v>5.0434965353600765E-2</v>
      </c>
      <c r="L15">
        <f t="shared" si="4"/>
        <v>0.22457730373659926</v>
      </c>
      <c r="M15">
        <f t="shared" si="5"/>
        <v>0.22254185989608627</v>
      </c>
    </row>
    <row r="16" spans="1:13" x14ac:dyDescent="0.25">
      <c r="A16" t="s">
        <v>136</v>
      </c>
      <c r="B16">
        <v>-0.38</v>
      </c>
      <c r="C16">
        <v>-0.61</v>
      </c>
      <c r="D16">
        <v>-0.14000000000000001</v>
      </c>
      <c r="E16">
        <v>141</v>
      </c>
      <c r="F16">
        <v>143</v>
      </c>
      <c r="G16">
        <v>0.95</v>
      </c>
      <c r="H16">
        <f t="shared" si="0"/>
        <v>-0.38</v>
      </c>
      <c r="I16">
        <f t="shared" si="1"/>
        <v>0.99733806566104699</v>
      </c>
      <c r="J16">
        <f t="shared" si="2"/>
        <v>-0.38101423487544483</v>
      </c>
      <c r="K16">
        <f t="shared" si="3"/>
        <v>1.4340789812556222E-2</v>
      </c>
      <c r="L16">
        <f t="shared" si="4"/>
        <v>0.11975303675713707</v>
      </c>
      <c r="M16">
        <f t="shared" si="5"/>
        <v>0.11943426203639934</v>
      </c>
    </row>
    <row r="17" spans="1:13" x14ac:dyDescent="0.25">
      <c r="A17" t="s">
        <v>216</v>
      </c>
      <c r="B17">
        <v>-0.28999999999999998</v>
      </c>
      <c r="C17">
        <v>-0.71</v>
      </c>
      <c r="D17">
        <v>0.13</v>
      </c>
      <c r="E17">
        <v>44</v>
      </c>
      <c r="F17">
        <v>43</v>
      </c>
      <c r="G17">
        <v>0.95</v>
      </c>
      <c r="H17">
        <f t="shared" si="0"/>
        <v>-0.28999999999999998</v>
      </c>
      <c r="I17">
        <f t="shared" si="1"/>
        <v>0.99115044247787609</v>
      </c>
      <c r="J17">
        <f t="shared" si="2"/>
        <v>-0.29258928571428572</v>
      </c>
      <c r="K17">
        <f t="shared" si="3"/>
        <v>4.6475089497512799E-2</v>
      </c>
      <c r="L17">
        <f t="shared" si="4"/>
        <v>0.2155808189461966</v>
      </c>
      <c r="M17">
        <f t="shared" si="5"/>
        <v>0.21367302408826566</v>
      </c>
    </row>
  </sheetData>
  <pageMargins left="0.7" right="0.7" top="0.78740157499999996" bottom="0.78740157499999996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L6" sqref="L6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211</v>
      </c>
      <c r="B2">
        <v>-0.46</v>
      </c>
      <c r="C2">
        <v>-1.31</v>
      </c>
      <c r="D2">
        <v>0.4</v>
      </c>
      <c r="E2">
        <v>10</v>
      </c>
      <c r="F2">
        <v>13</v>
      </c>
      <c r="G2">
        <v>0.95</v>
      </c>
      <c r="H2">
        <f>$B2</f>
        <v>-0.46</v>
      </c>
      <c r="I2">
        <f>1-3/(4*($E2+$F2-2)-1)</f>
        <v>0.96385542168674698</v>
      </c>
      <c r="J2">
        <f>$H2/$I2</f>
        <v>-0.47725000000000001</v>
      </c>
      <c r="K2">
        <f>($E2+$F2)/($E2*$F2)+$J2^2/(2*($E2+$F2))</f>
        <v>0.18187454567307693</v>
      </c>
      <c r="L2">
        <f>SQRT($K2)</f>
        <v>0.42646752006814881</v>
      </c>
      <c r="M2">
        <f>SQRT($I2^2*$K2)</f>
        <v>0.41105303139098681</v>
      </c>
    </row>
    <row r="3" spans="1:13" x14ac:dyDescent="0.25">
      <c r="A3" t="s">
        <v>213</v>
      </c>
      <c r="B3">
        <v>-0.12</v>
      </c>
      <c r="C3">
        <v>-1</v>
      </c>
      <c r="D3">
        <v>0.76</v>
      </c>
      <c r="E3">
        <v>10</v>
      </c>
      <c r="F3">
        <v>10</v>
      </c>
      <c r="G3">
        <v>0.95</v>
      </c>
      <c r="H3">
        <f t="shared" ref="H3:H12" si="0">$B3</f>
        <v>-0.12</v>
      </c>
      <c r="I3">
        <f t="shared" ref="I3:I12" si="1">1-3/(4*($E3+$F3-2)-1)</f>
        <v>0.95774647887323949</v>
      </c>
      <c r="J3">
        <f t="shared" ref="J3:J12" si="2">$H3/$I3</f>
        <v>-0.12529411764705881</v>
      </c>
      <c r="K3">
        <f t="shared" ref="K3:K12" si="3">($E3+$F3)/($E3*$F3)+$J3^2/(2*($E3+$F3))</f>
        <v>0.20039246539792388</v>
      </c>
      <c r="L3">
        <f t="shared" ref="L3:L12" si="4">SQRT($K3)</f>
        <v>0.44765217010299846</v>
      </c>
      <c r="M3">
        <f t="shared" ref="M3:M12" si="5">SQRT($I3^2*$K3)</f>
        <v>0.42873728967611124</v>
      </c>
    </row>
    <row r="4" spans="1:13" x14ac:dyDescent="0.25">
      <c r="A4" t="s">
        <v>214</v>
      </c>
      <c r="B4">
        <v>-0.05</v>
      </c>
      <c r="C4">
        <v>-0.93</v>
      </c>
      <c r="D4">
        <v>0.83</v>
      </c>
      <c r="E4">
        <v>10</v>
      </c>
      <c r="F4">
        <v>10</v>
      </c>
      <c r="G4">
        <v>0.95</v>
      </c>
      <c r="H4">
        <f t="shared" si="0"/>
        <v>-0.05</v>
      </c>
      <c r="I4">
        <f t="shared" si="1"/>
        <v>0.95774647887323949</v>
      </c>
      <c r="J4">
        <f t="shared" si="2"/>
        <v>-5.2205882352941178E-2</v>
      </c>
      <c r="K4">
        <f t="shared" si="3"/>
        <v>0.20006813635380624</v>
      </c>
      <c r="L4">
        <f t="shared" si="4"/>
        <v>0.44728976777230917</v>
      </c>
      <c r="M4">
        <f t="shared" si="5"/>
        <v>0.4283902001199581</v>
      </c>
    </row>
    <row r="5" spans="1:13" x14ac:dyDescent="0.25">
      <c r="A5" t="s">
        <v>72</v>
      </c>
      <c r="B5">
        <v>-0.19</v>
      </c>
      <c r="C5">
        <v>-0.91</v>
      </c>
      <c r="D5">
        <v>0.52</v>
      </c>
      <c r="E5">
        <v>14</v>
      </c>
      <c r="F5">
        <v>31</v>
      </c>
      <c r="G5">
        <v>0.95</v>
      </c>
      <c r="H5">
        <f t="shared" si="0"/>
        <v>-0.19</v>
      </c>
      <c r="I5">
        <f t="shared" si="1"/>
        <v>0.98245614035087714</v>
      </c>
      <c r="J5">
        <f t="shared" si="2"/>
        <v>-0.19339285714285714</v>
      </c>
      <c r="K5">
        <f t="shared" si="3"/>
        <v>0.10410220035796576</v>
      </c>
      <c r="L5">
        <f t="shared" si="4"/>
        <v>0.32264872595125144</v>
      </c>
      <c r="M5">
        <f t="shared" si="5"/>
        <v>0.3169882219871944</v>
      </c>
    </row>
    <row r="6" spans="1:13" x14ac:dyDescent="0.25">
      <c r="A6" t="s">
        <v>80</v>
      </c>
      <c r="B6">
        <v>0</v>
      </c>
      <c r="C6">
        <v>-0.56000000000000005</v>
      </c>
      <c r="D6">
        <v>0.56000000000000005</v>
      </c>
      <c r="E6">
        <v>66</v>
      </c>
      <c r="F6">
        <v>21</v>
      </c>
      <c r="G6">
        <v>0.95</v>
      </c>
      <c r="H6">
        <f t="shared" si="0"/>
        <v>0</v>
      </c>
      <c r="I6">
        <f t="shared" si="1"/>
        <v>0.99115044247787609</v>
      </c>
      <c r="J6">
        <f t="shared" si="2"/>
        <v>0</v>
      </c>
      <c r="K6">
        <f t="shared" si="3"/>
        <v>6.2770562770562768E-2</v>
      </c>
      <c r="L6">
        <f t="shared" si="4"/>
        <v>0.25054054117160912</v>
      </c>
      <c r="M6">
        <f t="shared" si="5"/>
        <v>0.24832336824088691</v>
      </c>
    </row>
    <row r="7" spans="1:13" x14ac:dyDescent="0.25">
      <c r="A7" t="s">
        <v>39</v>
      </c>
      <c r="B7">
        <v>0.22</v>
      </c>
      <c r="C7">
        <v>-0.33</v>
      </c>
      <c r="D7">
        <v>0.78</v>
      </c>
      <c r="E7">
        <v>29</v>
      </c>
      <c r="F7">
        <v>22</v>
      </c>
      <c r="G7">
        <v>0.95</v>
      </c>
      <c r="H7">
        <f t="shared" si="0"/>
        <v>0.22</v>
      </c>
      <c r="I7">
        <f t="shared" si="1"/>
        <v>0.98461538461538467</v>
      </c>
      <c r="J7">
        <f t="shared" si="2"/>
        <v>0.22343749999999998</v>
      </c>
      <c r="K7">
        <f t="shared" si="3"/>
        <v>8.0426758157649325E-2</v>
      </c>
      <c r="L7">
        <f t="shared" si="4"/>
        <v>0.28359611802288359</v>
      </c>
      <c r="M7">
        <f t="shared" si="5"/>
        <v>0.27923310082253155</v>
      </c>
    </row>
    <row r="8" spans="1:13" x14ac:dyDescent="0.25">
      <c r="A8" t="s">
        <v>134</v>
      </c>
      <c r="B8">
        <v>-0.06</v>
      </c>
      <c r="C8">
        <v>-0.8</v>
      </c>
      <c r="D8">
        <v>0.68</v>
      </c>
      <c r="E8">
        <v>17</v>
      </c>
      <c r="F8">
        <v>14</v>
      </c>
      <c r="G8">
        <v>0.95</v>
      </c>
      <c r="H8">
        <f t="shared" si="0"/>
        <v>-0.06</v>
      </c>
      <c r="I8">
        <f t="shared" si="1"/>
        <v>0.97391304347826091</v>
      </c>
      <c r="J8">
        <f t="shared" si="2"/>
        <v>-6.1607142857142853E-2</v>
      </c>
      <c r="K8">
        <f t="shared" si="3"/>
        <v>0.13031331761535261</v>
      </c>
      <c r="L8">
        <f t="shared" si="4"/>
        <v>0.36098935942123367</v>
      </c>
      <c r="M8">
        <f t="shared" si="5"/>
        <v>0.35157224569720147</v>
      </c>
    </row>
    <row r="9" spans="1:13" x14ac:dyDescent="0.25">
      <c r="A9" t="s">
        <v>215</v>
      </c>
      <c r="B9">
        <v>0.02</v>
      </c>
      <c r="C9">
        <v>-0.25</v>
      </c>
      <c r="D9">
        <v>0.28000000000000003</v>
      </c>
      <c r="E9">
        <v>111</v>
      </c>
      <c r="F9">
        <v>111</v>
      </c>
      <c r="G9">
        <v>0.95</v>
      </c>
      <c r="H9">
        <f t="shared" si="0"/>
        <v>0.02</v>
      </c>
      <c r="I9">
        <f t="shared" si="1"/>
        <v>0.9965870307167235</v>
      </c>
      <c r="J9">
        <f t="shared" si="2"/>
        <v>2.0068493150684933E-2</v>
      </c>
      <c r="K9">
        <f t="shared" si="3"/>
        <v>1.8018925100039052E-2</v>
      </c>
      <c r="L9">
        <f t="shared" si="4"/>
        <v>0.13423458980471112</v>
      </c>
      <c r="M9">
        <f t="shared" si="5"/>
        <v>0.1337764512729544</v>
      </c>
    </row>
    <row r="10" spans="1:13" x14ac:dyDescent="0.25">
      <c r="A10" t="s">
        <v>173</v>
      </c>
      <c r="B10">
        <v>-0.75</v>
      </c>
      <c r="C10">
        <v>-1.29</v>
      </c>
      <c r="D10">
        <v>-0.21</v>
      </c>
      <c r="E10">
        <v>42</v>
      </c>
      <c r="F10">
        <v>43</v>
      </c>
      <c r="G10">
        <v>0.95</v>
      </c>
      <c r="H10">
        <f t="shared" si="0"/>
        <v>-0.75</v>
      </c>
      <c r="I10">
        <f t="shared" si="1"/>
        <v>0.99093655589123864</v>
      </c>
      <c r="J10">
        <f t="shared" si="2"/>
        <v>-0.75685975609756095</v>
      </c>
      <c r="K10">
        <f t="shared" si="3"/>
        <v>5.0434965353600765E-2</v>
      </c>
      <c r="L10">
        <f t="shared" si="4"/>
        <v>0.22457730373659926</v>
      </c>
      <c r="M10">
        <f t="shared" si="5"/>
        <v>0.22254185989608627</v>
      </c>
    </row>
    <row r="11" spans="1:13" x14ac:dyDescent="0.25">
      <c r="A11" t="s">
        <v>136</v>
      </c>
      <c r="B11">
        <v>-0.38</v>
      </c>
      <c r="C11">
        <v>-0.61</v>
      </c>
      <c r="D11">
        <v>-0.14000000000000001</v>
      </c>
      <c r="E11">
        <v>141</v>
      </c>
      <c r="F11">
        <v>143</v>
      </c>
      <c r="G11">
        <v>0.95</v>
      </c>
      <c r="H11">
        <f t="shared" si="0"/>
        <v>-0.38</v>
      </c>
      <c r="I11">
        <f t="shared" si="1"/>
        <v>0.99733806566104699</v>
      </c>
      <c r="J11">
        <f t="shared" si="2"/>
        <v>-0.38101423487544483</v>
      </c>
      <c r="K11">
        <f t="shared" si="3"/>
        <v>1.4340789812556222E-2</v>
      </c>
      <c r="L11">
        <f t="shared" si="4"/>
        <v>0.11975303675713707</v>
      </c>
      <c r="M11">
        <f t="shared" si="5"/>
        <v>0.11943426203639934</v>
      </c>
    </row>
    <row r="12" spans="1:13" x14ac:dyDescent="0.25">
      <c r="A12" t="s">
        <v>216</v>
      </c>
      <c r="B12">
        <v>-0.28999999999999998</v>
      </c>
      <c r="C12">
        <v>-0.71</v>
      </c>
      <c r="D12">
        <v>0.13</v>
      </c>
      <c r="E12">
        <v>44</v>
      </c>
      <c r="F12">
        <v>43</v>
      </c>
      <c r="G12">
        <v>0.95</v>
      </c>
      <c r="H12">
        <f t="shared" si="0"/>
        <v>-0.28999999999999998</v>
      </c>
      <c r="I12">
        <f t="shared" si="1"/>
        <v>0.99115044247787609</v>
      </c>
      <c r="J12">
        <f t="shared" si="2"/>
        <v>-0.29258928571428572</v>
      </c>
      <c r="K12">
        <f t="shared" si="3"/>
        <v>4.6475089497512799E-2</v>
      </c>
      <c r="L12">
        <f t="shared" si="4"/>
        <v>0.2155808189461966</v>
      </c>
      <c r="M12">
        <f t="shared" si="5"/>
        <v>0.21367302408826566</v>
      </c>
    </row>
  </sheetData>
  <pageMargins left="0.7" right="0.7" top="0.78740157499999996" bottom="0.78740157499999996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F1" sqref="F1"/>
    </sheetView>
  </sheetViews>
  <sheetFormatPr defaultColWidth="11.42578125" defaultRowHeight="15" x14ac:dyDescent="0.25"/>
  <sheetData>
    <row r="1" spans="1:5" x14ac:dyDescent="0.25">
      <c r="A1" t="s">
        <v>19</v>
      </c>
      <c r="B1" t="s">
        <v>48</v>
      </c>
      <c r="C1" t="s">
        <v>47</v>
      </c>
      <c r="D1" t="s">
        <v>368</v>
      </c>
      <c r="E1" t="s">
        <v>369</v>
      </c>
    </row>
    <row r="2" spans="1:5" x14ac:dyDescent="0.25">
      <c r="A2" t="s">
        <v>5</v>
      </c>
      <c r="B2">
        <v>-0.56000000000000005</v>
      </c>
      <c r="C2">
        <v>0.20699999999999999</v>
      </c>
      <c r="D2">
        <f>$B2</f>
        <v>-0.56000000000000005</v>
      </c>
      <c r="E2">
        <f>$C2</f>
        <v>0.20699999999999999</v>
      </c>
    </row>
    <row r="3" spans="1:5" x14ac:dyDescent="0.25">
      <c r="A3" t="s">
        <v>132</v>
      </c>
      <c r="B3">
        <v>-0.42299999999999999</v>
      </c>
      <c r="C3">
        <v>0.246</v>
      </c>
      <c r="D3">
        <f t="shared" ref="D3:D7" si="0">$B3</f>
        <v>-0.42299999999999999</v>
      </c>
      <c r="E3">
        <f t="shared" ref="E3:E7" si="1">$C3</f>
        <v>0.246</v>
      </c>
    </row>
    <row r="4" spans="1:5" x14ac:dyDescent="0.25">
      <c r="A4" t="s">
        <v>174</v>
      </c>
      <c r="B4">
        <v>-0.79700000000000004</v>
      </c>
      <c r="C4">
        <v>0.29599999999999999</v>
      </c>
      <c r="D4">
        <f t="shared" si="0"/>
        <v>-0.79700000000000004</v>
      </c>
      <c r="E4">
        <f t="shared" si="1"/>
        <v>0.29599999999999999</v>
      </c>
    </row>
    <row r="5" spans="1:5" x14ac:dyDescent="0.25">
      <c r="A5" t="s">
        <v>218</v>
      </c>
      <c r="B5">
        <v>-0.84299999999999997</v>
      </c>
      <c r="C5">
        <v>0.36799999999999999</v>
      </c>
      <c r="D5">
        <f t="shared" si="0"/>
        <v>-0.84299999999999997</v>
      </c>
      <c r="E5">
        <f t="shared" si="1"/>
        <v>0.36799999999999999</v>
      </c>
    </row>
    <row r="6" spans="1:5" x14ac:dyDescent="0.25">
      <c r="A6" t="s">
        <v>75</v>
      </c>
      <c r="B6">
        <v>-1.675</v>
      </c>
      <c r="C6">
        <v>0.4</v>
      </c>
      <c r="D6">
        <f t="shared" si="0"/>
        <v>-1.675</v>
      </c>
      <c r="E6">
        <f t="shared" si="1"/>
        <v>0.4</v>
      </c>
    </row>
    <row r="7" spans="1:5" x14ac:dyDescent="0.25">
      <c r="A7" t="s">
        <v>27</v>
      </c>
      <c r="B7">
        <v>-0.40899999999999997</v>
      </c>
      <c r="C7">
        <v>0.314</v>
      </c>
      <c r="D7">
        <f t="shared" si="0"/>
        <v>-0.40899999999999997</v>
      </c>
      <c r="E7">
        <f t="shared" si="1"/>
        <v>0.314</v>
      </c>
    </row>
  </sheetData>
  <pageMargins left="0.7" right="0.7" top="0.78740157499999996" bottom="0.78740157499999996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F2" sqref="F2"/>
    </sheetView>
  </sheetViews>
  <sheetFormatPr defaultColWidth="11.42578125" defaultRowHeight="15" x14ac:dyDescent="0.25"/>
  <sheetData>
    <row r="1" spans="1:5" x14ac:dyDescent="0.25">
      <c r="A1" t="s">
        <v>217</v>
      </c>
      <c r="B1" t="s">
        <v>48</v>
      </c>
      <c r="C1" t="s">
        <v>47</v>
      </c>
      <c r="D1" t="s">
        <v>368</v>
      </c>
      <c r="E1" t="s">
        <v>369</v>
      </c>
    </row>
    <row r="2" spans="1:5" x14ac:dyDescent="0.25">
      <c r="A2" t="s">
        <v>219</v>
      </c>
      <c r="B2">
        <v>-0.46300000000000002</v>
      </c>
      <c r="C2">
        <v>0.40899999999999997</v>
      </c>
      <c r="D2">
        <f>$B2</f>
        <v>-0.46300000000000002</v>
      </c>
      <c r="E2">
        <f>$C2</f>
        <v>0.40899999999999997</v>
      </c>
    </row>
    <row r="3" spans="1:5" x14ac:dyDescent="0.25">
      <c r="A3" t="s">
        <v>220</v>
      </c>
      <c r="B3">
        <v>-0.38500000000000001</v>
      </c>
      <c r="C3">
        <v>0.377</v>
      </c>
      <c r="D3">
        <f t="shared" ref="D3:D9" si="0">$B3</f>
        <v>-0.38500000000000001</v>
      </c>
      <c r="E3">
        <f t="shared" ref="E3:E9" si="1">$C3</f>
        <v>0.377</v>
      </c>
    </row>
    <row r="4" spans="1:5" x14ac:dyDescent="0.25">
      <c r="A4" t="s">
        <v>221</v>
      </c>
      <c r="B4">
        <v>0.28799999999999998</v>
      </c>
      <c r="C4">
        <v>0.32100000000000001</v>
      </c>
      <c r="D4">
        <f t="shared" si="0"/>
        <v>0.28799999999999998</v>
      </c>
      <c r="E4">
        <f t="shared" si="1"/>
        <v>0.32100000000000001</v>
      </c>
    </row>
    <row r="5" spans="1:5" x14ac:dyDescent="0.25">
      <c r="A5" t="s">
        <v>222</v>
      </c>
      <c r="B5">
        <v>0.32800000000000001</v>
      </c>
      <c r="C5">
        <v>0.45800000000000002</v>
      </c>
      <c r="D5">
        <f t="shared" si="0"/>
        <v>0.32800000000000001</v>
      </c>
      <c r="E5">
        <f t="shared" si="1"/>
        <v>0.45800000000000002</v>
      </c>
    </row>
    <row r="6" spans="1:5" x14ac:dyDescent="0.25">
      <c r="A6" t="s">
        <v>223</v>
      </c>
      <c r="B6">
        <v>0.41199999999999998</v>
      </c>
      <c r="C6">
        <v>0.4</v>
      </c>
      <c r="D6">
        <f t="shared" si="0"/>
        <v>0.41199999999999998</v>
      </c>
      <c r="E6">
        <f t="shared" si="1"/>
        <v>0.4</v>
      </c>
    </row>
    <row r="7" spans="1:5" x14ac:dyDescent="0.25">
      <c r="A7" t="s">
        <v>224</v>
      </c>
      <c r="B7">
        <v>0.49299999999999999</v>
      </c>
      <c r="C7">
        <v>0.29199999999999998</v>
      </c>
      <c r="D7">
        <f t="shared" si="0"/>
        <v>0.49299999999999999</v>
      </c>
      <c r="E7">
        <f t="shared" si="1"/>
        <v>0.29199999999999998</v>
      </c>
    </row>
    <row r="8" spans="1:5" x14ac:dyDescent="0.25">
      <c r="A8" t="s">
        <v>225</v>
      </c>
      <c r="B8">
        <v>0.52300000000000002</v>
      </c>
      <c r="C8">
        <v>0.48399999999999999</v>
      </c>
      <c r="D8">
        <f t="shared" si="0"/>
        <v>0.52300000000000002</v>
      </c>
      <c r="E8">
        <f t="shared" si="1"/>
        <v>0.48399999999999999</v>
      </c>
    </row>
    <row r="9" spans="1:5" x14ac:dyDescent="0.25">
      <c r="A9" t="s">
        <v>226</v>
      </c>
      <c r="B9">
        <v>0.53200000000000003</v>
      </c>
      <c r="C9">
        <v>0.39700000000000002</v>
      </c>
      <c r="D9">
        <f t="shared" si="0"/>
        <v>0.53200000000000003</v>
      </c>
      <c r="E9">
        <f t="shared" si="1"/>
        <v>0.39700000000000002</v>
      </c>
    </row>
  </sheetData>
  <pageMargins left="0.7" right="0.7" top="0.78740157499999996" bottom="0.78740157499999996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L5" sqref="L5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147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5</v>
      </c>
      <c r="B2">
        <v>0.65</v>
      </c>
      <c r="C2">
        <v>0.11</v>
      </c>
      <c r="D2">
        <v>1.2</v>
      </c>
      <c r="E2">
        <v>36</v>
      </c>
      <c r="F2">
        <v>37</v>
      </c>
      <c r="G2">
        <v>0.95</v>
      </c>
      <c r="H2">
        <f>$B2</f>
        <v>0.65</v>
      </c>
      <c r="I2">
        <f>1-3/(4*($E2+$F2-2)-1)</f>
        <v>0.98939929328621912</v>
      </c>
      <c r="J2">
        <f>$H2/$I2</f>
        <v>0.65696428571428567</v>
      </c>
      <c r="K2">
        <f>($E2+$F2)/($E2*$F2)+$J2^2/(2*($E2+$F2))</f>
        <v>5.7760983384969745E-2</v>
      </c>
      <c r="L2">
        <f>SQRT($K2)</f>
        <v>0.2403351480432476</v>
      </c>
      <c r="M2">
        <f>SQRT($I2^2*$K2)</f>
        <v>0.23778742562582802</v>
      </c>
    </row>
    <row r="3" spans="1:13" x14ac:dyDescent="0.25">
      <c r="A3" t="s">
        <v>132</v>
      </c>
      <c r="B3">
        <v>1.48</v>
      </c>
      <c r="C3">
        <v>0.66</v>
      </c>
      <c r="D3">
        <v>2.29</v>
      </c>
      <c r="E3">
        <v>19</v>
      </c>
      <c r="F3">
        <v>19</v>
      </c>
      <c r="G3">
        <v>0.95</v>
      </c>
      <c r="H3">
        <f t="shared" ref="H3:H7" si="0">$B3</f>
        <v>1.48</v>
      </c>
      <c r="I3">
        <f t="shared" ref="I3:I7" si="1">1-3/(4*($E3+$F3-2)-1)</f>
        <v>0.97902097902097907</v>
      </c>
      <c r="J3">
        <f t="shared" ref="J3:J7" si="2">$H3/$I3</f>
        <v>1.5117142857142856</v>
      </c>
      <c r="K3">
        <f t="shared" ref="K3:K7" si="3">($E3+$F3)/($E3*$F3)+$J3^2/(2*($E3+$F3))</f>
        <v>0.13533263265306122</v>
      </c>
      <c r="L3">
        <f t="shared" ref="L3:L7" si="4">SQRT($K3)</f>
        <v>0.36787583863725165</v>
      </c>
      <c r="M3">
        <f t="shared" ref="M3:M7" si="5">SQRT($I3^2*$K3)</f>
        <v>0.36015816370080583</v>
      </c>
    </row>
    <row r="4" spans="1:13" x14ac:dyDescent="0.25">
      <c r="A4" t="s">
        <v>72</v>
      </c>
      <c r="B4">
        <v>0.44</v>
      </c>
      <c r="C4">
        <v>-0.39</v>
      </c>
      <c r="D4">
        <v>1.28</v>
      </c>
      <c r="E4">
        <v>14</v>
      </c>
      <c r="F4">
        <v>14</v>
      </c>
      <c r="G4">
        <v>0.95</v>
      </c>
      <c r="H4">
        <f t="shared" si="0"/>
        <v>0.44</v>
      </c>
      <c r="I4">
        <f t="shared" si="1"/>
        <v>0.970873786407767</v>
      </c>
      <c r="J4">
        <f t="shared" si="2"/>
        <v>0.45319999999999999</v>
      </c>
      <c r="K4">
        <f t="shared" si="3"/>
        <v>0.14652482571428571</v>
      </c>
      <c r="L4">
        <f t="shared" si="4"/>
        <v>0.38278561325405858</v>
      </c>
      <c r="M4">
        <f t="shared" si="5"/>
        <v>0.37163651772238698</v>
      </c>
    </row>
    <row r="5" spans="1:13" x14ac:dyDescent="0.25">
      <c r="A5" t="s">
        <v>80</v>
      </c>
      <c r="B5">
        <v>0.75</v>
      </c>
      <c r="C5">
        <v>0.11</v>
      </c>
      <c r="D5">
        <v>1.4</v>
      </c>
      <c r="E5">
        <v>22</v>
      </c>
      <c r="F5">
        <v>23</v>
      </c>
      <c r="G5">
        <v>0.95</v>
      </c>
      <c r="H5">
        <f t="shared" si="0"/>
        <v>0.75</v>
      </c>
      <c r="I5">
        <f t="shared" si="1"/>
        <v>0.98245614035087714</v>
      </c>
      <c r="J5">
        <f t="shared" si="2"/>
        <v>0.76339285714285721</v>
      </c>
      <c r="K5">
        <f t="shared" si="3"/>
        <v>9.5408013594518837E-2</v>
      </c>
      <c r="L5">
        <f t="shared" si="4"/>
        <v>0.30888187644230414</v>
      </c>
      <c r="M5">
        <f t="shared" si="5"/>
        <v>0.30346289615384264</v>
      </c>
    </row>
    <row r="6" spans="1:13" x14ac:dyDescent="0.25">
      <c r="A6" t="s">
        <v>39</v>
      </c>
      <c r="B6">
        <v>0.13</v>
      </c>
      <c r="C6">
        <v>-0.5</v>
      </c>
      <c r="D6">
        <v>0.77</v>
      </c>
      <c r="E6">
        <v>25</v>
      </c>
      <c r="F6">
        <v>26</v>
      </c>
      <c r="G6">
        <v>0.95</v>
      </c>
      <c r="H6">
        <f t="shared" si="0"/>
        <v>0.13</v>
      </c>
      <c r="I6">
        <f t="shared" si="1"/>
        <v>0.98461538461538467</v>
      </c>
      <c r="J6">
        <f t="shared" si="2"/>
        <v>0.13203124999999999</v>
      </c>
      <c r="K6">
        <f t="shared" si="3"/>
        <v>7.863244288287731E-2</v>
      </c>
      <c r="L6">
        <f t="shared" si="4"/>
        <v>0.28041476937365001</v>
      </c>
      <c r="M6">
        <f t="shared" si="5"/>
        <v>0.27610069599867076</v>
      </c>
    </row>
    <row r="7" spans="1:13" x14ac:dyDescent="0.25">
      <c r="A7" t="s">
        <v>134</v>
      </c>
      <c r="B7">
        <v>0.41</v>
      </c>
      <c r="C7">
        <v>-0.32</v>
      </c>
      <c r="D7">
        <v>1.1399999999999999</v>
      </c>
      <c r="E7">
        <v>15</v>
      </c>
      <c r="F7">
        <v>16</v>
      </c>
      <c r="G7">
        <v>0.95</v>
      </c>
      <c r="H7">
        <f t="shared" si="0"/>
        <v>0.41</v>
      </c>
      <c r="I7">
        <f t="shared" si="1"/>
        <v>0.97391304347826091</v>
      </c>
      <c r="J7">
        <f t="shared" si="2"/>
        <v>0.4209821428571428</v>
      </c>
      <c r="K7">
        <f t="shared" si="3"/>
        <v>0.13202514996674075</v>
      </c>
      <c r="L7">
        <f t="shared" si="4"/>
        <v>0.36335265234581782</v>
      </c>
      <c r="M7">
        <f t="shared" si="5"/>
        <v>0.35387388750201387</v>
      </c>
    </row>
  </sheetData>
  <pageMargins left="0.7" right="0.7" top="0.78740157499999996" bottom="0.78740157499999996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A3" sqref="A3"/>
    </sheetView>
  </sheetViews>
  <sheetFormatPr defaultColWidth="11.42578125" defaultRowHeight="15" x14ac:dyDescent="0.25"/>
  <sheetData>
    <row r="1" spans="1:11" x14ac:dyDescent="0.25">
      <c r="A1" t="s">
        <v>217</v>
      </c>
      <c r="B1" t="s">
        <v>228</v>
      </c>
      <c r="C1" t="s">
        <v>229</v>
      </c>
      <c r="D1" t="s">
        <v>230</v>
      </c>
      <c r="E1" t="s">
        <v>231</v>
      </c>
      <c r="F1" t="s">
        <v>24</v>
      </c>
      <c r="G1" t="s">
        <v>25</v>
      </c>
      <c r="H1" t="s">
        <v>47</v>
      </c>
      <c r="I1" t="s">
        <v>368</v>
      </c>
      <c r="J1" t="s">
        <v>369</v>
      </c>
      <c r="K1" t="s">
        <v>378</v>
      </c>
    </row>
    <row r="2" spans="1:11" x14ac:dyDescent="0.25">
      <c r="A2" t="s">
        <v>86</v>
      </c>
      <c r="B2">
        <v>4</v>
      </c>
      <c r="C2">
        <v>14</v>
      </c>
      <c r="D2">
        <v>3</v>
      </c>
      <c r="E2">
        <v>17</v>
      </c>
      <c r="F2">
        <v>1.86666666666667</v>
      </c>
      <c r="G2">
        <v>0.62415430907299396</v>
      </c>
      <c r="H2">
        <v>0.86877034063203695</v>
      </c>
      <c r="I2">
        <f>$G2</f>
        <v>0.62415430907299396</v>
      </c>
      <c r="J2">
        <f>$H2</f>
        <v>0.86877034063203695</v>
      </c>
      <c r="K2">
        <f>$C2+$E2</f>
        <v>31</v>
      </c>
    </row>
    <row r="3" spans="1:11" x14ac:dyDescent="0.25">
      <c r="A3" t="s">
        <v>111</v>
      </c>
      <c r="B3">
        <v>3.5</v>
      </c>
      <c r="C3">
        <v>13</v>
      </c>
      <c r="D3">
        <v>0.5</v>
      </c>
      <c r="E3">
        <v>11</v>
      </c>
      <c r="F3">
        <v>7.7368421052631602</v>
      </c>
      <c r="G3">
        <v>2.0459936076123002</v>
      </c>
      <c r="H3">
        <v>1.5767737754183799</v>
      </c>
      <c r="I3">
        <f t="shared" ref="I3:I8" si="0">$G3</f>
        <v>2.0459936076123002</v>
      </c>
      <c r="J3">
        <f t="shared" ref="J3:J8" si="1">$H3</f>
        <v>1.5767737754183799</v>
      </c>
      <c r="K3">
        <f t="shared" ref="K3:K8" si="2">$C3+$E3</f>
        <v>24</v>
      </c>
    </row>
    <row r="4" spans="1:11" x14ac:dyDescent="0.25">
      <c r="A4" t="s">
        <v>187</v>
      </c>
      <c r="B4">
        <v>1</v>
      </c>
      <c r="C4">
        <v>13</v>
      </c>
      <c r="D4">
        <v>1</v>
      </c>
      <c r="E4">
        <v>13</v>
      </c>
      <c r="F4">
        <v>1</v>
      </c>
      <c r="G4">
        <v>0</v>
      </c>
      <c r="H4">
        <v>1.47196014438797</v>
      </c>
      <c r="I4">
        <f t="shared" si="0"/>
        <v>0</v>
      </c>
      <c r="J4">
        <f t="shared" si="1"/>
        <v>1.47196014438797</v>
      </c>
      <c r="K4">
        <f t="shared" si="2"/>
        <v>26</v>
      </c>
    </row>
    <row r="5" spans="1:11" x14ac:dyDescent="0.25">
      <c r="A5" t="s">
        <v>227</v>
      </c>
      <c r="B5">
        <v>3</v>
      </c>
      <c r="C5">
        <v>23</v>
      </c>
      <c r="D5">
        <v>1</v>
      </c>
      <c r="E5">
        <v>19</v>
      </c>
      <c r="F5">
        <v>2.7</v>
      </c>
      <c r="G5">
        <v>0.993251773010283</v>
      </c>
      <c r="H5">
        <v>1.1995369476964399</v>
      </c>
      <c r="I5">
        <f t="shared" si="0"/>
        <v>0.993251773010283</v>
      </c>
      <c r="J5">
        <f t="shared" si="1"/>
        <v>1.1995369476964399</v>
      </c>
      <c r="K5">
        <f t="shared" si="2"/>
        <v>42</v>
      </c>
    </row>
    <row r="6" spans="1:11" x14ac:dyDescent="0.25">
      <c r="A6" t="s">
        <v>93</v>
      </c>
      <c r="B6">
        <v>15</v>
      </c>
      <c r="C6">
        <v>55</v>
      </c>
      <c r="D6">
        <v>15</v>
      </c>
      <c r="E6">
        <v>56</v>
      </c>
      <c r="F6">
        <v>1.0249999999999999</v>
      </c>
      <c r="G6" s="1">
        <v>2.46926125903714E-2</v>
      </c>
      <c r="H6">
        <v>0.427461784532574</v>
      </c>
      <c r="I6">
        <f t="shared" si="0"/>
        <v>2.46926125903714E-2</v>
      </c>
      <c r="J6">
        <f t="shared" si="1"/>
        <v>0.427461784532574</v>
      </c>
      <c r="K6">
        <f t="shared" si="2"/>
        <v>111</v>
      </c>
    </row>
    <row r="7" spans="1:11" x14ac:dyDescent="0.25">
      <c r="A7" t="s">
        <v>98</v>
      </c>
      <c r="B7">
        <v>3</v>
      </c>
      <c r="C7">
        <v>23</v>
      </c>
      <c r="D7">
        <v>5</v>
      </c>
      <c r="E7">
        <v>25</v>
      </c>
      <c r="F7">
        <v>0.6</v>
      </c>
      <c r="G7">
        <v>-0.51082562376599105</v>
      </c>
      <c r="H7">
        <v>0.79582242575422102</v>
      </c>
      <c r="I7">
        <f t="shared" si="0"/>
        <v>-0.51082562376599105</v>
      </c>
      <c r="J7">
        <f t="shared" si="1"/>
        <v>0.79582242575422102</v>
      </c>
      <c r="K7">
        <f t="shared" si="2"/>
        <v>48</v>
      </c>
    </row>
    <row r="8" spans="1:11" x14ac:dyDescent="0.25">
      <c r="A8" t="s">
        <v>113</v>
      </c>
      <c r="B8">
        <v>4</v>
      </c>
      <c r="C8">
        <v>19</v>
      </c>
      <c r="D8">
        <v>7</v>
      </c>
      <c r="E8">
        <v>22</v>
      </c>
      <c r="F8">
        <v>0.57142857142857095</v>
      </c>
      <c r="G8">
        <v>-0.55961578793542299</v>
      </c>
      <c r="H8">
        <v>0.72538987874830196</v>
      </c>
      <c r="I8">
        <f t="shared" si="0"/>
        <v>-0.55961578793542299</v>
      </c>
      <c r="J8">
        <f t="shared" si="1"/>
        <v>0.72538987874830196</v>
      </c>
      <c r="K8">
        <f t="shared" si="2"/>
        <v>41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A4" sqref="A4"/>
    </sheetView>
  </sheetViews>
  <sheetFormatPr defaultColWidth="11.42578125" defaultRowHeight="15" x14ac:dyDescent="0.25"/>
  <sheetData>
    <row r="1" spans="1:11" x14ac:dyDescent="0.25">
      <c r="A1" t="s">
        <v>217</v>
      </c>
      <c r="B1" t="s">
        <v>228</v>
      </c>
      <c r="C1" t="s">
        <v>229</v>
      </c>
      <c r="D1" t="s">
        <v>230</v>
      </c>
      <c r="E1" t="s">
        <v>231</v>
      </c>
      <c r="F1" t="s">
        <v>24</v>
      </c>
      <c r="G1" t="s">
        <v>25</v>
      </c>
      <c r="H1" t="s">
        <v>47</v>
      </c>
      <c r="I1" t="s">
        <v>368</v>
      </c>
      <c r="J1" t="s">
        <v>369</v>
      </c>
      <c r="K1" t="s">
        <v>378</v>
      </c>
    </row>
    <row r="2" spans="1:11" x14ac:dyDescent="0.25">
      <c r="A2" t="s">
        <v>232</v>
      </c>
      <c r="B2">
        <v>4</v>
      </c>
      <c r="C2">
        <v>29</v>
      </c>
      <c r="D2">
        <v>4</v>
      </c>
      <c r="E2">
        <v>29</v>
      </c>
      <c r="F2">
        <v>1</v>
      </c>
      <c r="G2">
        <v>0</v>
      </c>
      <c r="H2">
        <v>0.761577310586391</v>
      </c>
      <c r="I2">
        <f>$G2</f>
        <v>0</v>
      </c>
      <c r="J2">
        <f>$H2</f>
        <v>0.761577310586391</v>
      </c>
      <c r="K2">
        <f>$C2+$E2</f>
        <v>58</v>
      </c>
    </row>
    <row r="3" spans="1:11" x14ac:dyDescent="0.25">
      <c r="A3" t="s">
        <v>233</v>
      </c>
      <c r="B3">
        <v>4</v>
      </c>
      <c r="C3">
        <v>31</v>
      </c>
      <c r="D3">
        <v>4</v>
      </c>
      <c r="E3">
        <v>29</v>
      </c>
      <c r="F3">
        <v>0.92592592592592604</v>
      </c>
      <c r="G3" s="1">
        <v>-7.6961041136128297E-2</v>
      </c>
      <c r="H3">
        <v>0.759629539339432</v>
      </c>
      <c r="I3">
        <f t="shared" ref="I3:I10" si="0">$G3</f>
        <v>-7.6961041136128297E-2</v>
      </c>
      <c r="J3">
        <f t="shared" ref="J3:J10" si="1">$H3</f>
        <v>0.759629539339432</v>
      </c>
      <c r="K3">
        <f t="shared" ref="K3:K10" si="2">$C3+$E3</f>
        <v>60</v>
      </c>
    </row>
    <row r="4" spans="1:11" x14ac:dyDescent="0.25">
      <c r="A4" t="s">
        <v>105</v>
      </c>
      <c r="B4">
        <v>0.5</v>
      </c>
      <c r="C4">
        <v>10.5</v>
      </c>
      <c r="D4">
        <v>1.5</v>
      </c>
      <c r="E4">
        <v>13.5</v>
      </c>
      <c r="F4">
        <v>0.39682539682539703</v>
      </c>
      <c r="G4">
        <v>-0.92425890152333201</v>
      </c>
      <c r="H4">
        <v>1.6857949940324199</v>
      </c>
      <c r="I4">
        <f t="shared" si="0"/>
        <v>-0.92425890152333201</v>
      </c>
      <c r="J4">
        <f t="shared" si="1"/>
        <v>1.6857949940324199</v>
      </c>
      <c r="K4">
        <f t="shared" si="2"/>
        <v>24</v>
      </c>
    </row>
    <row r="5" spans="1:11" x14ac:dyDescent="0.25">
      <c r="A5" t="s">
        <v>86</v>
      </c>
      <c r="B5">
        <v>4</v>
      </c>
      <c r="C5">
        <v>14</v>
      </c>
      <c r="D5">
        <v>3</v>
      </c>
      <c r="E5">
        <v>17</v>
      </c>
      <c r="F5">
        <v>1.86666666666667</v>
      </c>
      <c r="G5">
        <v>0.62415430907299396</v>
      </c>
      <c r="H5">
        <v>0.86877034063203695</v>
      </c>
      <c r="I5">
        <f t="shared" si="0"/>
        <v>0.62415430907299396</v>
      </c>
      <c r="J5">
        <f t="shared" si="1"/>
        <v>0.86877034063203695</v>
      </c>
      <c r="K5">
        <f t="shared" si="2"/>
        <v>31</v>
      </c>
    </row>
    <row r="6" spans="1:11" x14ac:dyDescent="0.25">
      <c r="A6" t="s">
        <v>227</v>
      </c>
      <c r="B6">
        <v>3</v>
      </c>
      <c r="C6">
        <v>23</v>
      </c>
      <c r="D6">
        <v>1</v>
      </c>
      <c r="E6">
        <v>19</v>
      </c>
      <c r="F6">
        <v>2.7</v>
      </c>
      <c r="G6">
        <v>0.993251773010283</v>
      </c>
      <c r="H6">
        <v>1.1995369476964399</v>
      </c>
      <c r="I6">
        <f t="shared" si="0"/>
        <v>0.993251773010283</v>
      </c>
      <c r="J6">
        <f t="shared" si="1"/>
        <v>1.1995369476964399</v>
      </c>
      <c r="K6">
        <f t="shared" si="2"/>
        <v>42</v>
      </c>
    </row>
    <row r="7" spans="1:11" x14ac:dyDescent="0.25">
      <c r="A7" t="s">
        <v>110</v>
      </c>
      <c r="B7">
        <v>1</v>
      </c>
      <c r="C7">
        <v>10</v>
      </c>
      <c r="D7">
        <v>2</v>
      </c>
      <c r="E7">
        <v>9</v>
      </c>
      <c r="F7">
        <v>0.38888888888888901</v>
      </c>
      <c r="G7">
        <v>-0.94446160884085095</v>
      </c>
      <c r="H7">
        <v>1.32437466525461</v>
      </c>
      <c r="I7">
        <f t="shared" si="0"/>
        <v>-0.94446160884085095</v>
      </c>
      <c r="J7">
        <f t="shared" si="1"/>
        <v>1.32437466525461</v>
      </c>
      <c r="K7">
        <f t="shared" si="2"/>
        <v>19</v>
      </c>
    </row>
    <row r="8" spans="1:11" x14ac:dyDescent="0.25">
      <c r="A8" t="s">
        <v>234</v>
      </c>
      <c r="B8">
        <v>0.5</v>
      </c>
      <c r="C8">
        <v>12.5</v>
      </c>
      <c r="D8">
        <v>0.5</v>
      </c>
      <c r="E8">
        <v>14.5</v>
      </c>
      <c r="F8">
        <v>1.1666666666666701</v>
      </c>
      <c r="G8">
        <v>0.154150679827258</v>
      </c>
      <c r="H8">
        <v>2.03832330722138</v>
      </c>
      <c r="I8">
        <f t="shared" si="0"/>
        <v>0.154150679827258</v>
      </c>
      <c r="J8">
        <f t="shared" si="1"/>
        <v>2.03832330722138</v>
      </c>
      <c r="K8">
        <f t="shared" si="2"/>
        <v>27</v>
      </c>
    </row>
    <row r="9" spans="1:11" x14ac:dyDescent="0.25">
      <c r="A9" t="s">
        <v>235</v>
      </c>
      <c r="B9">
        <v>6</v>
      </c>
      <c r="C9">
        <v>35</v>
      </c>
      <c r="D9">
        <v>4</v>
      </c>
      <c r="E9">
        <v>37</v>
      </c>
      <c r="F9">
        <v>1.7068965517241399</v>
      </c>
      <c r="G9">
        <v>0.53467683958817103</v>
      </c>
      <c r="H9">
        <v>0.69386775079289198</v>
      </c>
      <c r="I9">
        <f t="shared" si="0"/>
        <v>0.53467683958817103</v>
      </c>
      <c r="J9">
        <f t="shared" si="1"/>
        <v>0.69386775079289198</v>
      </c>
      <c r="K9">
        <f t="shared" si="2"/>
        <v>72</v>
      </c>
    </row>
    <row r="10" spans="1:11" x14ac:dyDescent="0.25">
      <c r="A10" t="s">
        <v>236</v>
      </c>
      <c r="B10">
        <v>16</v>
      </c>
      <c r="C10">
        <v>41</v>
      </c>
      <c r="D10">
        <v>10</v>
      </c>
      <c r="E10">
        <v>34</v>
      </c>
      <c r="F10">
        <v>1.536</v>
      </c>
      <c r="G10">
        <v>0.42918163472547999</v>
      </c>
      <c r="H10">
        <v>0.49413223601245299</v>
      </c>
      <c r="I10">
        <f t="shared" si="0"/>
        <v>0.42918163472547999</v>
      </c>
      <c r="J10">
        <f t="shared" si="1"/>
        <v>0.49413223601245299</v>
      </c>
      <c r="K10">
        <f t="shared" si="2"/>
        <v>75</v>
      </c>
    </row>
  </sheetData>
  <pageMargins left="0.7" right="0.7" top="0.78740157499999996" bottom="0.78740157499999996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J2" sqref="J2"/>
    </sheetView>
  </sheetViews>
  <sheetFormatPr defaultColWidth="11.42578125" defaultRowHeight="15" x14ac:dyDescent="0.25"/>
  <sheetData>
    <row r="1" spans="1:10" x14ac:dyDescent="0.25">
      <c r="A1" t="s">
        <v>217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237</v>
      </c>
      <c r="B2">
        <v>-1.1000000000000001</v>
      </c>
      <c r="C2">
        <v>-1.86</v>
      </c>
      <c r="D2">
        <v>-0.34</v>
      </c>
      <c r="E2">
        <v>16</v>
      </c>
      <c r="F2">
        <v>15</v>
      </c>
      <c r="G2">
        <v>0.95</v>
      </c>
      <c r="H2">
        <f>$B2</f>
        <v>-1.1000000000000001</v>
      </c>
      <c r="I2">
        <f>($E2+$F2)/($E2*$F2)+$H2^2/(2*($E2+$F2))</f>
        <v>0.14868279569892476</v>
      </c>
      <c r="J2">
        <f>SQRT($I2)</f>
        <v>0.38559408151438834</v>
      </c>
    </row>
    <row r="3" spans="1:10" x14ac:dyDescent="0.25">
      <c r="A3" t="s">
        <v>238</v>
      </c>
      <c r="B3">
        <v>-0.82</v>
      </c>
      <c r="C3">
        <v>-1.27</v>
      </c>
      <c r="D3">
        <v>-0.36</v>
      </c>
      <c r="E3">
        <v>79</v>
      </c>
      <c r="F3">
        <v>26</v>
      </c>
      <c r="G3">
        <v>0.95</v>
      </c>
      <c r="H3">
        <f t="shared" ref="H3:H8" si="0">$B3</f>
        <v>-0.82</v>
      </c>
      <c r="I3">
        <f t="shared" ref="I3:I8" si="1">($E3+$F3)/($E3*$F3)+$H3^2/(2*($E3+$F3))</f>
        <v>5.4321671071544488E-2</v>
      </c>
      <c r="J3">
        <f t="shared" ref="J3:J8" si="2">SQRT($I3)</f>
        <v>0.23307009905078876</v>
      </c>
    </row>
    <row r="4" spans="1:10" x14ac:dyDescent="0.25">
      <c r="A4" t="s">
        <v>239</v>
      </c>
      <c r="B4">
        <v>-1.4</v>
      </c>
      <c r="C4">
        <v>-2.11</v>
      </c>
      <c r="D4">
        <v>-0.68</v>
      </c>
      <c r="E4">
        <v>25</v>
      </c>
      <c r="F4">
        <v>15</v>
      </c>
      <c r="G4">
        <v>0.95</v>
      </c>
      <c r="H4">
        <f t="shared" si="0"/>
        <v>-1.4</v>
      </c>
      <c r="I4">
        <f t="shared" si="1"/>
        <v>0.13116666666666668</v>
      </c>
      <c r="J4">
        <f t="shared" si="2"/>
        <v>0.36216938946667854</v>
      </c>
    </row>
    <row r="5" spans="1:10" x14ac:dyDescent="0.25">
      <c r="A5" t="s">
        <v>4</v>
      </c>
      <c r="B5">
        <v>-1.23</v>
      </c>
      <c r="C5">
        <v>-1.64</v>
      </c>
      <c r="D5">
        <v>-0.82</v>
      </c>
      <c r="E5">
        <v>62</v>
      </c>
      <c r="F5">
        <v>47</v>
      </c>
      <c r="G5">
        <v>0.95</v>
      </c>
      <c r="H5">
        <f t="shared" si="0"/>
        <v>-1.23</v>
      </c>
      <c r="I5">
        <f t="shared" si="1"/>
        <v>4.4345536259626103E-2</v>
      </c>
      <c r="J5">
        <f t="shared" si="2"/>
        <v>0.21058379866368188</v>
      </c>
    </row>
    <row r="6" spans="1:10" x14ac:dyDescent="0.25">
      <c r="A6" t="s">
        <v>146</v>
      </c>
      <c r="B6">
        <v>-1.5</v>
      </c>
      <c r="C6">
        <v>-2.14</v>
      </c>
      <c r="D6">
        <v>-0.86</v>
      </c>
      <c r="E6">
        <v>24</v>
      </c>
      <c r="F6">
        <v>24</v>
      </c>
      <c r="G6">
        <v>0.95</v>
      </c>
      <c r="H6">
        <f t="shared" si="0"/>
        <v>-1.5</v>
      </c>
      <c r="I6">
        <f t="shared" si="1"/>
        <v>0.10677083333333333</v>
      </c>
      <c r="J6">
        <f t="shared" si="2"/>
        <v>0.32675806544496089</v>
      </c>
    </row>
    <row r="7" spans="1:10" x14ac:dyDescent="0.25">
      <c r="A7" t="s">
        <v>116</v>
      </c>
      <c r="B7">
        <v>-1.49</v>
      </c>
      <c r="C7">
        <v>-2.4</v>
      </c>
      <c r="D7">
        <v>-0.57999999999999996</v>
      </c>
      <c r="E7">
        <v>12</v>
      </c>
      <c r="F7">
        <v>12</v>
      </c>
      <c r="G7">
        <v>0.95</v>
      </c>
      <c r="H7">
        <f>$B7</f>
        <v>-1.49</v>
      </c>
      <c r="I7">
        <f t="shared" si="1"/>
        <v>0.21291874999999999</v>
      </c>
      <c r="J7">
        <f t="shared" si="2"/>
        <v>0.46143119747151901</v>
      </c>
    </row>
    <row r="8" spans="1:10" x14ac:dyDescent="0.25">
      <c r="A8" t="s">
        <v>65</v>
      </c>
      <c r="B8">
        <v>-2.0699999999999998</v>
      </c>
      <c r="C8">
        <v>-2.97</v>
      </c>
      <c r="D8">
        <v>-1.17</v>
      </c>
      <c r="E8">
        <v>15</v>
      </c>
      <c r="F8">
        <v>15</v>
      </c>
      <c r="G8">
        <v>0.95</v>
      </c>
      <c r="H8">
        <f t="shared" si="0"/>
        <v>-2.0699999999999998</v>
      </c>
      <c r="I8">
        <f t="shared" si="1"/>
        <v>0.20474833333333331</v>
      </c>
      <c r="J8">
        <f t="shared" si="2"/>
        <v>0.45249125221746916</v>
      </c>
    </row>
  </sheetData>
  <pageMargins left="0.7" right="0.7" top="0.78740157499999996" bottom="0.78740157499999996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H2" sqref="H2"/>
    </sheetView>
  </sheetViews>
  <sheetFormatPr defaultColWidth="11.42578125" defaultRowHeight="15" x14ac:dyDescent="0.25"/>
  <sheetData>
    <row r="1" spans="1:10" x14ac:dyDescent="0.25">
      <c r="A1" t="s">
        <v>217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237</v>
      </c>
      <c r="B2">
        <v>-1.1000000000000001</v>
      </c>
      <c r="C2">
        <v>-1.86</v>
      </c>
      <c r="D2">
        <v>-0.34</v>
      </c>
      <c r="E2">
        <v>16</v>
      </c>
      <c r="F2">
        <v>15</v>
      </c>
      <c r="G2">
        <v>0.95</v>
      </c>
      <c r="H2">
        <f>$B2</f>
        <v>-1.1000000000000001</v>
      </c>
      <c r="I2">
        <f>($E2+$F2)/($E2*$F2)+$H2^2/(2*($E2+$F2))</f>
        <v>0.14868279569892476</v>
      </c>
      <c r="J2">
        <f>SQRT($I2)</f>
        <v>0.38559408151438834</v>
      </c>
    </row>
    <row r="3" spans="1:10" x14ac:dyDescent="0.25">
      <c r="A3" t="s">
        <v>238</v>
      </c>
      <c r="B3">
        <v>-0.82</v>
      </c>
      <c r="C3">
        <v>-1.27</v>
      </c>
      <c r="D3">
        <v>-0.36</v>
      </c>
      <c r="E3">
        <v>79</v>
      </c>
      <c r="F3">
        <v>26</v>
      </c>
      <c r="G3">
        <v>0.95</v>
      </c>
      <c r="H3">
        <f t="shared" ref="H3:H12" si="0">$B3</f>
        <v>-0.82</v>
      </c>
      <c r="I3">
        <f t="shared" ref="I3:I12" si="1">($E3+$F3)/($E3*$F3)+$H3^2/(2*($E3+$F3))</f>
        <v>5.4321671071544488E-2</v>
      </c>
      <c r="J3">
        <f t="shared" ref="J3:J12" si="2">SQRT($I3)</f>
        <v>0.23307009905078876</v>
      </c>
    </row>
    <row r="4" spans="1:10" x14ac:dyDescent="0.25">
      <c r="A4" t="s">
        <v>239</v>
      </c>
      <c r="B4">
        <v>-1.4</v>
      </c>
      <c r="C4">
        <v>-2.11</v>
      </c>
      <c r="D4">
        <v>-0.68</v>
      </c>
      <c r="E4">
        <v>25</v>
      </c>
      <c r="F4">
        <v>15</v>
      </c>
      <c r="G4">
        <v>0.95</v>
      </c>
      <c r="H4">
        <f t="shared" si="0"/>
        <v>-1.4</v>
      </c>
      <c r="I4">
        <f t="shared" si="1"/>
        <v>0.13116666666666668</v>
      </c>
      <c r="J4">
        <f t="shared" si="2"/>
        <v>0.36216938946667854</v>
      </c>
    </row>
    <row r="5" spans="1:10" x14ac:dyDescent="0.25">
      <c r="A5" t="s">
        <v>4</v>
      </c>
      <c r="B5">
        <v>-1.23</v>
      </c>
      <c r="C5">
        <v>-1.64</v>
      </c>
      <c r="D5">
        <v>-0.82</v>
      </c>
      <c r="E5">
        <v>62</v>
      </c>
      <c r="F5">
        <v>47</v>
      </c>
      <c r="G5">
        <v>0.95</v>
      </c>
      <c r="H5">
        <f t="shared" si="0"/>
        <v>-1.23</v>
      </c>
      <c r="I5">
        <f t="shared" si="1"/>
        <v>4.4345536259626103E-2</v>
      </c>
      <c r="J5">
        <f t="shared" si="2"/>
        <v>0.21058379866368188</v>
      </c>
    </row>
    <row r="6" spans="1:10" x14ac:dyDescent="0.25">
      <c r="A6" t="s">
        <v>146</v>
      </c>
      <c r="B6">
        <v>-1.5</v>
      </c>
      <c r="C6">
        <v>-2.14</v>
      </c>
      <c r="D6">
        <v>-0.86</v>
      </c>
      <c r="E6">
        <v>24</v>
      </c>
      <c r="F6">
        <v>24</v>
      </c>
      <c r="G6">
        <v>0.95</v>
      </c>
      <c r="H6">
        <f t="shared" si="0"/>
        <v>-1.5</v>
      </c>
      <c r="I6">
        <f t="shared" si="1"/>
        <v>0.10677083333333333</v>
      </c>
      <c r="J6">
        <f t="shared" si="2"/>
        <v>0.32675806544496089</v>
      </c>
    </row>
    <row r="7" spans="1:10" x14ac:dyDescent="0.25">
      <c r="A7" t="s">
        <v>116</v>
      </c>
      <c r="B7">
        <v>-1.49</v>
      </c>
      <c r="C7">
        <v>-2.4</v>
      </c>
      <c r="D7">
        <v>-0.57999999999999996</v>
      </c>
      <c r="E7">
        <v>12</v>
      </c>
      <c r="F7">
        <v>12</v>
      </c>
      <c r="G7">
        <v>0.95</v>
      </c>
      <c r="H7">
        <f>$B7</f>
        <v>-1.49</v>
      </c>
      <c r="I7">
        <f t="shared" si="1"/>
        <v>0.21291874999999999</v>
      </c>
      <c r="J7">
        <f t="shared" si="2"/>
        <v>0.46143119747151901</v>
      </c>
    </row>
    <row r="8" spans="1:10" x14ac:dyDescent="0.25">
      <c r="A8" t="s">
        <v>65</v>
      </c>
      <c r="B8">
        <v>-2.0699999999999998</v>
      </c>
      <c r="C8">
        <v>-2.97</v>
      </c>
      <c r="D8">
        <v>-1.17</v>
      </c>
      <c r="E8">
        <v>15</v>
      </c>
      <c r="F8">
        <v>15</v>
      </c>
      <c r="G8">
        <v>0.95</v>
      </c>
      <c r="H8">
        <f t="shared" si="0"/>
        <v>-2.0699999999999998</v>
      </c>
      <c r="I8">
        <f t="shared" si="1"/>
        <v>0.20474833333333331</v>
      </c>
      <c r="J8">
        <f t="shared" si="2"/>
        <v>0.45249125221746916</v>
      </c>
    </row>
    <row r="9" spans="1:10" x14ac:dyDescent="0.25">
      <c r="A9" t="s">
        <v>199</v>
      </c>
      <c r="B9">
        <v>-1.37</v>
      </c>
      <c r="C9">
        <v>-2.42</v>
      </c>
      <c r="D9">
        <v>-0.33</v>
      </c>
      <c r="E9">
        <v>10</v>
      </c>
      <c r="F9">
        <v>8</v>
      </c>
      <c r="G9">
        <v>0.95</v>
      </c>
      <c r="H9">
        <f t="shared" si="0"/>
        <v>-1.37</v>
      </c>
      <c r="I9">
        <f t="shared" si="1"/>
        <v>0.27713611111111114</v>
      </c>
      <c r="J9">
        <f t="shared" si="2"/>
        <v>0.52643718629206959</v>
      </c>
    </row>
    <row r="10" spans="1:10" x14ac:dyDescent="0.25">
      <c r="A10" t="s">
        <v>72</v>
      </c>
      <c r="B10">
        <v>-0.74</v>
      </c>
      <c r="C10">
        <v>-1.65</v>
      </c>
      <c r="D10">
        <v>0.17</v>
      </c>
      <c r="E10">
        <v>10</v>
      </c>
      <c r="F10">
        <v>10</v>
      </c>
      <c r="G10">
        <v>0.95</v>
      </c>
      <c r="H10">
        <f t="shared" si="0"/>
        <v>-0.74</v>
      </c>
      <c r="I10">
        <f t="shared" si="1"/>
        <v>0.21369000000000002</v>
      </c>
      <c r="J10">
        <f t="shared" si="2"/>
        <v>0.46226615709999797</v>
      </c>
    </row>
    <row r="11" spans="1:10" x14ac:dyDescent="0.25">
      <c r="A11" t="s">
        <v>240</v>
      </c>
      <c r="B11">
        <v>-0.94</v>
      </c>
      <c r="C11">
        <v>-1.58</v>
      </c>
      <c r="D11">
        <v>-0.3</v>
      </c>
      <c r="E11">
        <v>17</v>
      </c>
      <c r="F11">
        <v>14</v>
      </c>
      <c r="G11">
        <v>0.95</v>
      </c>
      <c r="H11">
        <f>$B11</f>
        <v>-0.94</v>
      </c>
      <c r="I11">
        <f t="shared" si="1"/>
        <v>0.14450371374356194</v>
      </c>
      <c r="J11">
        <f t="shared" si="2"/>
        <v>0.380136440957141</v>
      </c>
    </row>
    <row r="12" spans="1:10" x14ac:dyDescent="0.25">
      <c r="A12" t="s">
        <v>241</v>
      </c>
      <c r="B12">
        <v>-1.22</v>
      </c>
      <c r="C12">
        <v>-1.88</v>
      </c>
      <c r="D12">
        <v>-0.55000000000000004</v>
      </c>
      <c r="E12">
        <v>17</v>
      </c>
      <c r="F12">
        <v>14</v>
      </c>
      <c r="G12">
        <v>0.95</v>
      </c>
      <c r="H12">
        <f t="shared" si="0"/>
        <v>-1.22</v>
      </c>
      <c r="I12">
        <f t="shared" si="1"/>
        <v>0.15425855245323938</v>
      </c>
      <c r="J12">
        <f t="shared" si="2"/>
        <v>0.39275762558254601</v>
      </c>
    </row>
  </sheetData>
  <pageMargins left="0.7" right="0.7" top="0.78740157499999996" bottom="0.78740157499999996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1" sqref="J1"/>
    </sheetView>
  </sheetViews>
  <sheetFormatPr defaultColWidth="11.42578125" defaultRowHeight="15" x14ac:dyDescent="0.25"/>
  <sheetData>
    <row r="1" spans="1:10" x14ac:dyDescent="0.25">
      <c r="A1" t="s">
        <v>217</v>
      </c>
      <c r="B1" t="s">
        <v>43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381</v>
      </c>
      <c r="J1" t="s">
        <v>369</v>
      </c>
    </row>
    <row r="2" spans="1:10" x14ac:dyDescent="0.25">
      <c r="A2" t="s">
        <v>237</v>
      </c>
      <c r="B2">
        <v>-1.1000000000000001</v>
      </c>
      <c r="C2">
        <v>-1.86</v>
      </c>
      <c r="D2">
        <v>-0.34</v>
      </c>
      <c r="E2">
        <v>16</v>
      </c>
      <c r="F2">
        <v>15</v>
      </c>
      <c r="G2">
        <v>0.95</v>
      </c>
      <c r="H2">
        <f>$B2</f>
        <v>-1.1000000000000001</v>
      </c>
      <c r="I2">
        <f>($E2+$F2)/($E2*$F2)+$H2^2/(2*($E2+$F2))</f>
        <v>0.14868279569892476</v>
      </c>
      <c r="J2">
        <f>SQRT($I2)</f>
        <v>0.38559408151438834</v>
      </c>
    </row>
    <row r="3" spans="1:10" x14ac:dyDescent="0.25">
      <c r="A3" t="s">
        <v>238</v>
      </c>
      <c r="B3">
        <v>-0.82</v>
      </c>
      <c r="C3">
        <v>-1.27</v>
      </c>
      <c r="D3">
        <v>-0.36</v>
      </c>
      <c r="E3">
        <v>79</v>
      </c>
      <c r="F3">
        <v>26</v>
      </c>
      <c r="G3">
        <v>0.95</v>
      </c>
      <c r="H3">
        <f t="shared" ref="H3:H10" si="0">$B3</f>
        <v>-0.82</v>
      </c>
      <c r="I3">
        <f t="shared" ref="I3:I10" si="1">($E3+$F3)/($E3*$F3)+$H3^2/(2*($E3+$F3))</f>
        <v>5.4321671071544488E-2</v>
      </c>
      <c r="J3">
        <f t="shared" ref="J3:J10" si="2">SQRT($I3)</f>
        <v>0.23307009905078876</v>
      </c>
    </row>
    <row r="4" spans="1:10" x14ac:dyDescent="0.25">
      <c r="A4" t="s">
        <v>239</v>
      </c>
      <c r="B4">
        <v>-1.4</v>
      </c>
      <c r="C4">
        <v>-2.11</v>
      </c>
      <c r="D4">
        <v>-0.68</v>
      </c>
      <c r="E4">
        <v>25</v>
      </c>
      <c r="F4">
        <v>15</v>
      </c>
      <c r="G4">
        <v>0.95</v>
      </c>
      <c r="H4">
        <f t="shared" si="0"/>
        <v>-1.4</v>
      </c>
      <c r="I4">
        <f t="shared" si="1"/>
        <v>0.13116666666666668</v>
      </c>
      <c r="J4">
        <f t="shared" si="2"/>
        <v>0.36216938946667854</v>
      </c>
    </row>
    <row r="5" spans="1:10" x14ac:dyDescent="0.25">
      <c r="A5" t="s">
        <v>4</v>
      </c>
      <c r="B5">
        <v>-1.23</v>
      </c>
      <c r="C5">
        <v>-1.64</v>
      </c>
      <c r="D5">
        <v>-0.82</v>
      </c>
      <c r="E5">
        <v>62</v>
      </c>
      <c r="F5">
        <v>47</v>
      </c>
      <c r="G5">
        <v>0.95</v>
      </c>
      <c r="H5">
        <f t="shared" si="0"/>
        <v>-1.23</v>
      </c>
      <c r="I5">
        <f t="shared" si="1"/>
        <v>4.4345536259626103E-2</v>
      </c>
      <c r="J5">
        <f t="shared" si="2"/>
        <v>0.21058379866368188</v>
      </c>
    </row>
    <row r="6" spans="1:10" x14ac:dyDescent="0.25">
      <c r="A6" t="s">
        <v>146</v>
      </c>
      <c r="B6">
        <v>-1.5</v>
      </c>
      <c r="C6">
        <v>-2.14</v>
      </c>
      <c r="D6">
        <v>-0.86</v>
      </c>
      <c r="E6">
        <v>24</v>
      </c>
      <c r="F6">
        <v>24</v>
      </c>
      <c r="G6">
        <v>0.95</v>
      </c>
      <c r="H6">
        <f t="shared" si="0"/>
        <v>-1.5</v>
      </c>
      <c r="I6">
        <f t="shared" si="1"/>
        <v>0.10677083333333333</v>
      </c>
      <c r="J6">
        <f t="shared" si="2"/>
        <v>0.32675806544496089</v>
      </c>
    </row>
    <row r="7" spans="1:10" x14ac:dyDescent="0.25">
      <c r="A7" t="s">
        <v>199</v>
      </c>
      <c r="B7">
        <v>-1.37</v>
      </c>
      <c r="C7">
        <v>-2.42</v>
      </c>
      <c r="D7">
        <v>-0.33</v>
      </c>
      <c r="E7">
        <v>10</v>
      </c>
      <c r="F7">
        <v>8</v>
      </c>
      <c r="G7">
        <v>0.95</v>
      </c>
      <c r="H7">
        <f>$B7</f>
        <v>-1.37</v>
      </c>
      <c r="I7">
        <f t="shared" si="1"/>
        <v>0.27713611111111114</v>
      </c>
      <c r="J7">
        <f t="shared" si="2"/>
        <v>0.52643718629206959</v>
      </c>
    </row>
    <row r="8" spans="1:10" x14ac:dyDescent="0.25">
      <c r="A8" t="s">
        <v>72</v>
      </c>
      <c r="B8">
        <v>-0.74</v>
      </c>
      <c r="C8">
        <v>-1.65</v>
      </c>
      <c r="D8">
        <v>0.17</v>
      </c>
      <c r="E8">
        <v>10</v>
      </c>
      <c r="F8">
        <v>10</v>
      </c>
      <c r="G8">
        <v>0.95</v>
      </c>
      <c r="H8">
        <f t="shared" si="0"/>
        <v>-0.74</v>
      </c>
      <c r="I8">
        <f t="shared" si="1"/>
        <v>0.21369000000000002</v>
      </c>
      <c r="J8">
        <f t="shared" si="2"/>
        <v>0.46226615709999797</v>
      </c>
    </row>
    <row r="9" spans="1:10" x14ac:dyDescent="0.25">
      <c r="A9" t="s">
        <v>240</v>
      </c>
      <c r="B9">
        <v>-0.94</v>
      </c>
      <c r="C9">
        <v>-1.58</v>
      </c>
      <c r="D9">
        <v>-0.3</v>
      </c>
      <c r="E9">
        <v>17</v>
      </c>
      <c r="F9">
        <v>14</v>
      </c>
      <c r="G9">
        <v>0.95</v>
      </c>
      <c r="H9">
        <f t="shared" si="0"/>
        <v>-0.94</v>
      </c>
      <c r="I9">
        <f t="shared" si="1"/>
        <v>0.14450371374356194</v>
      </c>
      <c r="J9">
        <f t="shared" si="2"/>
        <v>0.380136440957141</v>
      </c>
    </row>
    <row r="10" spans="1:10" x14ac:dyDescent="0.25">
      <c r="A10" t="s">
        <v>241</v>
      </c>
      <c r="B10">
        <v>-1.22</v>
      </c>
      <c r="C10">
        <v>-1.88</v>
      </c>
      <c r="D10">
        <v>-0.55000000000000004</v>
      </c>
      <c r="E10">
        <v>17</v>
      </c>
      <c r="F10">
        <v>14</v>
      </c>
      <c r="G10">
        <v>0.95</v>
      </c>
      <c r="H10">
        <f t="shared" si="0"/>
        <v>-1.22</v>
      </c>
      <c r="I10">
        <f t="shared" si="1"/>
        <v>0.15425855245323938</v>
      </c>
      <c r="J10">
        <f t="shared" si="2"/>
        <v>0.39275762558254601</v>
      </c>
    </row>
  </sheetData>
  <pageMargins left="0.7" right="0.7" top="0.78740157499999996" bottom="0.78740157499999996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B1" workbookViewId="0">
      <selection activeCell="H5" sqref="H5"/>
    </sheetView>
  </sheetViews>
  <sheetFormatPr defaultColWidth="11.42578125" defaultRowHeight="15" x14ac:dyDescent="0.25"/>
  <sheetData>
    <row r="1" spans="1:12" x14ac:dyDescent="0.25">
      <c r="A1" t="s">
        <v>217</v>
      </c>
      <c r="B1" t="s">
        <v>248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379</v>
      </c>
      <c r="I1" t="s">
        <v>381</v>
      </c>
      <c r="J1" t="s">
        <v>380</v>
      </c>
      <c r="K1" t="s">
        <v>368</v>
      </c>
      <c r="L1" t="s">
        <v>369</v>
      </c>
    </row>
    <row r="2" spans="1:12" x14ac:dyDescent="0.25">
      <c r="A2" t="s">
        <v>242</v>
      </c>
      <c r="B2">
        <v>-19.7</v>
      </c>
      <c r="C2">
        <v>-32.28</v>
      </c>
      <c r="D2">
        <v>-7.12</v>
      </c>
      <c r="E2">
        <v>16</v>
      </c>
      <c r="F2">
        <v>15</v>
      </c>
      <c r="G2">
        <v>0.95</v>
      </c>
      <c r="H2">
        <v>-1.15107305964673</v>
      </c>
      <c r="I2">
        <f>($E2+$F2)/($E2*$F2)+$H2^2/(2*($E2+$F2))</f>
        <v>0.15053713745125513</v>
      </c>
      <c r="J2">
        <f>SQRT($I2)</f>
        <v>0.38799115640856446</v>
      </c>
      <c r="K2">
        <v>-19.7</v>
      </c>
      <c r="L2">
        <v>6.15089853044715</v>
      </c>
    </row>
    <row r="3" spans="1:12" x14ac:dyDescent="0.25">
      <c r="A3" t="s">
        <v>243</v>
      </c>
      <c r="B3">
        <v>-26.6</v>
      </c>
      <c r="C3">
        <v>-43.47</v>
      </c>
      <c r="D3">
        <v>-9.73</v>
      </c>
      <c r="E3">
        <v>10</v>
      </c>
      <c r="F3">
        <v>8</v>
      </c>
      <c r="G3">
        <v>0.95</v>
      </c>
      <c r="H3">
        <v>-1.58552930506853</v>
      </c>
      <c r="I3">
        <f t="shared" ref="I3:I8" si="0">($E3+$F3)/($E3*$F3)+$H3^2/(2*($E3+$F3))</f>
        <v>0.29483064381197488</v>
      </c>
      <c r="J3">
        <f t="shared" ref="J3:J8" si="1">SQRT($I3)</f>
        <v>0.54298309716967696</v>
      </c>
      <c r="K3">
        <v>-26.6</v>
      </c>
      <c r="L3">
        <v>7.9579026535409803</v>
      </c>
    </row>
    <row r="4" spans="1:12" x14ac:dyDescent="0.25">
      <c r="A4" t="s">
        <v>244</v>
      </c>
      <c r="B4">
        <v>-22.62</v>
      </c>
      <c r="C4">
        <v>-37.83</v>
      </c>
      <c r="D4">
        <v>-7.41</v>
      </c>
      <c r="E4">
        <v>37</v>
      </c>
      <c r="F4">
        <v>14</v>
      </c>
      <c r="G4">
        <v>0.95</v>
      </c>
      <c r="H4">
        <v>-0.93775171101612897</v>
      </c>
      <c r="I4">
        <f t="shared" si="0"/>
        <v>0.10707695405867372</v>
      </c>
      <c r="J4">
        <f t="shared" si="1"/>
        <v>0.3272261512450888</v>
      </c>
      <c r="K4">
        <v>-22.62</v>
      </c>
      <c r="L4">
        <v>7.5687636466624904</v>
      </c>
    </row>
    <row r="5" spans="1:12" x14ac:dyDescent="0.25">
      <c r="A5" t="s">
        <v>245</v>
      </c>
      <c r="B5">
        <v>-27.73</v>
      </c>
      <c r="C5">
        <v>-42.67</v>
      </c>
      <c r="D5">
        <v>-12.79</v>
      </c>
      <c r="E5">
        <v>37</v>
      </c>
      <c r="F5">
        <v>14</v>
      </c>
      <c r="G5">
        <v>0.95</v>
      </c>
      <c r="H5">
        <v>-1.1703715354667099</v>
      </c>
      <c r="I5">
        <f t="shared" si="0"/>
        <v>0.11188471150491908</v>
      </c>
      <c r="J5">
        <f t="shared" si="1"/>
        <v>0.33449172113061193</v>
      </c>
      <c r="K5">
        <v>-27.73</v>
      </c>
      <c r="L5">
        <v>7.4344068955382996</v>
      </c>
    </row>
    <row r="6" spans="1:12" x14ac:dyDescent="0.25">
      <c r="A6" t="s">
        <v>246</v>
      </c>
      <c r="B6">
        <v>-31.12</v>
      </c>
      <c r="C6">
        <v>-40.200000000000003</v>
      </c>
      <c r="D6">
        <v>-22.04</v>
      </c>
      <c r="E6">
        <v>62</v>
      </c>
      <c r="F6">
        <v>47</v>
      </c>
      <c r="G6">
        <v>0.95</v>
      </c>
      <c r="H6">
        <v>-1.3140438587618199</v>
      </c>
      <c r="I6">
        <f t="shared" si="0"/>
        <v>4.5326321868569469E-2</v>
      </c>
      <c r="J6">
        <f t="shared" si="1"/>
        <v>0.21289979302143408</v>
      </c>
      <c r="K6">
        <v>-31.12</v>
      </c>
      <c r="L6">
        <v>4.5803451222431502</v>
      </c>
    </row>
    <row r="7" spans="1:12" x14ac:dyDescent="0.25">
      <c r="A7" t="s">
        <v>221</v>
      </c>
      <c r="B7">
        <v>-29.7</v>
      </c>
      <c r="C7">
        <v>-40.9</v>
      </c>
      <c r="D7">
        <v>-18.5</v>
      </c>
      <c r="E7">
        <v>24</v>
      </c>
      <c r="F7">
        <v>24</v>
      </c>
      <c r="G7">
        <v>0.95</v>
      </c>
      <c r="H7">
        <v>-1.5408808362402899</v>
      </c>
      <c r="I7">
        <f t="shared" si="0"/>
        <v>0.10806576824471432</v>
      </c>
      <c r="J7">
        <f t="shared" si="1"/>
        <v>0.32873358247175527</v>
      </c>
      <c r="K7">
        <v>-29.7</v>
      </c>
      <c r="L7">
        <v>5.5641236465666104</v>
      </c>
    </row>
    <row r="8" spans="1:12" x14ac:dyDescent="0.25">
      <c r="A8" t="s">
        <v>247</v>
      </c>
      <c r="B8">
        <v>-41.3</v>
      </c>
      <c r="C8">
        <v>-63.47</v>
      </c>
      <c r="D8">
        <v>-19.13</v>
      </c>
      <c r="E8">
        <v>12</v>
      </c>
      <c r="F8">
        <v>12</v>
      </c>
      <c r="G8">
        <v>0.95</v>
      </c>
      <c r="H8">
        <v>-1.5772150228641899</v>
      </c>
      <c r="I8">
        <f t="shared" si="0"/>
        <v>0.21849181725726013</v>
      </c>
      <c r="J8">
        <f t="shared" si="1"/>
        <v>0.46743108289592822</v>
      </c>
      <c r="K8">
        <v>-41.3</v>
      </c>
      <c r="L8">
        <v>10.690143164841899</v>
      </c>
    </row>
  </sheetData>
  <pageMargins left="0.7" right="0.7" top="0.78740157499999996" bottom="0.78740157499999996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I1" sqref="I1:J7"/>
    </sheetView>
  </sheetViews>
  <sheetFormatPr defaultColWidth="11.42578125" defaultRowHeight="15" x14ac:dyDescent="0.25"/>
  <sheetData>
    <row r="1" spans="1:12" x14ac:dyDescent="0.25">
      <c r="A1" t="s">
        <v>217</v>
      </c>
      <c r="B1" t="s">
        <v>248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379</v>
      </c>
      <c r="I1" t="s">
        <v>381</v>
      </c>
      <c r="J1" t="s">
        <v>380</v>
      </c>
      <c r="K1" t="s">
        <v>368</v>
      </c>
      <c r="L1" t="s">
        <v>369</v>
      </c>
    </row>
    <row r="2" spans="1:12" x14ac:dyDescent="0.25">
      <c r="A2" t="s">
        <v>242</v>
      </c>
      <c r="B2">
        <v>-19.7</v>
      </c>
      <c r="C2">
        <v>-32.28</v>
      </c>
      <c r="D2">
        <v>-7.12</v>
      </c>
      <c r="E2">
        <v>16</v>
      </c>
      <c r="F2">
        <v>15</v>
      </c>
      <c r="G2">
        <v>0.95</v>
      </c>
      <c r="H2">
        <v>-1.15107305964673</v>
      </c>
      <c r="I2">
        <f>($E2+$F2)/($E2*$F2)+$H2^2/(2*($E2+$F2))</f>
        <v>0.15053713745125513</v>
      </c>
      <c r="J2">
        <f>SQRT($I2)</f>
        <v>0.38799115640856446</v>
      </c>
      <c r="K2">
        <v>-19.7</v>
      </c>
      <c r="L2">
        <v>6.15089853044715</v>
      </c>
    </row>
    <row r="3" spans="1:12" x14ac:dyDescent="0.25">
      <c r="A3" t="s">
        <v>243</v>
      </c>
      <c r="B3">
        <v>-26.6</v>
      </c>
      <c r="C3">
        <v>-43.47</v>
      </c>
      <c r="D3">
        <v>-9.73</v>
      </c>
      <c r="E3">
        <v>10</v>
      </c>
      <c r="F3">
        <v>8</v>
      </c>
      <c r="G3">
        <v>0.95</v>
      </c>
      <c r="H3">
        <v>-1.58552930506853</v>
      </c>
      <c r="I3">
        <f t="shared" ref="I3:I7" si="0">($E3+$F3)/($E3*$F3)+$H3^2/(2*($E3+$F3))</f>
        <v>0.29483064381197488</v>
      </c>
      <c r="J3">
        <f t="shared" ref="J3:J7" si="1">SQRT($I3)</f>
        <v>0.54298309716967696</v>
      </c>
      <c r="K3">
        <v>-26.6</v>
      </c>
      <c r="L3">
        <v>7.9579026535409803</v>
      </c>
    </row>
    <row r="4" spans="1:12" x14ac:dyDescent="0.25">
      <c r="A4" t="s">
        <v>244</v>
      </c>
      <c r="B4">
        <v>-22.62</v>
      </c>
      <c r="C4">
        <v>-37.83</v>
      </c>
      <c r="D4">
        <v>-7.41</v>
      </c>
      <c r="E4">
        <v>37</v>
      </c>
      <c r="F4">
        <v>14</v>
      </c>
      <c r="G4">
        <v>0.95</v>
      </c>
      <c r="H4">
        <v>-0.93775171101612897</v>
      </c>
      <c r="I4">
        <f t="shared" si="0"/>
        <v>0.10707695405867372</v>
      </c>
      <c r="J4">
        <f t="shared" si="1"/>
        <v>0.3272261512450888</v>
      </c>
      <c r="K4">
        <v>-22.62</v>
      </c>
      <c r="L4">
        <v>7.5687636466624904</v>
      </c>
    </row>
    <row r="5" spans="1:12" x14ac:dyDescent="0.25">
      <c r="A5" t="s">
        <v>245</v>
      </c>
      <c r="B5">
        <v>-27.73</v>
      </c>
      <c r="C5">
        <v>-42.67</v>
      </c>
      <c r="D5">
        <v>-12.79</v>
      </c>
      <c r="E5">
        <v>37</v>
      </c>
      <c r="F5">
        <v>14</v>
      </c>
      <c r="G5">
        <v>0.95</v>
      </c>
      <c r="H5">
        <v>-1.1703715354667099</v>
      </c>
      <c r="I5">
        <f t="shared" si="0"/>
        <v>0.11188471150491908</v>
      </c>
      <c r="J5">
        <f t="shared" si="1"/>
        <v>0.33449172113061193</v>
      </c>
      <c r="K5">
        <v>-27.73</v>
      </c>
      <c r="L5">
        <v>7.4344068955382996</v>
      </c>
    </row>
    <row r="6" spans="1:12" x14ac:dyDescent="0.25">
      <c r="A6" t="s">
        <v>246</v>
      </c>
      <c r="B6">
        <v>-31.12</v>
      </c>
      <c r="C6">
        <v>-40.200000000000003</v>
      </c>
      <c r="D6">
        <v>-22.04</v>
      </c>
      <c r="E6">
        <v>62</v>
      </c>
      <c r="F6">
        <v>47</v>
      </c>
      <c r="G6">
        <v>0.95</v>
      </c>
      <c r="H6">
        <v>-1.3140438587618199</v>
      </c>
      <c r="I6">
        <f t="shared" si="0"/>
        <v>4.5326321868569469E-2</v>
      </c>
      <c r="J6">
        <f t="shared" si="1"/>
        <v>0.21289979302143408</v>
      </c>
      <c r="K6">
        <v>-31.12</v>
      </c>
      <c r="L6">
        <v>4.5803451222431502</v>
      </c>
    </row>
    <row r="7" spans="1:12" x14ac:dyDescent="0.25">
      <c r="A7" t="s">
        <v>221</v>
      </c>
      <c r="B7">
        <v>-29.7</v>
      </c>
      <c r="C7">
        <v>-40.9</v>
      </c>
      <c r="D7">
        <v>-18.5</v>
      </c>
      <c r="E7">
        <v>24</v>
      </c>
      <c r="F7">
        <v>24</v>
      </c>
      <c r="G7">
        <v>0.95</v>
      </c>
      <c r="H7">
        <v>-1.5408808362402899</v>
      </c>
      <c r="I7">
        <f t="shared" si="0"/>
        <v>0.10806576824471432</v>
      </c>
      <c r="J7">
        <f t="shared" si="1"/>
        <v>0.32873358247175527</v>
      </c>
      <c r="K7">
        <v>-29.7</v>
      </c>
      <c r="L7">
        <v>5.5641236465666104</v>
      </c>
    </row>
  </sheetData>
  <pageMargins left="0.7" right="0.7" top="0.78740157499999996" bottom="0.78740157499999996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I2" sqref="I2"/>
    </sheetView>
  </sheetViews>
  <sheetFormatPr defaultColWidth="11.42578125" defaultRowHeight="15" x14ac:dyDescent="0.25"/>
  <sheetData>
    <row r="1" spans="1:12" x14ac:dyDescent="0.25">
      <c r="A1" t="s">
        <v>217</v>
      </c>
      <c r="B1" t="s">
        <v>248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379</v>
      </c>
      <c r="I1" t="s">
        <v>381</v>
      </c>
      <c r="J1" t="s">
        <v>380</v>
      </c>
      <c r="K1" t="s">
        <v>368</v>
      </c>
      <c r="L1" t="s">
        <v>369</v>
      </c>
    </row>
    <row r="2" spans="1:12" x14ac:dyDescent="0.25">
      <c r="A2" t="s">
        <v>242</v>
      </c>
      <c r="B2">
        <v>-6.6</v>
      </c>
      <c r="C2">
        <v>-12.92</v>
      </c>
      <c r="D2">
        <v>-0.28000000000000003</v>
      </c>
      <c r="E2">
        <v>16</v>
      </c>
      <c r="F2">
        <v>15</v>
      </c>
      <c r="G2">
        <v>0.95</v>
      </c>
      <c r="H2">
        <v>-0.76761625326373994</v>
      </c>
      <c r="I2">
        <f>($E2+$F2)/($E2*$F2)+$H2^2/(2*($E2+$F2))</f>
        <v>0.13867045234851608</v>
      </c>
      <c r="J2">
        <f>SQRT($I2)</f>
        <v>0.37238481755908909</v>
      </c>
      <c r="K2">
        <v>-6.6</v>
      </c>
      <c r="L2">
        <v>3.0901175447079501</v>
      </c>
    </row>
    <row r="3" spans="1:12" x14ac:dyDescent="0.25">
      <c r="A3" t="s">
        <v>238</v>
      </c>
      <c r="B3">
        <v>-8.9</v>
      </c>
      <c r="C3">
        <v>-13.77</v>
      </c>
      <c r="D3">
        <v>-4.03</v>
      </c>
      <c r="E3">
        <v>79</v>
      </c>
      <c r="F3">
        <v>26</v>
      </c>
      <c r="G3">
        <v>0.95</v>
      </c>
      <c r="H3">
        <v>-0.81947561660663504</v>
      </c>
      <c r="I3">
        <f t="shared" ref="I3:I7" si="0">($E3+$F3)/($E3*$F3)+$H3^2/(2*($E3+$F3))</f>
        <v>5.4317577196367463E-2</v>
      </c>
      <c r="J3">
        <f t="shared" ref="J3:J7" si="1">SQRT($I3)</f>
        <v>0.2330613163876997</v>
      </c>
      <c r="K3">
        <v>-8.9</v>
      </c>
      <c r="L3">
        <v>2.4555478466315899</v>
      </c>
    </row>
    <row r="4" spans="1:12" x14ac:dyDescent="0.25">
      <c r="A4" t="s">
        <v>79</v>
      </c>
      <c r="B4">
        <v>-8.7200000000000006</v>
      </c>
      <c r="C4">
        <v>-16.55</v>
      </c>
      <c r="D4">
        <v>-0.89</v>
      </c>
      <c r="E4">
        <v>25</v>
      </c>
      <c r="F4">
        <v>15</v>
      </c>
      <c r="G4">
        <v>0.95</v>
      </c>
      <c r="H4">
        <v>-0.73631587043556901</v>
      </c>
      <c r="I4">
        <f t="shared" si="0"/>
        <v>0.11344367992985779</v>
      </c>
      <c r="J4">
        <f t="shared" si="1"/>
        <v>0.33681401385610099</v>
      </c>
      <c r="K4">
        <v>-8.7200000000000006</v>
      </c>
      <c r="L4">
        <v>3.8678238357013899</v>
      </c>
    </row>
    <row r="5" spans="1:12" x14ac:dyDescent="0.25">
      <c r="A5" t="s">
        <v>246</v>
      </c>
      <c r="B5">
        <v>-7.32</v>
      </c>
      <c r="C5">
        <v>-10.79</v>
      </c>
      <c r="D5">
        <v>-3.85</v>
      </c>
      <c r="E5">
        <v>62</v>
      </c>
      <c r="F5">
        <v>47</v>
      </c>
      <c r="G5">
        <v>0.95</v>
      </c>
      <c r="H5">
        <v>-0.80879363974463103</v>
      </c>
      <c r="I5">
        <f t="shared" si="0"/>
        <v>4.0406303010503936E-2</v>
      </c>
      <c r="J5">
        <f t="shared" si="1"/>
        <v>0.20101319113556687</v>
      </c>
      <c r="K5">
        <v>-7.32</v>
      </c>
      <c r="L5">
        <v>1.7504182350422599</v>
      </c>
    </row>
    <row r="6" spans="1:12" x14ac:dyDescent="0.25">
      <c r="A6" t="s">
        <v>221</v>
      </c>
      <c r="B6">
        <v>-10.199999999999999</v>
      </c>
      <c r="C6">
        <v>-15.29</v>
      </c>
      <c r="D6">
        <v>-5.1100000000000003</v>
      </c>
      <c r="E6">
        <v>24</v>
      </c>
      <c r="F6">
        <v>24</v>
      </c>
      <c r="G6">
        <v>0.95</v>
      </c>
      <c r="H6">
        <v>-1.1644290100222301</v>
      </c>
      <c r="I6">
        <f t="shared" si="0"/>
        <v>9.7457238743555732E-2</v>
      </c>
      <c r="J6">
        <f t="shared" si="1"/>
        <v>0.31218141960013529</v>
      </c>
      <c r="K6">
        <v>-10.199999999999999</v>
      </c>
      <c r="L6">
        <v>2.5286954786628599</v>
      </c>
    </row>
    <row r="7" spans="1:12" x14ac:dyDescent="0.25">
      <c r="A7" t="s">
        <v>249</v>
      </c>
      <c r="B7">
        <v>-8.1999999999999993</v>
      </c>
      <c r="C7">
        <v>-14.56</v>
      </c>
      <c r="D7">
        <v>-1.84</v>
      </c>
      <c r="E7">
        <v>15</v>
      </c>
      <c r="F7">
        <v>15</v>
      </c>
      <c r="G7">
        <v>0.95</v>
      </c>
      <c r="H7">
        <v>-0.96436710142944404</v>
      </c>
      <c r="I7">
        <f t="shared" si="0"/>
        <v>0.14883339843865712</v>
      </c>
      <c r="J7">
        <f t="shared" si="1"/>
        <v>0.38578931872027911</v>
      </c>
      <c r="K7">
        <v>-8.1999999999999993</v>
      </c>
      <c r="L7">
        <v>3.1048515065027602</v>
      </c>
    </row>
  </sheetData>
  <pageMargins left="0.7" right="0.7" top="0.78740157499999996" bottom="0.78740157499999996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H1" sqref="H1:L8"/>
    </sheetView>
  </sheetViews>
  <sheetFormatPr defaultColWidth="11.42578125" defaultRowHeight="15" x14ac:dyDescent="0.25"/>
  <sheetData>
    <row r="1" spans="1:12" x14ac:dyDescent="0.25">
      <c r="A1" t="s">
        <v>217</v>
      </c>
      <c r="B1" t="s">
        <v>248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379</v>
      </c>
      <c r="I1" t="s">
        <v>381</v>
      </c>
      <c r="J1" t="s">
        <v>380</v>
      </c>
      <c r="K1" t="s">
        <v>368</v>
      </c>
      <c r="L1" t="s">
        <v>369</v>
      </c>
    </row>
    <row r="2" spans="1:12" x14ac:dyDescent="0.25">
      <c r="A2" t="s">
        <v>242</v>
      </c>
      <c r="B2">
        <v>-6.6</v>
      </c>
      <c r="C2">
        <v>-12.92</v>
      </c>
      <c r="D2">
        <v>-0.28000000000000003</v>
      </c>
      <c r="E2">
        <v>16</v>
      </c>
      <c r="F2">
        <v>15</v>
      </c>
      <c r="G2">
        <v>0.95</v>
      </c>
      <c r="H2">
        <v>-0.76761625326373994</v>
      </c>
      <c r="I2">
        <f>($E2+$F2)/($E2*$F2)+$H2^2/(2*($E2+$F2))</f>
        <v>0.13867045234851608</v>
      </c>
      <c r="J2">
        <f>SQRT($I2)</f>
        <v>0.37238481755908909</v>
      </c>
      <c r="K2">
        <v>-6.6</v>
      </c>
      <c r="L2">
        <v>3.0901175447079501</v>
      </c>
    </row>
    <row r="3" spans="1:12" x14ac:dyDescent="0.25">
      <c r="A3" t="s">
        <v>238</v>
      </c>
      <c r="B3">
        <v>-8.9</v>
      </c>
      <c r="C3">
        <v>-13.77</v>
      </c>
      <c r="D3">
        <v>-4.03</v>
      </c>
      <c r="E3">
        <v>79</v>
      </c>
      <c r="F3">
        <v>26</v>
      </c>
      <c r="G3">
        <v>0.95</v>
      </c>
      <c r="H3">
        <v>-0.81947561660663504</v>
      </c>
      <c r="I3">
        <f t="shared" ref="I3:I10" si="0">($E3+$F3)/($E3*$F3)+$H3^2/(2*($E3+$F3))</f>
        <v>5.4317577196367463E-2</v>
      </c>
      <c r="J3">
        <f t="shared" ref="J3:J10" si="1">SQRT($I3)</f>
        <v>0.2330613163876997</v>
      </c>
      <c r="K3">
        <v>-8.9</v>
      </c>
      <c r="L3">
        <v>2.4555478466315899</v>
      </c>
    </row>
    <row r="4" spans="1:12" x14ac:dyDescent="0.25">
      <c r="A4" t="s">
        <v>79</v>
      </c>
      <c r="B4">
        <v>-8.7200000000000006</v>
      </c>
      <c r="C4">
        <v>-16.55</v>
      </c>
      <c r="D4">
        <v>-0.89</v>
      </c>
      <c r="E4">
        <v>25</v>
      </c>
      <c r="F4">
        <v>15</v>
      </c>
      <c r="G4">
        <v>0.95</v>
      </c>
      <c r="H4">
        <v>-0.73631587043556901</v>
      </c>
      <c r="I4">
        <f t="shared" si="0"/>
        <v>0.11344367992985779</v>
      </c>
      <c r="J4">
        <f t="shared" si="1"/>
        <v>0.33681401385610099</v>
      </c>
      <c r="K4">
        <v>-8.7200000000000006</v>
      </c>
      <c r="L4">
        <v>3.8678238357013899</v>
      </c>
    </row>
    <row r="5" spans="1:12" x14ac:dyDescent="0.25">
      <c r="A5" t="s">
        <v>246</v>
      </c>
      <c r="B5">
        <v>-7.32</v>
      </c>
      <c r="C5">
        <v>-10.79</v>
      </c>
      <c r="D5">
        <v>-3.85</v>
      </c>
      <c r="E5">
        <v>62</v>
      </c>
      <c r="F5">
        <v>47</v>
      </c>
      <c r="G5">
        <v>0.95</v>
      </c>
      <c r="H5">
        <v>-0.80879363974463103</v>
      </c>
      <c r="I5">
        <f t="shared" si="0"/>
        <v>4.0406303010503936E-2</v>
      </c>
      <c r="J5">
        <f t="shared" si="1"/>
        <v>0.20101319113556687</v>
      </c>
      <c r="K5">
        <v>-7.32</v>
      </c>
      <c r="L5">
        <v>1.7504182350422599</v>
      </c>
    </row>
    <row r="6" spans="1:12" x14ac:dyDescent="0.25">
      <c r="A6" t="s">
        <v>221</v>
      </c>
      <c r="B6">
        <v>-10.199999999999999</v>
      </c>
      <c r="C6">
        <v>-15.29</v>
      </c>
      <c r="D6">
        <v>-5.1100000000000003</v>
      </c>
      <c r="E6">
        <v>24</v>
      </c>
      <c r="F6">
        <v>24</v>
      </c>
      <c r="G6">
        <v>0.95</v>
      </c>
      <c r="H6">
        <v>-1.1644290100222301</v>
      </c>
      <c r="I6">
        <f t="shared" si="0"/>
        <v>9.7457238743555732E-2</v>
      </c>
      <c r="J6">
        <f t="shared" si="1"/>
        <v>0.31218141960013529</v>
      </c>
      <c r="K6">
        <v>-10.199999999999999</v>
      </c>
      <c r="L6">
        <v>2.5286954786628599</v>
      </c>
    </row>
    <row r="7" spans="1:12" x14ac:dyDescent="0.25">
      <c r="A7" t="s">
        <v>243</v>
      </c>
      <c r="B7">
        <v>-8.08</v>
      </c>
      <c r="C7">
        <v>-17.100000000000001</v>
      </c>
      <c r="D7">
        <v>0.94</v>
      </c>
      <c r="E7">
        <v>10</v>
      </c>
      <c r="F7">
        <v>8</v>
      </c>
      <c r="G7">
        <v>0.95</v>
      </c>
      <c r="H7">
        <v>-0.90076715637001004</v>
      </c>
      <c r="I7">
        <f t="shared" si="0"/>
        <v>0.24753837416652541</v>
      </c>
      <c r="J7">
        <f t="shared" si="1"/>
        <v>0.4975322845469683</v>
      </c>
      <c r="K7">
        <v>-8.08</v>
      </c>
      <c r="L7">
        <v>4.2549070500853396</v>
      </c>
    </row>
    <row r="8" spans="1:12" x14ac:dyDescent="0.25">
      <c r="A8" t="s">
        <v>250</v>
      </c>
      <c r="B8">
        <v>-3.55</v>
      </c>
      <c r="C8">
        <v>-14.57</v>
      </c>
      <c r="D8">
        <v>7.47</v>
      </c>
      <c r="E8">
        <v>10</v>
      </c>
      <c r="F8">
        <v>10</v>
      </c>
      <c r="G8">
        <v>0.95</v>
      </c>
      <c r="H8">
        <v>-0.30267161456446501</v>
      </c>
      <c r="I8">
        <f t="shared" si="0"/>
        <v>0.20229025265657652</v>
      </c>
      <c r="J8">
        <f t="shared" si="1"/>
        <v>0.44976688701657053</v>
      </c>
      <c r="K8">
        <v>-3.55</v>
      </c>
      <c r="L8">
        <v>5.2453160046387897</v>
      </c>
    </row>
    <row r="9" spans="1:12" x14ac:dyDescent="0.25">
      <c r="A9" t="s">
        <v>249</v>
      </c>
      <c r="B9">
        <v>-8.1999999999999993</v>
      </c>
      <c r="C9">
        <v>-14.56</v>
      </c>
      <c r="D9">
        <v>-1.84</v>
      </c>
      <c r="E9">
        <v>15</v>
      </c>
      <c r="F9">
        <v>15</v>
      </c>
      <c r="G9">
        <v>0.95</v>
      </c>
      <c r="H9">
        <v>-0.96436710142944404</v>
      </c>
      <c r="I9">
        <f t="shared" si="0"/>
        <v>0.14883339843865712</v>
      </c>
      <c r="J9">
        <f t="shared" si="1"/>
        <v>0.38578931872027911</v>
      </c>
      <c r="K9">
        <v>-8.1999999999999993</v>
      </c>
      <c r="L9">
        <v>3.1048515065027602</v>
      </c>
    </row>
    <row r="10" spans="1:12" x14ac:dyDescent="0.25">
      <c r="A10" t="s">
        <v>251</v>
      </c>
      <c r="B10">
        <v>-3.46</v>
      </c>
      <c r="C10">
        <v>-12.8</v>
      </c>
      <c r="D10">
        <v>5.88</v>
      </c>
      <c r="E10">
        <v>9</v>
      </c>
      <c r="F10">
        <v>12</v>
      </c>
      <c r="G10">
        <v>0.95</v>
      </c>
      <c r="H10">
        <v>-0.341901661809563</v>
      </c>
      <c r="I10">
        <f t="shared" si="0"/>
        <v>0.19722770030987638</v>
      </c>
      <c r="J10">
        <f t="shared" si="1"/>
        <v>0.44410325410863222</v>
      </c>
      <c r="K10">
        <v>-3.46</v>
      </c>
      <c r="L10">
        <v>4.4624427424701896</v>
      </c>
    </row>
  </sheetData>
  <pageMargins left="0.7" right="0.7" top="0.78740157499999996" bottom="0.78740157499999996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I1" sqref="I1:J8"/>
    </sheetView>
  </sheetViews>
  <sheetFormatPr defaultColWidth="11.42578125" defaultRowHeight="15" x14ac:dyDescent="0.25"/>
  <sheetData>
    <row r="1" spans="1:12" x14ac:dyDescent="0.25">
      <c r="A1" t="s">
        <v>217</v>
      </c>
      <c r="B1" t="s">
        <v>248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379</v>
      </c>
      <c r="I1" t="s">
        <v>381</v>
      </c>
      <c r="J1" t="s">
        <v>380</v>
      </c>
      <c r="K1" t="s">
        <v>368</v>
      </c>
      <c r="L1" t="s">
        <v>369</v>
      </c>
    </row>
    <row r="2" spans="1:12" x14ac:dyDescent="0.25">
      <c r="A2" t="s">
        <v>242</v>
      </c>
      <c r="B2">
        <v>-6.6</v>
      </c>
      <c r="C2">
        <v>-12.92</v>
      </c>
      <c r="D2">
        <v>-0.28000000000000003</v>
      </c>
      <c r="E2">
        <v>16</v>
      </c>
      <c r="F2">
        <v>15</v>
      </c>
      <c r="G2">
        <v>0.95</v>
      </c>
      <c r="H2">
        <v>-0.76761625326373994</v>
      </c>
      <c r="I2">
        <f>($E2+$F2)/($E2*$F2)+$H2^2/(2*($E2+$F2))</f>
        <v>0.13867045234851608</v>
      </c>
      <c r="J2">
        <f>SQRT($I2)</f>
        <v>0.37238481755908909</v>
      </c>
      <c r="K2">
        <v>-6.6</v>
      </c>
      <c r="L2">
        <v>3.0901175447079501</v>
      </c>
    </row>
    <row r="3" spans="1:12" x14ac:dyDescent="0.25">
      <c r="A3" t="s">
        <v>238</v>
      </c>
      <c r="B3">
        <v>-8.9</v>
      </c>
      <c r="C3">
        <v>-13.77</v>
      </c>
      <c r="D3">
        <v>-4.03</v>
      </c>
      <c r="E3">
        <v>79</v>
      </c>
      <c r="F3">
        <v>26</v>
      </c>
      <c r="G3">
        <v>0.95</v>
      </c>
      <c r="H3">
        <v>-0.81947561660663504</v>
      </c>
      <c r="I3">
        <f t="shared" ref="I3:I8" si="0">($E3+$F3)/($E3*$F3)+$H3^2/(2*($E3+$F3))</f>
        <v>5.4317577196367463E-2</v>
      </c>
      <c r="J3">
        <f t="shared" ref="J3:J8" si="1">SQRT($I3)</f>
        <v>0.2330613163876997</v>
      </c>
      <c r="K3">
        <v>-8.9</v>
      </c>
      <c r="L3">
        <v>2.4555478466315899</v>
      </c>
    </row>
    <row r="4" spans="1:12" x14ac:dyDescent="0.25">
      <c r="A4" t="s">
        <v>79</v>
      </c>
      <c r="B4">
        <v>-8.7200000000000006</v>
      </c>
      <c r="C4">
        <v>-16.55</v>
      </c>
      <c r="D4">
        <v>-0.89</v>
      </c>
      <c r="E4">
        <v>25</v>
      </c>
      <c r="F4">
        <v>15</v>
      </c>
      <c r="G4">
        <v>0.95</v>
      </c>
      <c r="H4">
        <v>-0.73631587043556901</v>
      </c>
      <c r="I4">
        <f t="shared" si="0"/>
        <v>0.11344367992985779</v>
      </c>
      <c r="J4">
        <f t="shared" si="1"/>
        <v>0.33681401385610099</v>
      </c>
      <c r="K4">
        <v>-8.7200000000000006</v>
      </c>
      <c r="L4">
        <v>3.8678238357013899</v>
      </c>
    </row>
    <row r="5" spans="1:12" x14ac:dyDescent="0.25">
      <c r="A5" t="s">
        <v>246</v>
      </c>
      <c r="B5">
        <v>-7.32</v>
      </c>
      <c r="C5">
        <v>-10.79</v>
      </c>
      <c r="D5">
        <v>-3.85</v>
      </c>
      <c r="E5">
        <v>62</v>
      </c>
      <c r="F5">
        <v>47</v>
      </c>
      <c r="G5">
        <v>0.95</v>
      </c>
      <c r="H5">
        <v>-0.80879363974463103</v>
      </c>
      <c r="I5">
        <f t="shared" si="0"/>
        <v>4.0406303010503936E-2</v>
      </c>
      <c r="J5">
        <f t="shared" si="1"/>
        <v>0.20101319113556687</v>
      </c>
      <c r="K5">
        <v>-7.32</v>
      </c>
      <c r="L5">
        <v>1.7504182350422599</v>
      </c>
    </row>
    <row r="6" spans="1:12" x14ac:dyDescent="0.25">
      <c r="A6" t="s">
        <v>221</v>
      </c>
      <c r="B6">
        <v>-10.199999999999999</v>
      </c>
      <c r="C6">
        <v>-15.29</v>
      </c>
      <c r="D6">
        <v>-5.1100000000000003</v>
      </c>
      <c r="E6">
        <v>24</v>
      </c>
      <c r="F6">
        <v>24</v>
      </c>
      <c r="G6">
        <v>0.95</v>
      </c>
      <c r="H6">
        <v>-1.1644290100222301</v>
      </c>
      <c r="I6">
        <f t="shared" si="0"/>
        <v>9.7457238743555732E-2</v>
      </c>
      <c r="J6">
        <f t="shared" si="1"/>
        <v>0.31218141960013529</v>
      </c>
      <c r="K6">
        <v>-10.199999999999999</v>
      </c>
      <c r="L6">
        <v>2.5286954786628599</v>
      </c>
    </row>
    <row r="7" spans="1:12" x14ac:dyDescent="0.25">
      <c r="A7" t="s">
        <v>243</v>
      </c>
      <c r="B7">
        <v>-8.08</v>
      </c>
      <c r="C7">
        <v>-17.100000000000001</v>
      </c>
      <c r="D7">
        <v>0.94</v>
      </c>
      <c r="E7">
        <v>10</v>
      </c>
      <c r="F7">
        <v>8</v>
      </c>
      <c r="G7">
        <v>0.95</v>
      </c>
      <c r="H7">
        <v>-0.90076715637001004</v>
      </c>
      <c r="I7">
        <f t="shared" si="0"/>
        <v>0.24753837416652541</v>
      </c>
      <c r="J7">
        <f t="shared" si="1"/>
        <v>0.4975322845469683</v>
      </c>
      <c r="K7">
        <v>-8.08</v>
      </c>
      <c r="L7">
        <v>4.2549070500853396</v>
      </c>
    </row>
    <row r="8" spans="1:12" x14ac:dyDescent="0.25">
      <c r="A8" t="s">
        <v>250</v>
      </c>
      <c r="B8">
        <v>-3.55</v>
      </c>
      <c r="C8">
        <v>-14.57</v>
      </c>
      <c r="D8">
        <v>7.47</v>
      </c>
      <c r="E8">
        <v>10</v>
      </c>
      <c r="F8">
        <v>10</v>
      </c>
      <c r="G8">
        <v>0.95</v>
      </c>
      <c r="H8">
        <v>-0.30267161456446501</v>
      </c>
      <c r="I8">
        <f t="shared" si="0"/>
        <v>0.20229025265657652</v>
      </c>
      <c r="J8">
        <f t="shared" si="1"/>
        <v>0.44976688701657053</v>
      </c>
      <c r="K8">
        <v>-3.55</v>
      </c>
      <c r="L8">
        <v>5.2453160046387897</v>
      </c>
    </row>
  </sheetData>
  <pageMargins left="0.7" right="0.7" top="0.78740157499999996" bottom="0.78740157499999996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I1" sqref="I1:J8"/>
    </sheetView>
  </sheetViews>
  <sheetFormatPr defaultColWidth="11.42578125" defaultRowHeight="15" x14ac:dyDescent="0.25"/>
  <sheetData>
    <row r="1" spans="1:12" x14ac:dyDescent="0.25">
      <c r="A1" t="s">
        <v>217</v>
      </c>
      <c r="B1" t="s">
        <v>248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379</v>
      </c>
      <c r="I1" t="s">
        <v>381</v>
      </c>
      <c r="J1" t="s">
        <v>380</v>
      </c>
      <c r="K1" t="s">
        <v>368</v>
      </c>
      <c r="L1" t="s">
        <v>369</v>
      </c>
    </row>
    <row r="2" spans="1:12" x14ac:dyDescent="0.25">
      <c r="A2" t="s">
        <v>242</v>
      </c>
      <c r="B2">
        <v>-6.6</v>
      </c>
      <c r="C2">
        <v>-12.92</v>
      </c>
      <c r="D2">
        <v>-0.28000000000000003</v>
      </c>
      <c r="E2">
        <v>16</v>
      </c>
      <c r="F2">
        <v>15</v>
      </c>
      <c r="G2">
        <v>0.95</v>
      </c>
      <c r="H2">
        <v>-0.76761625326373994</v>
      </c>
      <c r="I2">
        <f>($E2+$F2)/($E2*$F2)+$H2^2/(2*($E2+$F2))</f>
        <v>0.13867045234851608</v>
      </c>
      <c r="J2">
        <f>SQRT($I2)</f>
        <v>0.37238481755908909</v>
      </c>
      <c r="K2">
        <v>-6.6</v>
      </c>
      <c r="L2">
        <v>3.0901175447079501</v>
      </c>
    </row>
    <row r="3" spans="1:12" x14ac:dyDescent="0.25">
      <c r="A3" t="s">
        <v>238</v>
      </c>
      <c r="B3">
        <v>-8.9</v>
      </c>
      <c r="C3">
        <v>-13.77</v>
      </c>
      <c r="D3">
        <v>-4.03</v>
      </c>
      <c r="E3">
        <v>79</v>
      </c>
      <c r="F3">
        <v>26</v>
      </c>
      <c r="G3">
        <v>0.95</v>
      </c>
      <c r="H3">
        <v>-0.81947561660663504</v>
      </c>
      <c r="I3">
        <f t="shared" ref="I3:I8" si="0">($E3+$F3)/($E3*$F3)+$H3^2/(2*($E3+$F3))</f>
        <v>5.4317577196367463E-2</v>
      </c>
      <c r="J3">
        <f t="shared" ref="J3:J8" si="1">SQRT($I3)</f>
        <v>0.2330613163876997</v>
      </c>
      <c r="K3">
        <v>-8.9</v>
      </c>
      <c r="L3">
        <v>2.4555478466315899</v>
      </c>
    </row>
    <row r="4" spans="1:12" x14ac:dyDescent="0.25">
      <c r="A4" t="s">
        <v>79</v>
      </c>
      <c r="B4">
        <v>-8.7200000000000006</v>
      </c>
      <c r="C4">
        <v>-16.55</v>
      </c>
      <c r="D4">
        <v>-0.89</v>
      </c>
      <c r="E4">
        <v>25</v>
      </c>
      <c r="F4">
        <v>15</v>
      </c>
      <c r="G4">
        <v>0.95</v>
      </c>
      <c r="H4">
        <v>-0.73631587043556901</v>
      </c>
      <c r="I4">
        <f t="shared" si="0"/>
        <v>0.11344367992985779</v>
      </c>
      <c r="J4">
        <f t="shared" si="1"/>
        <v>0.33681401385610099</v>
      </c>
      <c r="K4">
        <v>-8.7200000000000006</v>
      </c>
      <c r="L4">
        <v>3.8678238357013899</v>
      </c>
    </row>
    <row r="5" spans="1:12" x14ac:dyDescent="0.25">
      <c r="A5" t="s">
        <v>246</v>
      </c>
      <c r="B5">
        <v>-7.32</v>
      </c>
      <c r="C5">
        <v>-10.79</v>
      </c>
      <c r="D5">
        <v>-3.85</v>
      </c>
      <c r="E5">
        <v>62</v>
      </c>
      <c r="F5">
        <v>47</v>
      </c>
      <c r="G5">
        <v>0.95</v>
      </c>
      <c r="H5">
        <v>-0.80879363974463103</v>
      </c>
      <c r="I5">
        <f t="shared" si="0"/>
        <v>4.0406303010503936E-2</v>
      </c>
      <c r="J5">
        <f t="shared" si="1"/>
        <v>0.20101319113556687</v>
      </c>
      <c r="K5">
        <v>-7.32</v>
      </c>
      <c r="L5">
        <v>1.7504182350422599</v>
      </c>
    </row>
    <row r="6" spans="1:12" x14ac:dyDescent="0.25">
      <c r="A6" t="s">
        <v>221</v>
      </c>
      <c r="B6">
        <v>-10.199999999999999</v>
      </c>
      <c r="C6">
        <v>-15.29</v>
      </c>
      <c r="D6">
        <v>-5.1100000000000003</v>
      </c>
      <c r="E6">
        <v>24</v>
      </c>
      <c r="F6">
        <v>24</v>
      </c>
      <c r="G6">
        <v>0.95</v>
      </c>
      <c r="H6">
        <v>-1.1644290100222301</v>
      </c>
      <c r="I6">
        <f t="shared" si="0"/>
        <v>9.7457238743555732E-2</v>
      </c>
      <c r="J6">
        <f t="shared" si="1"/>
        <v>0.31218141960013529</v>
      </c>
      <c r="K6">
        <v>-10.199999999999999</v>
      </c>
      <c r="L6">
        <v>2.5286954786628599</v>
      </c>
    </row>
    <row r="7" spans="1:12" x14ac:dyDescent="0.25">
      <c r="A7" t="s">
        <v>249</v>
      </c>
      <c r="B7">
        <v>-8.1999999999999993</v>
      </c>
      <c r="C7">
        <v>-14.56</v>
      </c>
      <c r="D7">
        <v>-1.84</v>
      </c>
      <c r="E7">
        <v>15</v>
      </c>
      <c r="F7">
        <v>15</v>
      </c>
      <c r="G7">
        <v>0.95</v>
      </c>
      <c r="H7">
        <v>-0.96436710142944404</v>
      </c>
      <c r="I7">
        <f t="shared" si="0"/>
        <v>0.14883339843865712</v>
      </c>
      <c r="J7">
        <f t="shared" si="1"/>
        <v>0.38578931872027911</v>
      </c>
      <c r="K7">
        <v>-8.1999999999999993</v>
      </c>
      <c r="L7">
        <v>3.1048515065027602</v>
      </c>
    </row>
    <row r="8" spans="1:12" x14ac:dyDescent="0.25">
      <c r="A8" t="s">
        <v>252</v>
      </c>
      <c r="B8">
        <v>-3.9</v>
      </c>
      <c r="C8">
        <v>-6.5</v>
      </c>
      <c r="D8">
        <v>-1.3</v>
      </c>
      <c r="E8">
        <v>141</v>
      </c>
      <c r="F8">
        <v>143</v>
      </c>
      <c r="G8">
        <v>0.95</v>
      </c>
      <c r="H8">
        <v>-0.35041996024767602</v>
      </c>
      <c r="I8">
        <f t="shared" si="0"/>
        <v>1.4301392455799641E-2</v>
      </c>
      <c r="J8">
        <f t="shared" si="1"/>
        <v>0.11958842943947229</v>
      </c>
      <c r="K8">
        <v>-3.9</v>
      </c>
      <c r="L8">
        <v>1.32086175629108</v>
      </c>
    </row>
  </sheetData>
  <pageMargins left="0.7" right="0.7" top="0.78740157499999996" bottom="0.78740157499999996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B18" sqref="B18"/>
    </sheetView>
  </sheetViews>
  <sheetFormatPr defaultColWidth="11.42578125" defaultRowHeight="15" x14ac:dyDescent="0.25"/>
  <sheetData>
    <row r="1" spans="1:12" x14ac:dyDescent="0.25">
      <c r="A1" t="s">
        <v>217</v>
      </c>
      <c r="B1" t="s">
        <v>248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379</v>
      </c>
      <c r="I1" t="s">
        <v>381</v>
      </c>
      <c r="J1" t="s">
        <v>380</v>
      </c>
      <c r="K1" t="s">
        <v>368</v>
      </c>
      <c r="L1" t="s">
        <v>369</v>
      </c>
    </row>
    <row r="2" spans="1:12" x14ac:dyDescent="0.25">
      <c r="A2" t="s">
        <v>242</v>
      </c>
      <c r="B2">
        <v>-6.6</v>
      </c>
      <c r="C2">
        <v>-12.92</v>
      </c>
      <c r="D2">
        <v>-0.28000000000000003</v>
      </c>
      <c r="E2">
        <v>16</v>
      </c>
      <c r="F2">
        <v>15</v>
      </c>
      <c r="G2">
        <v>0.95</v>
      </c>
      <c r="H2">
        <v>-0.76761625326373994</v>
      </c>
      <c r="I2">
        <f>($E2+$F2)/($E2*$F2)+$H2^2/(2*($E2+$F2))</f>
        <v>0.13867045234851608</v>
      </c>
      <c r="J2">
        <f>SQRT($I2)</f>
        <v>0.37238481755908909</v>
      </c>
      <c r="K2">
        <v>-6.6</v>
      </c>
      <c r="L2">
        <v>3.0901175447079501</v>
      </c>
    </row>
    <row r="3" spans="1:12" x14ac:dyDescent="0.25">
      <c r="A3" t="s">
        <v>238</v>
      </c>
      <c r="B3">
        <v>-8.9</v>
      </c>
      <c r="C3">
        <v>-13.77</v>
      </c>
      <c r="D3">
        <v>-4.03</v>
      </c>
      <c r="E3">
        <v>79</v>
      </c>
      <c r="F3">
        <v>26</v>
      </c>
      <c r="G3">
        <v>0.95</v>
      </c>
      <c r="H3">
        <v>-0.81947561660663504</v>
      </c>
      <c r="I3">
        <f t="shared" ref="I3:I12" si="0">($E3+$F3)/($E3*$F3)+$H3^2/(2*($E3+$F3))</f>
        <v>5.4317577196367463E-2</v>
      </c>
      <c r="J3">
        <f t="shared" ref="J3:J12" si="1">SQRT($I3)</f>
        <v>0.2330613163876997</v>
      </c>
      <c r="K3">
        <v>-8.9</v>
      </c>
      <c r="L3">
        <v>2.4555478466315899</v>
      </c>
    </row>
    <row r="4" spans="1:12" x14ac:dyDescent="0.25">
      <c r="A4" t="s">
        <v>79</v>
      </c>
      <c r="B4">
        <v>-8.7200000000000006</v>
      </c>
      <c r="C4">
        <v>-16.55</v>
      </c>
      <c r="D4">
        <v>-0.89</v>
      </c>
      <c r="E4">
        <v>25</v>
      </c>
      <c r="F4">
        <v>15</v>
      </c>
      <c r="G4">
        <v>0.95</v>
      </c>
      <c r="H4">
        <v>-0.73631587043556901</v>
      </c>
      <c r="I4">
        <f t="shared" si="0"/>
        <v>0.11344367992985779</v>
      </c>
      <c r="J4">
        <f t="shared" si="1"/>
        <v>0.33681401385610099</v>
      </c>
      <c r="K4">
        <v>-8.7200000000000006</v>
      </c>
      <c r="L4">
        <v>3.8678238357013899</v>
      </c>
    </row>
    <row r="5" spans="1:12" x14ac:dyDescent="0.25">
      <c r="A5" t="s">
        <v>246</v>
      </c>
      <c r="B5">
        <v>-7.32</v>
      </c>
      <c r="C5">
        <v>-10.79</v>
      </c>
      <c r="D5">
        <v>-3.85</v>
      </c>
      <c r="E5">
        <v>62</v>
      </c>
      <c r="F5">
        <v>47</v>
      </c>
      <c r="G5">
        <v>0.95</v>
      </c>
      <c r="H5">
        <v>-0.80879363974463103</v>
      </c>
      <c r="I5">
        <f t="shared" si="0"/>
        <v>4.0406303010503936E-2</v>
      </c>
      <c r="J5">
        <f t="shared" si="1"/>
        <v>0.20101319113556687</v>
      </c>
      <c r="K5">
        <v>-7.32</v>
      </c>
      <c r="L5">
        <v>1.7504182350422599</v>
      </c>
    </row>
    <row r="6" spans="1:12" x14ac:dyDescent="0.25">
      <c r="A6" t="s">
        <v>221</v>
      </c>
      <c r="B6">
        <v>-10.199999999999999</v>
      </c>
      <c r="C6">
        <v>-15.29</v>
      </c>
      <c r="D6">
        <v>-5.1100000000000003</v>
      </c>
      <c r="E6">
        <v>24</v>
      </c>
      <c r="F6">
        <v>24</v>
      </c>
      <c r="G6">
        <v>0.95</v>
      </c>
      <c r="H6">
        <v>-1.1644290100222301</v>
      </c>
      <c r="I6">
        <f t="shared" si="0"/>
        <v>9.7457238743555732E-2</v>
      </c>
      <c r="J6">
        <f t="shared" si="1"/>
        <v>0.31218141960013529</v>
      </c>
      <c r="K6">
        <v>-10.199999999999999</v>
      </c>
      <c r="L6">
        <v>2.5286954786628599</v>
      </c>
    </row>
    <row r="7" spans="1:12" x14ac:dyDescent="0.25">
      <c r="A7" t="s">
        <v>249</v>
      </c>
      <c r="B7">
        <v>-8.1999999999999993</v>
      </c>
      <c r="C7">
        <v>-14.56</v>
      </c>
      <c r="D7">
        <v>-1.84</v>
      </c>
      <c r="E7">
        <v>15</v>
      </c>
      <c r="F7">
        <v>15</v>
      </c>
      <c r="G7">
        <v>0.95</v>
      </c>
      <c r="H7">
        <v>-0.96436710142944404</v>
      </c>
      <c r="I7">
        <f t="shared" si="0"/>
        <v>0.14883339843865712</v>
      </c>
      <c r="J7">
        <f t="shared" si="1"/>
        <v>0.38578931872027911</v>
      </c>
      <c r="K7">
        <v>-8.1999999999999993</v>
      </c>
      <c r="L7">
        <v>3.1048515065027602</v>
      </c>
    </row>
    <row r="8" spans="1:12" x14ac:dyDescent="0.25">
      <c r="A8" t="s">
        <v>252</v>
      </c>
      <c r="B8">
        <v>-3.9</v>
      </c>
      <c r="C8">
        <v>-6.5</v>
      </c>
      <c r="D8">
        <v>-1.3</v>
      </c>
      <c r="E8">
        <v>141</v>
      </c>
      <c r="F8">
        <v>143</v>
      </c>
      <c r="G8">
        <v>0.95</v>
      </c>
      <c r="H8">
        <v>-0.35041996024767602</v>
      </c>
      <c r="I8">
        <f t="shared" si="0"/>
        <v>1.4301392455799641E-2</v>
      </c>
      <c r="J8">
        <f t="shared" si="1"/>
        <v>0.11958842943947229</v>
      </c>
      <c r="K8">
        <v>-3.9</v>
      </c>
      <c r="L8">
        <v>1.32086175629108</v>
      </c>
    </row>
    <row r="9" spans="1:12" x14ac:dyDescent="0.25">
      <c r="A9" t="s">
        <v>243</v>
      </c>
      <c r="B9">
        <v>-8.08</v>
      </c>
      <c r="C9">
        <v>-17.100000000000001</v>
      </c>
      <c r="D9">
        <v>0.94</v>
      </c>
      <c r="E9">
        <v>10</v>
      </c>
      <c r="F9">
        <v>8</v>
      </c>
      <c r="G9">
        <v>0.95</v>
      </c>
      <c r="H9">
        <v>-0.90076715637001004</v>
      </c>
      <c r="I9">
        <f t="shared" si="0"/>
        <v>0.24753837416652541</v>
      </c>
      <c r="J9">
        <f t="shared" si="1"/>
        <v>0.4975322845469683</v>
      </c>
      <c r="K9">
        <v>-8.08</v>
      </c>
      <c r="L9">
        <v>4.2549070500853396</v>
      </c>
    </row>
    <row r="10" spans="1:12" x14ac:dyDescent="0.25">
      <c r="A10" t="s">
        <v>250</v>
      </c>
      <c r="B10">
        <v>-3.55</v>
      </c>
      <c r="C10">
        <v>-14.57</v>
      </c>
      <c r="D10">
        <v>7.47</v>
      </c>
      <c r="E10">
        <v>10</v>
      </c>
      <c r="F10">
        <v>10</v>
      </c>
      <c r="G10">
        <v>0.95</v>
      </c>
      <c r="H10">
        <v>-0.30267161456446501</v>
      </c>
      <c r="I10">
        <f t="shared" si="0"/>
        <v>0.20229025265657652</v>
      </c>
      <c r="J10">
        <f t="shared" si="1"/>
        <v>0.44976688701657053</v>
      </c>
      <c r="K10">
        <v>-3.55</v>
      </c>
      <c r="L10">
        <v>5.2453160046387897</v>
      </c>
    </row>
    <row r="11" spans="1:12" x14ac:dyDescent="0.25">
      <c r="A11" t="s">
        <v>251</v>
      </c>
      <c r="B11">
        <v>-3.46</v>
      </c>
      <c r="C11">
        <v>-12.8</v>
      </c>
      <c r="D11">
        <v>5.88</v>
      </c>
      <c r="E11">
        <v>9</v>
      </c>
      <c r="F11">
        <v>12</v>
      </c>
      <c r="G11">
        <v>0.95</v>
      </c>
      <c r="H11">
        <v>-0.341901661809563</v>
      </c>
      <c r="I11">
        <f t="shared" si="0"/>
        <v>0.19722770030987638</v>
      </c>
      <c r="J11">
        <f t="shared" si="1"/>
        <v>0.44410325410863222</v>
      </c>
      <c r="K11">
        <v>-3.46</v>
      </c>
      <c r="L11">
        <v>4.4624427424701896</v>
      </c>
    </row>
    <row r="12" spans="1:12" x14ac:dyDescent="0.25">
      <c r="A12" t="s">
        <v>253</v>
      </c>
      <c r="B12" t="s">
        <v>254</v>
      </c>
      <c r="C12">
        <v>-10.77</v>
      </c>
      <c r="D12">
        <v>10.77</v>
      </c>
      <c r="E12">
        <v>4</v>
      </c>
      <c r="F12">
        <v>5</v>
      </c>
      <c r="G12">
        <v>0.95</v>
      </c>
      <c r="H12">
        <v>0</v>
      </c>
      <c r="I12">
        <f t="shared" si="0"/>
        <v>0.45</v>
      </c>
      <c r="J12">
        <f t="shared" si="1"/>
        <v>0.67082039324993692</v>
      </c>
      <c r="K12">
        <v>0</v>
      </c>
      <c r="L12">
        <v>4.5546349187794899</v>
      </c>
    </row>
  </sheetData>
  <pageMargins left="0.7" right="0.7" top="0.78740157499999996" bottom="0.78740157499999996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E2" sqref="E2"/>
    </sheetView>
  </sheetViews>
  <sheetFormatPr defaultColWidth="11.42578125" defaultRowHeight="15" x14ac:dyDescent="0.25"/>
  <sheetData>
    <row r="1" spans="1:7" x14ac:dyDescent="0.25">
      <c r="A1" t="s">
        <v>217</v>
      </c>
      <c r="B1" t="s">
        <v>256</v>
      </c>
      <c r="C1" t="s">
        <v>33</v>
      </c>
      <c r="D1" t="s">
        <v>34</v>
      </c>
      <c r="E1" t="s">
        <v>257</v>
      </c>
      <c r="F1" t="s">
        <v>368</v>
      </c>
      <c r="G1" t="s">
        <v>369</v>
      </c>
    </row>
    <row r="2" spans="1:7" x14ac:dyDescent="0.25">
      <c r="A2" t="s">
        <v>255</v>
      </c>
      <c r="B2">
        <v>2.0499999999999998</v>
      </c>
      <c r="C2">
        <v>1.01</v>
      </c>
      <c r="D2">
        <v>4.18</v>
      </c>
      <c r="E2">
        <v>0.95</v>
      </c>
      <c r="F2">
        <f>LN($B2)</f>
        <v>0.71783979315031676</v>
      </c>
      <c r="G2">
        <v>0.36117473</v>
      </c>
    </row>
    <row r="3" spans="1:7" x14ac:dyDescent="0.25">
      <c r="A3" t="s">
        <v>132</v>
      </c>
      <c r="B3">
        <v>1</v>
      </c>
      <c r="C3">
        <v>0.34</v>
      </c>
      <c r="D3">
        <v>2.93</v>
      </c>
      <c r="E3">
        <v>0.95</v>
      </c>
      <c r="F3">
        <f t="shared" ref="F3:F9" si="0">LN($B3)</f>
        <v>0</v>
      </c>
      <c r="G3">
        <v>0.55042320700000003</v>
      </c>
    </row>
    <row r="4" spans="1:7" x14ac:dyDescent="0.25">
      <c r="A4" t="s">
        <v>191</v>
      </c>
      <c r="B4">
        <v>2.2599999999999998</v>
      </c>
      <c r="C4">
        <v>0.8</v>
      </c>
      <c r="D4">
        <v>6.39</v>
      </c>
      <c r="E4">
        <v>0.95</v>
      </c>
      <c r="F4">
        <f t="shared" si="0"/>
        <v>0.81536481328419441</v>
      </c>
      <c r="G4">
        <v>0.52986094299999997</v>
      </c>
    </row>
    <row r="5" spans="1:7" x14ac:dyDescent="0.25">
      <c r="A5" t="s">
        <v>79</v>
      </c>
      <c r="B5">
        <v>0.3</v>
      </c>
      <c r="C5">
        <v>7.0000000000000007E-2</v>
      </c>
      <c r="D5">
        <v>1.29</v>
      </c>
      <c r="E5">
        <v>0.95</v>
      </c>
      <c r="F5">
        <f t="shared" si="0"/>
        <v>-1.2039728043259361</v>
      </c>
      <c r="G5">
        <v>0.74250713000000002</v>
      </c>
    </row>
    <row r="6" spans="1:7" x14ac:dyDescent="0.25">
      <c r="A6" t="s">
        <v>238</v>
      </c>
      <c r="B6">
        <v>0.84</v>
      </c>
      <c r="C6">
        <v>0.56000000000000005</v>
      </c>
      <c r="D6">
        <v>1.27</v>
      </c>
      <c r="E6">
        <v>0.95</v>
      </c>
      <c r="F6">
        <f t="shared" si="0"/>
        <v>-0.1743533871447778</v>
      </c>
      <c r="G6">
        <v>0.20687375399999999</v>
      </c>
    </row>
    <row r="7" spans="1:7" x14ac:dyDescent="0.25">
      <c r="A7" t="s">
        <v>80</v>
      </c>
      <c r="B7">
        <v>0.63</v>
      </c>
      <c r="C7">
        <v>0.17</v>
      </c>
      <c r="D7">
        <v>2.33</v>
      </c>
      <c r="E7">
        <v>0.95</v>
      </c>
      <c r="F7">
        <f t="shared" si="0"/>
        <v>-0.46203545959655867</v>
      </c>
      <c r="G7">
        <v>0.66833951700000005</v>
      </c>
    </row>
    <row r="8" spans="1:7" x14ac:dyDescent="0.25">
      <c r="A8" t="s">
        <v>194</v>
      </c>
      <c r="B8">
        <v>0.33</v>
      </c>
      <c r="C8">
        <v>0.04</v>
      </c>
      <c r="D8">
        <v>2.69</v>
      </c>
      <c r="E8">
        <v>0.95</v>
      </c>
      <c r="F8">
        <f t="shared" si="0"/>
        <v>-1.1086626245216111</v>
      </c>
      <c r="G8">
        <v>1.0766591720000001</v>
      </c>
    </row>
    <row r="9" spans="1:7" x14ac:dyDescent="0.25">
      <c r="A9" t="s">
        <v>195</v>
      </c>
      <c r="B9">
        <v>0.82</v>
      </c>
      <c r="C9">
        <v>0.53</v>
      </c>
      <c r="D9">
        <v>1.26</v>
      </c>
      <c r="E9">
        <v>0.95</v>
      </c>
      <c r="F9">
        <f t="shared" si="0"/>
        <v>-0.19845093872383832</v>
      </c>
      <c r="G9">
        <v>0.22267109900000001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J1" sqref="J1"/>
    </sheetView>
  </sheetViews>
  <sheetFormatPr defaultColWidth="11.42578125" defaultRowHeight="15" x14ac:dyDescent="0.25"/>
  <sheetData>
    <row r="1" spans="1:10" x14ac:dyDescent="0.25">
      <c r="A1" t="s">
        <v>267</v>
      </c>
      <c r="B1" t="s">
        <v>43</v>
      </c>
      <c r="C1" t="s">
        <v>268</v>
      </c>
      <c r="D1" t="s">
        <v>269</v>
      </c>
      <c r="E1" t="s">
        <v>379</v>
      </c>
      <c r="F1" t="s">
        <v>372</v>
      </c>
      <c r="G1" t="s">
        <v>368</v>
      </c>
      <c r="H1" t="s">
        <v>381</v>
      </c>
      <c r="I1" t="s">
        <v>380</v>
      </c>
      <c r="J1" t="s">
        <v>369</v>
      </c>
    </row>
    <row r="2" spans="1:10" x14ac:dyDescent="0.25">
      <c r="A2" t="s">
        <v>258</v>
      </c>
      <c r="B2">
        <v>2.052</v>
      </c>
      <c r="C2">
        <v>11</v>
      </c>
      <c r="D2">
        <v>8</v>
      </c>
      <c r="E2">
        <f>$B2</f>
        <v>2.052</v>
      </c>
      <c r="F2">
        <f>1-3/(4*($C2+$D2-2)-1)</f>
        <v>0.95522388059701491</v>
      </c>
      <c r="G2">
        <f>$E2*$F2</f>
        <v>1.9601194029850746</v>
      </c>
      <c r="H2">
        <f>($C2+$D2)/($C2*$D2)+$E2^2/(2*($C2+$D2))</f>
        <v>0.3267170909090909</v>
      </c>
      <c r="I2">
        <f>SQRT($H2)</f>
        <v>0.57159171697033095</v>
      </c>
      <c r="J2">
        <f>SQRT($F2^2*$H2)</f>
        <v>0.54599805800151013</v>
      </c>
    </row>
    <row r="3" spans="1:10" x14ac:dyDescent="0.25">
      <c r="A3" t="s">
        <v>259</v>
      </c>
      <c r="B3">
        <v>0.38500000000000001</v>
      </c>
      <c r="C3">
        <v>41</v>
      </c>
      <c r="D3">
        <v>22</v>
      </c>
      <c r="E3">
        <f t="shared" ref="E3:E10" si="0">$B3</f>
        <v>0.38500000000000001</v>
      </c>
      <c r="F3">
        <f t="shared" ref="F3:F10" si="1">1-3/(4*($C3+$D3-2)-1)</f>
        <v>0.98765432098765427</v>
      </c>
      <c r="G3">
        <f t="shared" ref="G3:G10" si="2">$E3*$F3</f>
        <v>0.38024691358024693</v>
      </c>
      <c r="H3">
        <f t="shared" ref="H3:H10" si="3">($C3+$D3)/($C3*$D3)+$E3^2/(2*($C3+$D3))</f>
        <v>7.1021178245873368E-2</v>
      </c>
      <c r="I3">
        <f t="shared" ref="I3:I10" si="4">SQRT($H3)</f>
        <v>0.26649798919667922</v>
      </c>
      <c r="J3">
        <f t="shared" ref="J3:J10" si="5">SQRT($F3^2*$H3)</f>
        <v>0.26320789056462146</v>
      </c>
    </row>
    <row r="4" spans="1:10" x14ac:dyDescent="0.25">
      <c r="A4" t="s">
        <v>260</v>
      </c>
      <c r="B4">
        <v>0.375</v>
      </c>
      <c r="C4">
        <v>11</v>
      </c>
      <c r="D4">
        <v>10</v>
      </c>
      <c r="E4">
        <f t="shared" si="0"/>
        <v>0.375</v>
      </c>
      <c r="F4">
        <f t="shared" si="1"/>
        <v>0.96</v>
      </c>
      <c r="G4">
        <f t="shared" si="2"/>
        <v>0.36</v>
      </c>
      <c r="H4">
        <f t="shared" si="3"/>
        <v>0.19425730519480519</v>
      </c>
      <c r="I4">
        <f t="shared" si="4"/>
        <v>0.44074630479994403</v>
      </c>
      <c r="J4">
        <f t="shared" si="5"/>
        <v>0.42311645260794628</v>
      </c>
    </row>
    <row r="5" spans="1:10" x14ac:dyDescent="0.25">
      <c r="A5" t="s">
        <v>261</v>
      </c>
      <c r="B5">
        <v>1.9930000000000001</v>
      </c>
      <c r="C5">
        <v>6</v>
      </c>
      <c r="D5">
        <v>6</v>
      </c>
      <c r="E5">
        <f t="shared" si="0"/>
        <v>1.9930000000000001</v>
      </c>
      <c r="F5">
        <f t="shared" si="1"/>
        <v>0.92307692307692313</v>
      </c>
      <c r="G5">
        <f t="shared" si="2"/>
        <v>1.839692307692308</v>
      </c>
      <c r="H5">
        <f t="shared" si="3"/>
        <v>0.49883537499999997</v>
      </c>
      <c r="I5">
        <f t="shared" si="4"/>
        <v>0.70628278684957346</v>
      </c>
      <c r="J5">
        <f t="shared" si="5"/>
        <v>0.65195334170729857</v>
      </c>
    </row>
    <row r="6" spans="1:10" x14ac:dyDescent="0.25">
      <c r="A6" t="s">
        <v>262</v>
      </c>
      <c r="B6">
        <v>0.54400000000000004</v>
      </c>
      <c r="C6">
        <v>16</v>
      </c>
      <c r="D6">
        <v>16</v>
      </c>
      <c r="E6">
        <f t="shared" si="0"/>
        <v>0.54400000000000004</v>
      </c>
      <c r="F6">
        <f t="shared" si="1"/>
        <v>0.97478991596638653</v>
      </c>
      <c r="G6">
        <f t="shared" si="2"/>
        <v>0.53028571428571436</v>
      </c>
      <c r="H6">
        <f t="shared" si="3"/>
        <v>0.12962399999999999</v>
      </c>
      <c r="I6">
        <f t="shared" si="4"/>
        <v>0.36003333179026631</v>
      </c>
      <c r="J6">
        <f t="shared" si="5"/>
        <v>0.35095686124093184</v>
      </c>
    </row>
    <row r="7" spans="1:10" x14ac:dyDescent="0.25">
      <c r="A7" t="s">
        <v>263</v>
      </c>
      <c r="B7">
        <v>0.45400000000000001</v>
      </c>
      <c r="C7">
        <v>5</v>
      </c>
      <c r="D7">
        <v>5</v>
      </c>
      <c r="E7">
        <f>$B7</f>
        <v>0.45400000000000001</v>
      </c>
      <c r="F7">
        <f t="shared" si="1"/>
        <v>0.90322580645161288</v>
      </c>
      <c r="G7">
        <f t="shared" si="2"/>
        <v>0.41006451612903227</v>
      </c>
      <c r="H7">
        <f t="shared" si="3"/>
        <v>0.4103058</v>
      </c>
      <c r="I7">
        <f t="shared" si="4"/>
        <v>0.64055116891627006</v>
      </c>
      <c r="J7">
        <f t="shared" si="5"/>
        <v>0.57856234611792134</v>
      </c>
    </row>
    <row r="8" spans="1:10" x14ac:dyDescent="0.25">
      <c r="A8" t="s">
        <v>264</v>
      </c>
      <c r="B8">
        <v>0.628</v>
      </c>
      <c r="C8">
        <v>12</v>
      </c>
      <c r="D8">
        <v>7</v>
      </c>
      <c r="E8">
        <f t="shared" si="0"/>
        <v>0.628</v>
      </c>
      <c r="F8">
        <f t="shared" si="1"/>
        <v>0.95522388059701491</v>
      </c>
      <c r="G8">
        <f t="shared" si="2"/>
        <v>0.59988059701492535</v>
      </c>
      <c r="H8">
        <f t="shared" si="3"/>
        <v>0.23656900250626567</v>
      </c>
      <c r="I8">
        <f t="shared" si="4"/>
        <v>0.48638359604972869</v>
      </c>
      <c r="J8">
        <f t="shared" si="5"/>
        <v>0.46460522607735277</v>
      </c>
    </row>
    <row r="9" spans="1:10" x14ac:dyDescent="0.25">
      <c r="A9" t="s">
        <v>265</v>
      </c>
      <c r="B9">
        <v>0.54200000000000004</v>
      </c>
      <c r="C9">
        <v>21</v>
      </c>
      <c r="D9">
        <v>14</v>
      </c>
      <c r="E9">
        <f t="shared" si="0"/>
        <v>0.54200000000000004</v>
      </c>
      <c r="F9">
        <f t="shared" si="1"/>
        <v>0.97709923664122134</v>
      </c>
      <c r="G9">
        <f t="shared" si="2"/>
        <v>0.52958778625954195</v>
      </c>
      <c r="H9">
        <f t="shared" si="3"/>
        <v>0.12324424761904762</v>
      </c>
      <c r="I9">
        <f t="shared" si="4"/>
        <v>0.35106160088942739</v>
      </c>
      <c r="J9">
        <f t="shared" si="5"/>
        <v>0.34302202224310463</v>
      </c>
    </row>
    <row r="10" spans="1:10" x14ac:dyDescent="0.25">
      <c r="A10" t="s">
        <v>266</v>
      </c>
      <c r="B10">
        <v>1.0189999999999999</v>
      </c>
      <c r="C10">
        <v>5</v>
      </c>
      <c r="D10">
        <v>5</v>
      </c>
      <c r="E10">
        <f t="shared" si="0"/>
        <v>1.0189999999999999</v>
      </c>
      <c r="F10">
        <f t="shared" si="1"/>
        <v>0.90322580645161288</v>
      </c>
      <c r="G10">
        <f t="shared" si="2"/>
        <v>0.92038709677419339</v>
      </c>
      <c r="H10">
        <f t="shared" si="3"/>
        <v>0.45191805000000002</v>
      </c>
      <c r="I10">
        <f t="shared" si="4"/>
        <v>0.67224850315936002</v>
      </c>
      <c r="J10">
        <f t="shared" si="5"/>
        <v>0.6071921964020025</v>
      </c>
    </row>
  </sheetData>
  <pageMargins left="0.7" right="0.7" top="0.78740157499999996" bottom="0.78740157499999996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B2" sqref="B2"/>
    </sheetView>
  </sheetViews>
  <sheetFormatPr defaultColWidth="11.42578125" defaultRowHeight="15" x14ac:dyDescent="0.25"/>
  <sheetData>
    <row r="1" spans="1:9" x14ac:dyDescent="0.25">
      <c r="A1" t="s">
        <v>217</v>
      </c>
      <c r="B1" t="s">
        <v>379</v>
      </c>
      <c r="C1" t="s">
        <v>380</v>
      </c>
      <c r="D1" t="s">
        <v>370</v>
      </c>
      <c r="E1" t="s">
        <v>371</v>
      </c>
      <c r="F1" t="s">
        <v>44</v>
      </c>
      <c r="G1" t="s">
        <v>372</v>
      </c>
      <c r="H1" t="s">
        <v>368</v>
      </c>
      <c r="I1" t="s">
        <v>369</v>
      </c>
    </row>
    <row r="2" spans="1:9" x14ac:dyDescent="0.25">
      <c r="A2" t="s">
        <v>270</v>
      </c>
      <c r="B2">
        <v>0</v>
      </c>
      <c r="C2">
        <v>1.016</v>
      </c>
      <c r="D2">
        <v>79</v>
      </c>
      <c r="E2">
        <v>78</v>
      </c>
      <c r="F2">
        <f>$D2+$E2</f>
        <v>157</v>
      </c>
      <c r="G2">
        <f>1-3/(4*($F2-2)-1)</f>
        <v>0.99515347334410342</v>
      </c>
      <c r="H2">
        <f>$B2*$G2</f>
        <v>0</v>
      </c>
      <c r="I2">
        <f>SQRT($C2^2*$G2^2)</f>
        <v>1.0110759289176092</v>
      </c>
    </row>
    <row r="3" spans="1:9" x14ac:dyDescent="0.25">
      <c r="A3" t="s">
        <v>271</v>
      </c>
      <c r="B3">
        <v>-4.2000000000000003E-2</v>
      </c>
      <c r="C3">
        <v>0.73299999999999998</v>
      </c>
      <c r="D3">
        <v>47</v>
      </c>
      <c r="E3">
        <v>53</v>
      </c>
      <c r="F3">
        <f t="shared" ref="F3:F14" si="0">$D3+$E3</f>
        <v>100</v>
      </c>
      <c r="G3">
        <f t="shared" ref="G3:G14" si="1">1-3/(4*($F3-2)-1)</f>
        <v>0.99232736572890023</v>
      </c>
      <c r="H3">
        <f t="shared" ref="H3:H14" si="2">$B3*$G3</f>
        <v>-4.167774936061381E-2</v>
      </c>
      <c r="I3">
        <f t="shared" ref="I3:I14" si="3">SQRT($C3^2*$G3^2)</f>
        <v>0.72737595907928387</v>
      </c>
    </row>
    <row r="4" spans="1:9" x14ac:dyDescent="0.25">
      <c r="A4" t="s">
        <v>272</v>
      </c>
      <c r="B4">
        <v>-0.16700000000000001</v>
      </c>
      <c r="C4">
        <v>0.13200000000000001</v>
      </c>
      <c r="D4">
        <v>74</v>
      </c>
      <c r="E4">
        <v>85</v>
      </c>
      <c r="F4">
        <f t="shared" si="0"/>
        <v>159</v>
      </c>
      <c r="G4">
        <f t="shared" si="1"/>
        <v>0.99521531100478466</v>
      </c>
      <c r="H4">
        <f t="shared" si="2"/>
        <v>-0.16620095693779904</v>
      </c>
      <c r="I4">
        <f t="shared" si="3"/>
        <v>0.13136842105263158</v>
      </c>
    </row>
    <row r="5" spans="1:9" x14ac:dyDescent="0.25">
      <c r="A5" t="s">
        <v>273</v>
      </c>
      <c r="B5">
        <v>-0.4</v>
      </c>
      <c r="C5">
        <v>1.1439999999999999</v>
      </c>
      <c r="D5">
        <v>51</v>
      </c>
      <c r="E5">
        <v>42</v>
      </c>
      <c r="F5">
        <f t="shared" si="0"/>
        <v>93</v>
      </c>
      <c r="G5">
        <f t="shared" si="1"/>
        <v>0.99173553719008267</v>
      </c>
      <c r="H5">
        <f t="shared" si="2"/>
        <v>-0.39669421487603307</v>
      </c>
      <c r="I5">
        <f t="shared" si="3"/>
        <v>1.1345454545454543</v>
      </c>
    </row>
    <row r="6" spans="1:9" x14ac:dyDescent="0.25">
      <c r="A6" t="s">
        <v>274</v>
      </c>
      <c r="B6">
        <v>-0.32100000000000001</v>
      </c>
      <c r="C6">
        <v>1.17</v>
      </c>
      <c r="D6">
        <v>25</v>
      </c>
      <c r="E6">
        <v>35</v>
      </c>
      <c r="F6">
        <f t="shared" si="0"/>
        <v>60</v>
      </c>
      <c r="G6">
        <f t="shared" si="1"/>
        <v>0.98701298701298701</v>
      </c>
      <c r="H6">
        <f t="shared" si="2"/>
        <v>-0.31683116883116885</v>
      </c>
      <c r="I6">
        <f t="shared" si="3"/>
        <v>1.1548051948051947</v>
      </c>
    </row>
    <row r="7" spans="1:9" x14ac:dyDescent="0.25">
      <c r="A7" t="s">
        <v>275</v>
      </c>
      <c r="B7">
        <v>1.2E-2</v>
      </c>
      <c r="C7">
        <v>1.1439999999999999</v>
      </c>
      <c r="D7">
        <v>60</v>
      </c>
      <c r="E7">
        <v>53</v>
      </c>
      <c r="F7">
        <f t="shared" si="0"/>
        <v>113</v>
      </c>
      <c r="G7">
        <f t="shared" si="1"/>
        <v>0.99322799097065462</v>
      </c>
      <c r="H7">
        <f t="shared" si="2"/>
        <v>1.1918735891647856E-2</v>
      </c>
      <c r="I7">
        <f t="shared" si="3"/>
        <v>1.1362528216704288</v>
      </c>
    </row>
    <row r="8" spans="1:9" x14ac:dyDescent="0.25">
      <c r="A8" t="s">
        <v>276</v>
      </c>
      <c r="B8">
        <v>-0.14299999999999999</v>
      </c>
      <c r="C8">
        <v>0.69</v>
      </c>
      <c r="D8">
        <v>109</v>
      </c>
      <c r="E8">
        <v>103</v>
      </c>
      <c r="F8">
        <f t="shared" si="0"/>
        <v>212</v>
      </c>
      <c r="G8">
        <f t="shared" si="1"/>
        <v>0.9964243146603099</v>
      </c>
      <c r="H8">
        <f t="shared" si="2"/>
        <v>-0.14248867699642431</v>
      </c>
      <c r="I8">
        <f t="shared" si="3"/>
        <v>0.68753277711561378</v>
      </c>
    </row>
    <row r="9" spans="1:9" x14ac:dyDescent="0.25">
      <c r="A9" t="s">
        <v>277</v>
      </c>
      <c r="B9">
        <v>-0.247</v>
      </c>
      <c r="C9">
        <v>0.89800000000000002</v>
      </c>
      <c r="D9">
        <v>93</v>
      </c>
      <c r="E9">
        <v>94</v>
      </c>
      <c r="F9">
        <f t="shared" si="0"/>
        <v>187</v>
      </c>
      <c r="G9">
        <f t="shared" si="1"/>
        <v>0.99594046008119075</v>
      </c>
      <c r="H9">
        <f t="shared" si="2"/>
        <v>-0.2459972936400541</v>
      </c>
      <c r="I9">
        <f t="shared" si="3"/>
        <v>0.89435453315290925</v>
      </c>
    </row>
    <row r="10" spans="1:9" x14ac:dyDescent="0.25">
      <c r="A10" t="s">
        <v>278</v>
      </c>
      <c r="B10">
        <v>-0.124</v>
      </c>
      <c r="C10">
        <v>0.89100000000000001</v>
      </c>
      <c r="D10">
        <v>98</v>
      </c>
      <c r="E10">
        <v>100</v>
      </c>
      <c r="F10">
        <f t="shared" si="0"/>
        <v>198</v>
      </c>
      <c r="G10">
        <f t="shared" si="1"/>
        <v>0.99616858237547889</v>
      </c>
      <c r="H10">
        <f t="shared" si="2"/>
        <v>-0.12352490421455939</v>
      </c>
      <c r="I10">
        <f t="shared" si="3"/>
        <v>0.88758620689655177</v>
      </c>
    </row>
    <row r="11" spans="1:9" x14ac:dyDescent="0.25">
      <c r="A11" t="s">
        <v>279</v>
      </c>
      <c r="B11">
        <v>-0.21199999999999999</v>
      </c>
      <c r="C11">
        <v>0.755</v>
      </c>
      <c r="D11">
        <v>31</v>
      </c>
      <c r="E11">
        <v>31</v>
      </c>
      <c r="F11">
        <f t="shared" si="0"/>
        <v>62</v>
      </c>
      <c r="G11">
        <f t="shared" si="1"/>
        <v>0.9874476987447699</v>
      </c>
      <c r="H11">
        <f t="shared" si="2"/>
        <v>-0.20933891213389122</v>
      </c>
      <c r="I11">
        <f t="shared" si="3"/>
        <v>0.74552301255230125</v>
      </c>
    </row>
    <row r="12" spans="1:9" x14ac:dyDescent="0.25">
      <c r="A12" t="s">
        <v>280</v>
      </c>
      <c r="B12">
        <v>-0.17</v>
      </c>
      <c r="C12">
        <v>1.58</v>
      </c>
      <c r="D12">
        <v>31</v>
      </c>
      <c r="E12">
        <v>36</v>
      </c>
      <c r="F12">
        <f t="shared" si="0"/>
        <v>67</v>
      </c>
      <c r="G12">
        <f t="shared" si="1"/>
        <v>0.98841698841698844</v>
      </c>
      <c r="H12">
        <f t="shared" si="2"/>
        <v>-0.16803088803088806</v>
      </c>
      <c r="I12">
        <f t="shared" si="3"/>
        <v>1.561698841698842</v>
      </c>
    </row>
    <row r="13" spans="1:9" x14ac:dyDescent="0.25">
      <c r="A13" t="s">
        <v>281</v>
      </c>
      <c r="B13">
        <v>0.26700000000000002</v>
      </c>
      <c r="C13">
        <v>0.309</v>
      </c>
      <c r="D13">
        <v>143</v>
      </c>
      <c r="E13">
        <v>136</v>
      </c>
      <c r="F13">
        <f t="shared" si="0"/>
        <v>279</v>
      </c>
      <c r="G13">
        <f t="shared" si="1"/>
        <v>0.99728997289972898</v>
      </c>
      <c r="H13">
        <f t="shared" si="2"/>
        <v>0.26627642276422764</v>
      </c>
      <c r="I13">
        <f t="shared" si="3"/>
        <v>0.30816260162601622</v>
      </c>
    </row>
    <row r="14" spans="1:9" x14ac:dyDescent="0.25">
      <c r="A14" t="s">
        <v>282</v>
      </c>
      <c r="B14">
        <v>-4.2000000000000003E-2</v>
      </c>
      <c r="C14">
        <v>0.58599999999999997</v>
      </c>
      <c r="D14">
        <v>67</v>
      </c>
      <c r="E14">
        <v>67</v>
      </c>
      <c r="F14">
        <f t="shared" si="0"/>
        <v>134</v>
      </c>
      <c r="G14">
        <f t="shared" si="1"/>
        <v>0.9943074003795066</v>
      </c>
      <c r="H14">
        <f t="shared" si="2"/>
        <v>-4.176091081593928E-2</v>
      </c>
      <c r="I14">
        <f t="shared" si="3"/>
        <v>0.58266413662239092</v>
      </c>
    </row>
  </sheetData>
  <pageMargins left="0.7" right="0.7" top="0.78740157499999996" bottom="0.78740157499999996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K2" sqref="K2"/>
    </sheetView>
  </sheetViews>
  <sheetFormatPr defaultColWidth="11.42578125" defaultRowHeight="15" x14ac:dyDescent="0.25"/>
  <sheetData>
    <row r="1" spans="1:9" x14ac:dyDescent="0.25">
      <c r="A1" t="s">
        <v>217</v>
      </c>
      <c r="B1" t="s">
        <v>379</v>
      </c>
      <c r="C1" t="s">
        <v>380</v>
      </c>
      <c r="D1" t="s">
        <v>370</v>
      </c>
      <c r="E1" t="s">
        <v>371</v>
      </c>
      <c r="F1" t="s">
        <v>44</v>
      </c>
      <c r="G1" t="s">
        <v>372</v>
      </c>
      <c r="H1" t="s">
        <v>368</v>
      </c>
      <c r="I1" t="s">
        <v>369</v>
      </c>
    </row>
    <row r="2" spans="1:9" x14ac:dyDescent="0.25">
      <c r="A2" t="s">
        <v>270</v>
      </c>
      <c r="B2">
        <v>-0.214</v>
      </c>
      <c r="C2">
        <v>0.97</v>
      </c>
      <c r="D2">
        <v>79</v>
      </c>
      <c r="E2">
        <v>78</v>
      </c>
      <c r="F2">
        <f>$D2+$E2</f>
        <v>157</v>
      </c>
      <c r="G2">
        <f>1-3/(4*($F2-2)-1)</f>
        <v>0.99515347334410342</v>
      </c>
      <c r="H2">
        <f>$B2*$G2</f>
        <v>-0.21296284329563814</v>
      </c>
      <c r="I2">
        <f>SQRT($C2^2*$G2^2)</f>
        <v>0.96529886914378027</v>
      </c>
    </row>
    <row r="3" spans="1:9" x14ac:dyDescent="0.25">
      <c r="A3" t="s">
        <v>271</v>
      </c>
      <c r="B3">
        <v>-7.0000000000000007E-2</v>
      </c>
      <c r="C3">
        <v>0.68400000000000005</v>
      </c>
      <c r="D3">
        <v>47</v>
      </c>
      <c r="E3">
        <v>53</v>
      </c>
      <c r="F3">
        <f t="shared" ref="F3:F14" si="0">$D3+$E3</f>
        <v>100</v>
      </c>
      <c r="G3">
        <f t="shared" ref="G3:G14" si="1">1-3/(4*($F3-2)-1)</f>
        <v>0.99232736572890023</v>
      </c>
      <c r="H3">
        <f t="shared" ref="H3:H14" si="2">$B3*$G3</f>
        <v>-6.9462915601023023E-2</v>
      </c>
      <c r="I3">
        <f t="shared" ref="I3:I14" si="3">SQRT($C3^2*$G3^2)</f>
        <v>0.67875191815856784</v>
      </c>
    </row>
    <row r="4" spans="1:9" x14ac:dyDescent="0.25">
      <c r="A4" t="s">
        <v>272</v>
      </c>
      <c r="B4">
        <v>6.5000000000000002E-2</v>
      </c>
      <c r="C4">
        <v>9.7000000000000003E-2</v>
      </c>
      <c r="D4">
        <v>74</v>
      </c>
      <c r="E4">
        <v>85</v>
      </c>
      <c r="F4">
        <f t="shared" si="0"/>
        <v>159</v>
      </c>
      <c r="G4">
        <f t="shared" si="1"/>
        <v>0.99521531100478466</v>
      </c>
      <c r="H4">
        <f t="shared" si="2"/>
        <v>6.4688995215311004E-2</v>
      </c>
      <c r="I4">
        <f t="shared" si="3"/>
        <v>9.6535885167464114E-2</v>
      </c>
    </row>
    <row r="5" spans="1:9" x14ac:dyDescent="0.25">
      <c r="A5" t="s">
        <v>273</v>
      </c>
      <c r="B5">
        <v>-0.222</v>
      </c>
      <c r="C5">
        <v>1.272</v>
      </c>
      <c r="D5">
        <v>51</v>
      </c>
      <c r="E5">
        <v>42</v>
      </c>
      <c r="F5">
        <f t="shared" si="0"/>
        <v>93</v>
      </c>
      <c r="G5">
        <f t="shared" si="1"/>
        <v>0.99173553719008267</v>
      </c>
      <c r="H5">
        <f t="shared" si="2"/>
        <v>-0.22016528925619835</v>
      </c>
      <c r="I5">
        <f t="shared" si="3"/>
        <v>1.2614876033057851</v>
      </c>
    </row>
    <row r="6" spans="1:9" x14ac:dyDescent="0.25">
      <c r="A6" t="s">
        <v>274</v>
      </c>
      <c r="B6">
        <v>-0.56499999999999995</v>
      </c>
      <c r="C6">
        <v>1.2350000000000001</v>
      </c>
      <c r="D6">
        <v>25</v>
      </c>
      <c r="E6">
        <v>35</v>
      </c>
      <c r="F6">
        <f t="shared" si="0"/>
        <v>60</v>
      </c>
      <c r="G6">
        <f t="shared" si="1"/>
        <v>0.98701298701298701</v>
      </c>
      <c r="H6">
        <f t="shared" si="2"/>
        <v>-0.55766233766233764</v>
      </c>
      <c r="I6">
        <f t="shared" si="3"/>
        <v>1.218961038961039</v>
      </c>
    </row>
    <row r="7" spans="1:9" x14ac:dyDescent="0.25">
      <c r="A7" t="s">
        <v>275</v>
      </c>
      <c r="B7">
        <v>0.114</v>
      </c>
      <c r="C7">
        <v>1.272</v>
      </c>
      <c r="D7">
        <v>60</v>
      </c>
      <c r="E7">
        <v>53</v>
      </c>
      <c r="F7">
        <f t="shared" si="0"/>
        <v>113</v>
      </c>
      <c r="G7">
        <f t="shared" si="1"/>
        <v>0.99322799097065462</v>
      </c>
      <c r="H7">
        <f t="shared" si="2"/>
        <v>0.11322799097065463</v>
      </c>
      <c r="I7">
        <f t="shared" si="3"/>
        <v>1.2633860045146728</v>
      </c>
    </row>
    <row r="8" spans="1:9" x14ac:dyDescent="0.25">
      <c r="A8" t="s">
        <v>276</v>
      </c>
      <c r="B8">
        <v>-0.111</v>
      </c>
      <c r="C8">
        <v>0.88700000000000001</v>
      </c>
      <c r="D8">
        <v>109</v>
      </c>
      <c r="E8">
        <v>103</v>
      </c>
      <c r="F8">
        <f t="shared" si="0"/>
        <v>212</v>
      </c>
      <c r="G8">
        <f t="shared" si="1"/>
        <v>0.9964243146603099</v>
      </c>
      <c r="H8">
        <f t="shared" si="2"/>
        <v>-0.1106030989272944</v>
      </c>
      <c r="I8">
        <f t="shared" si="3"/>
        <v>0.88382836710369495</v>
      </c>
    </row>
    <row r="9" spans="1:9" x14ac:dyDescent="0.25">
      <c r="A9" t="s">
        <v>277</v>
      </c>
      <c r="B9">
        <v>7.1999999999999995E-2</v>
      </c>
      <c r="C9">
        <v>0.78300000000000003</v>
      </c>
      <c r="D9">
        <v>93</v>
      </c>
      <c r="E9">
        <v>94</v>
      </c>
      <c r="F9">
        <f t="shared" si="0"/>
        <v>187</v>
      </c>
      <c r="G9">
        <f t="shared" si="1"/>
        <v>0.99594046008119075</v>
      </c>
      <c r="H9">
        <f t="shared" si="2"/>
        <v>7.1707713125845729E-2</v>
      </c>
      <c r="I9">
        <f t="shared" si="3"/>
        <v>0.77982138024357239</v>
      </c>
    </row>
    <row r="10" spans="1:9" x14ac:dyDescent="0.25">
      <c r="A10" t="s">
        <v>278</v>
      </c>
      <c r="B10">
        <v>-0.20899999999999999</v>
      </c>
      <c r="C10">
        <v>0.93</v>
      </c>
      <c r="D10">
        <v>98</v>
      </c>
      <c r="E10">
        <v>100</v>
      </c>
      <c r="F10">
        <f t="shared" si="0"/>
        <v>198</v>
      </c>
      <c r="G10">
        <f t="shared" si="1"/>
        <v>0.99616858237547889</v>
      </c>
      <c r="H10">
        <f t="shared" si="2"/>
        <v>-0.20819923371647509</v>
      </c>
      <c r="I10">
        <f t="shared" si="3"/>
        <v>0.9264367816091954</v>
      </c>
    </row>
    <row r="11" spans="1:9" x14ac:dyDescent="0.25">
      <c r="A11" t="s">
        <v>279</v>
      </c>
      <c r="B11">
        <v>-0.26400000000000001</v>
      </c>
      <c r="C11">
        <v>0.88300000000000001</v>
      </c>
      <c r="D11">
        <v>31</v>
      </c>
      <c r="E11">
        <v>31</v>
      </c>
      <c r="F11">
        <f t="shared" si="0"/>
        <v>62</v>
      </c>
      <c r="G11">
        <f t="shared" si="1"/>
        <v>0.9874476987447699</v>
      </c>
      <c r="H11">
        <f t="shared" si="2"/>
        <v>-0.26068619246861924</v>
      </c>
      <c r="I11">
        <f t="shared" si="3"/>
        <v>0.87191631799163172</v>
      </c>
    </row>
    <row r="12" spans="1:9" x14ac:dyDescent="0.25">
      <c r="A12" t="s">
        <v>280</v>
      </c>
      <c r="B12">
        <v>-7.0000000000000007E-2</v>
      </c>
      <c r="C12">
        <v>1.5449999999999999</v>
      </c>
      <c r="D12">
        <v>31</v>
      </c>
      <c r="E12">
        <v>36</v>
      </c>
      <c r="F12">
        <f t="shared" si="0"/>
        <v>67</v>
      </c>
      <c r="G12">
        <f t="shared" si="1"/>
        <v>0.98841698841698844</v>
      </c>
      <c r="H12">
        <f t="shared" si="2"/>
        <v>-6.9189189189189204E-2</v>
      </c>
      <c r="I12">
        <f t="shared" si="3"/>
        <v>1.5271042471042471</v>
      </c>
    </row>
    <row r="13" spans="1:9" x14ac:dyDescent="0.25">
      <c r="A13" t="s">
        <v>281</v>
      </c>
      <c r="B13">
        <v>-8.1000000000000003E-2</v>
      </c>
      <c r="C13">
        <v>0.435</v>
      </c>
      <c r="D13">
        <v>143</v>
      </c>
      <c r="E13">
        <v>136</v>
      </c>
      <c r="F13">
        <f t="shared" si="0"/>
        <v>279</v>
      </c>
      <c r="G13">
        <f t="shared" si="1"/>
        <v>0.99728997289972898</v>
      </c>
      <c r="H13">
        <f t="shared" si="2"/>
        <v>-8.0780487804878051E-2</v>
      </c>
      <c r="I13">
        <f t="shared" si="3"/>
        <v>0.43382113821138213</v>
      </c>
    </row>
    <row r="14" spans="1:9" x14ac:dyDescent="0.25">
      <c r="A14" t="s">
        <v>282</v>
      </c>
      <c r="B14">
        <v>7.3999999999999996E-2</v>
      </c>
      <c r="C14">
        <v>0.66</v>
      </c>
      <c r="D14">
        <v>67</v>
      </c>
      <c r="E14">
        <v>67</v>
      </c>
      <c r="F14">
        <f t="shared" si="0"/>
        <v>134</v>
      </c>
      <c r="G14">
        <f t="shared" si="1"/>
        <v>0.9943074003795066</v>
      </c>
      <c r="H14">
        <f t="shared" si="2"/>
        <v>7.3578747628083488E-2</v>
      </c>
      <c r="I14">
        <f t="shared" si="3"/>
        <v>0.65624288425047439</v>
      </c>
    </row>
  </sheetData>
  <pageMargins left="0.7" right="0.7" top="0.78740157499999996" bottom="0.78740157499999996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M10" sqref="M10"/>
    </sheetView>
  </sheetViews>
  <sheetFormatPr defaultColWidth="11.42578125" defaultRowHeight="15" x14ac:dyDescent="0.25"/>
  <sheetData>
    <row r="1" spans="1:12" x14ac:dyDescent="0.25">
      <c r="A1" t="s">
        <v>19</v>
      </c>
      <c r="B1" t="s">
        <v>299</v>
      </c>
      <c r="C1" t="s">
        <v>300</v>
      </c>
      <c r="D1" t="s">
        <v>43</v>
      </c>
      <c r="E1" t="s">
        <v>33</v>
      </c>
      <c r="F1" t="s">
        <v>34</v>
      </c>
      <c r="G1" t="s">
        <v>301</v>
      </c>
      <c r="H1" t="s">
        <v>269</v>
      </c>
      <c r="I1" t="s">
        <v>63</v>
      </c>
      <c r="J1" t="s">
        <v>368</v>
      </c>
      <c r="K1" t="s">
        <v>381</v>
      </c>
      <c r="L1" t="s">
        <v>369</v>
      </c>
    </row>
    <row r="2" spans="1:12" x14ac:dyDescent="0.25">
      <c r="A2" t="s">
        <v>283</v>
      </c>
      <c r="B2" t="s">
        <v>284</v>
      </c>
      <c r="C2" t="s">
        <v>285</v>
      </c>
      <c r="D2">
        <v>0.27</v>
      </c>
      <c r="E2">
        <v>-0.13</v>
      </c>
      <c r="F2">
        <v>0.68</v>
      </c>
      <c r="G2">
        <v>93</v>
      </c>
      <c r="H2">
        <v>33</v>
      </c>
      <c r="I2">
        <v>0.95</v>
      </c>
      <c r="J2">
        <f>$D2</f>
        <v>0.27</v>
      </c>
      <c r="K2">
        <f>($G2+$H2)/($G2*$H2)+$J2^2/(2*($G2+$H2))</f>
        <v>4.1345004189359026E-2</v>
      </c>
      <c r="L2">
        <f>SQRT($K2)</f>
        <v>0.20333470975059578</v>
      </c>
    </row>
    <row r="3" spans="1:12" x14ac:dyDescent="0.25">
      <c r="A3" t="s">
        <v>286</v>
      </c>
      <c r="B3" t="s">
        <v>287</v>
      </c>
      <c r="C3" t="s">
        <v>285</v>
      </c>
      <c r="D3">
        <v>0.67</v>
      </c>
      <c r="E3">
        <v>-0.06</v>
      </c>
      <c r="F3">
        <v>1.4</v>
      </c>
      <c r="G3">
        <v>18</v>
      </c>
      <c r="H3">
        <v>15</v>
      </c>
      <c r="I3">
        <v>0.95</v>
      </c>
      <c r="J3">
        <f t="shared" ref="J3:J9" si="0">$D3</f>
        <v>0.67</v>
      </c>
      <c r="K3">
        <f t="shared" ref="K3:K9" si="1">($G3+$H3)/($G3*$H3)+$J3^2/(2*($G3+$H3))</f>
        <v>0.12902373737373737</v>
      </c>
      <c r="L3">
        <f t="shared" ref="L3:L9" si="2">SQRT($K3)</f>
        <v>0.35919874355812742</v>
      </c>
    </row>
    <row r="4" spans="1:12" x14ac:dyDescent="0.25">
      <c r="A4" t="s">
        <v>288</v>
      </c>
      <c r="B4" t="s">
        <v>289</v>
      </c>
      <c r="C4" t="s">
        <v>285</v>
      </c>
      <c r="D4">
        <v>0.18</v>
      </c>
      <c r="E4">
        <v>-0.56000000000000005</v>
      </c>
      <c r="F4">
        <v>0.92</v>
      </c>
      <c r="G4">
        <v>16</v>
      </c>
      <c r="H4">
        <v>15</v>
      </c>
      <c r="I4">
        <v>0.95</v>
      </c>
      <c r="J4">
        <f t="shared" si="0"/>
        <v>0.18</v>
      </c>
      <c r="K4">
        <f t="shared" si="1"/>
        <v>0.12968924731182796</v>
      </c>
      <c r="L4">
        <f t="shared" si="2"/>
        <v>0.36012393326718506</v>
      </c>
    </row>
    <row r="5" spans="1:12" x14ac:dyDescent="0.25">
      <c r="A5" t="s">
        <v>290</v>
      </c>
      <c r="B5" t="s">
        <v>291</v>
      </c>
      <c r="C5" t="s">
        <v>285</v>
      </c>
      <c r="D5">
        <v>0.18</v>
      </c>
      <c r="E5">
        <v>-0.27</v>
      </c>
      <c r="F5">
        <v>0.63</v>
      </c>
      <c r="G5">
        <v>40</v>
      </c>
      <c r="H5">
        <v>40</v>
      </c>
      <c r="I5">
        <v>0.95</v>
      </c>
      <c r="J5">
        <f t="shared" si="0"/>
        <v>0.18</v>
      </c>
      <c r="K5">
        <f t="shared" si="1"/>
        <v>5.0202500000000004E-2</v>
      </c>
      <c r="L5">
        <f t="shared" si="2"/>
        <v>0.22405914397765606</v>
      </c>
    </row>
    <row r="6" spans="1:12" x14ac:dyDescent="0.25">
      <c r="A6" t="s">
        <v>292</v>
      </c>
      <c r="B6" t="s">
        <v>293</v>
      </c>
      <c r="C6" t="s">
        <v>285</v>
      </c>
      <c r="D6">
        <v>1.29</v>
      </c>
      <c r="E6">
        <v>0.56999999999999995</v>
      </c>
      <c r="F6">
        <v>2.0099999999999998</v>
      </c>
      <c r="G6">
        <v>19</v>
      </c>
      <c r="H6">
        <v>19</v>
      </c>
      <c r="I6">
        <v>0.95</v>
      </c>
      <c r="J6">
        <f t="shared" si="0"/>
        <v>1.29</v>
      </c>
      <c r="K6">
        <f t="shared" si="1"/>
        <v>0.12715921052631579</v>
      </c>
      <c r="L6">
        <f t="shared" si="2"/>
        <v>0.35659390141492298</v>
      </c>
    </row>
    <row r="7" spans="1:12" x14ac:dyDescent="0.25">
      <c r="A7" t="s">
        <v>294</v>
      </c>
      <c r="B7" t="s">
        <v>295</v>
      </c>
      <c r="C7" t="s">
        <v>285</v>
      </c>
      <c r="D7">
        <v>0.5</v>
      </c>
      <c r="E7">
        <v>-0.01</v>
      </c>
      <c r="F7">
        <v>1.01</v>
      </c>
      <c r="G7">
        <v>32</v>
      </c>
      <c r="H7">
        <v>31</v>
      </c>
      <c r="I7">
        <v>0.95</v>
      </c>
      <c r="J7">
        <f t="shared" si="0"/>
        <v>0.5</v>
      </c>
      <c r="K7">
        <f t="shared" si="1"/>
        <v>6.5492191500256008E-2</v>
      </c>
      <c r="L7">
        <f t="shared" si="2"/>
        <v>0.2559144222201164</v>
      </c>
    </row>
    <row r="8" spans="1:12" x14ac:dyDescent="0.25">
      <c r="A8" t="s">
        <v>296</v>
      </c>
      <c r="B8" t="s">
        <v>297</v>
      </c>
      <c r="C8" t="s">
        <v>285</v>
      </c>
      <c r="D8">
        <v>0.03</v>
      </c>
      <c r="E8">
        <v>-0.75</v>
      </c>
      <c r="F8">
        <v>0.81</v>
      </c>
      <c r="G8">
        <v>22</v>
      </c>
      <c r="H8">
        <v>10</v>
      </c>
      <c r="I8">
        <v>0.95</v>
      </c>
      <c r="J8">
        <f t="shared" si="0"/>
        <v>0.03</v>
      </c>
      <c r="K8">
        <f t="shared" si="1"/>
        <v>0.14546860795454544</v>
      </c>
      <c r="L8">
        <f t="shared" si="2"/>
        <v>0.38140347134569375</v>
      </c>
    </row>
    <row r="9" spans="1:12" x14ac:dyDescent="0.25">
      <c r="A9" t="s">
        <v>202</v>
      </c>
      <c r="B9" t="s">
        <v>298</v>
      </c>
      <c r="C9" t="s">
        <v>285</v>
      </c>
      <c r="D9">
        <v>0.85</v>
      </c>
      <c r="E9">
        <v>0.11</v>
      </c>
      <c r="F9">
        <v>1.59</v>
      </c>
      <c r="G9">
        <v>16</v>
      </c>
      <c r="H9">
        <v>17</v>
      </c>
      <c r="I9">
        <v>0.95</v>
      </c>
      <c r="J9">
        <f t="shared" si="0"/>
        <v>0.85</v>
      </c>
      <c r="K9">
        <f t="shared" si="1"/>
        <v>0.1322704991087344</v>
      </c>
      <c r="L9">
        <f t="shared" si="2"/>
        <v>0.36369011412015917</v>
      </c>
    </row>
  </sheetData>
  <pageMargins left="0.7" right="0.7" top="0.78740157499999996" bottom="0.78740157499999996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L1" sqref="L1:N12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107</v>
      </c>
      <c r="D1" t="s">
        <v>50</v>
      </c>
      <c r="E1" t="s">
        <v>379</v>
      </c>
      <c r="F1" t="s">
        <v>372</v>
      </c>
      <c r="G1" t="s">
        <v>368</v>
      </c>
      <c r="H1" t="s">
        <v>381</v>
      </c>
      <c r="I1" t="s">
        <v>380</v>
      </c>
      <c r="J1" t="s">
        <v>369</v>
      </c>
    </row>
    <row r="2" spans="1:10" x14ac:dyDescent="0.25">
      <c r="A2" t="s">
        <v>87</v>
      </c>
      <c r="B2">
        <v>1.0860000000000001</v>
      </c>
      <c r="C2">
        <v>12</v>
      </c>
      <c r="D2">
        <v>13</v>
      </c>
      <c r="E2">
        <f>$B2</f>
        <v>1.0860000000000001</v>
      </c>
      <c r="F2">
        <f>1-3/(4*($C2+$D2-2)-1)</f>
        <v>0.96703296703296704</v>
      </c>
      <c r="G2">
        <f>$E2*$F2</f>
        <v>1.0501978021978022</v>
      </c>
      <c r="H2">
        <f>($C2+$D2)/($C2*$D2)+$E2^2/(2*($C2+$D2))</f>
        <v>0.18384433025641028</v>
      </c>
      <c r="I2">
        <f>SQRT($H2)</f>
        <v>0.42877071991498006</v>
      </c>
      <c r="J2">
        <f>SQRT($F2^2*$H2)</f>
        <v>0.41463542145624449</v>
      </c>
    </row>
    <row r="3" spans="1:10" x14ac:dyDescent="0.25">
      <c r="A3" t="s">
        <v>109</v>
      </c>
      <c r="B3">
        <v>-0.374</v>
      </c>
      <c r="C3">
        <v>11</v>
      </c>
      <c r="D3">
        <v>12</v>
      </c>
      <c r="E3">
        <f t="shared" ref="E3:E8" si="0">$B3</f>
        <v>-0.374</v>
      </c>
      <c r="F3">
        <f t="shared" ref="F3:F8" si="1">1-3/(4*($C3+$D3-2)-1)</f>
        <v>0.96385542168674698</v>
      </c>
      <c r="G3">
        <f t="shared" ref="G3:G8" si="2">$E3*$F3</f>
        <v>-0.36048192771084336</v>
      </c>
      <c r="H3">
        <f t="shared" ref="H3:H8" si="3">($C3+$D3)/($C3*$D3)+$E3^2/(2*($C3+$D3))</f>
        <v>0.1772832068511199</v>
      </c>
      <c r="I3">
        <f t="shared" ref="I3:I8" si="4">SQRT($H3)</f>
        <v>0.42105012391771113</v>
      </c>
      <c r="J3">
        <f t="shared" ref="J3:J8" si="5">SQRT($F3^2*$H3)</f>
        <v>0.40583144473996252</v>
      </c>
    </row>
    <row r="4" spans="1:10" x14ac:dyDescent="0.25">
      <c r="A4" t="s">
        <v>111</v>
      </c>
      <c r="B4">
        <v>0.34499999999999997</v>
      </c>
      <c r="C4">
        <v>10</v>
      </c>
      <c r="D4">
        <v>9</v>
      </c>
      <c r="E4">
        <f t="shared" si="0"/>
        <v>0.34499999999999997</v>
      </c>
      <c r="F4">
        <f t="shared" si="1"/>
        <v>0.95522388059701491</v>
      </c>
      <c r="G4">
        <f t="shared" si="2"/>
        <v>0.32955223880597012</v>
      </c>
      <c r="H4">
        <f t="shared" si="3"/>
        <v>0.21424334795321637</v>
      </c>
      <c r="I4">
        <f t="shared" si="4"/>
        <v>0.46286428675500163</v>
      </c>
      <c r="J4">
        <f t="shared" si="5"/>
        <v>0.44213902018388213</v>
      </c>
    </row>
    <row r="5" spans="1:10" x14ac:dyDescent="0.25">
      <c r="A5" t="s">
        <v>187</v>
      </c>
      <c r="B5">
        <v>0.114</v>
      </c>
      <c r="C5">
        <v>12</v>
      </c>
      <c r="D5">
        <v>12</v>
      </c>
      <c r="E5">
        <f t="shared" si="0"/>
        <v>0.114</v>
      </c>
      <c r="F5">
        <f t="shared" si="1"/>
        <v>0.96551724137931039</v>
      </c>
      <c r="G5">
        <f t="shared" si="2"/>
        <v>0.11006896551724139</v>
      </c>
      <c r="H5">
        <f t="shared" si="3"/>
        <v>0.16693741666666664</v>
      </c>
      <c r="I5">
        <f t="shared" si="4"/>
        <v>0.40857975557615023</v>
      </c>
      <c r="J5">
        <f t="shared" si="5"/>
        <v>0.39449079848731744</v>
      </c>
    </row>
    <row r="6" spans="1:10" x14ac:dyDescent="0.25">
      <c r="A6" t="s">
        <v>92</v>
      </c>
      <c r="B6">
        <v>0.82399999999999995</v>
      </c>
      <c r="C6">
        <v>27</v>
      </c>
      <c r="D6">
        <v>21</v>
      </c>
      <c r="E6">
        <f t="shared" si="0"/>
        <v>0.82399999999999995</v>
      </c>
      <c r="F6">
        <f t="shared" si="1"/>
        <v>0.98360655737704916</v>
      </c>
      <c r="G6">
        <f t="shared" si="2"/>
        <v>0.81049180327868842</v>
      </c>
      <c r="H6">
        <f t="shared" si="3"/>
        <v>9.1728751322751323E-2</v>
      </c>
      <c r="I6">
        <f t="shared" si="4"/>
        <v>0.30286754749023759</v>
      </c>
      <c r="J6">
        <f t="shared" si="5"/>
        <v>0.29790250572810256</v>
      </c>
    </row>
    <row r="7" spans="1:10" x14ac:dyDescent="0.25">
      <c r="A7" t="s">
        <v>113</v>
      </c>
      <c r="B7">
        <v>0.01</v>
      </c>
      <c r="C7">
        <v>15</v>
      </c>
      <c r="D7">
        <v>15</v>
      </c>
      <c r="E7">
        <f t="shared" si="0"/>
        <v>0.01</v>
      </c>
      <c r="F7">
        <f t="shared" si="1"/>
        <v>0.97297297297297303</v>
      </c>
      <c r="G7">
        <f t="shared" si="2"/>
        <v>9.729729729729731E-3</v>
      </c>
      <c r="H7">
        <f t="shared" si="3"/>
        <v>0.13333500000000001</v>
      </c>
      <c r="I7">
        <f t="shared" si="4"/>
        <v>0.36515065384030193</v>
      </c>
      <c r="J7">
        <f t="shared" si="5"/>
        <v>0.3552817172500235</v>
      </c>
    </row>
    <row r="8" spans="1:10" x14ac:dyDescent="0.25">
      <c r="A8" t="s">
        <v>98</v>
      </c>
      <c r="B8">
        <v>0.52</v>
      </c>
      <c r="C8">
        <v>20</v>
      </c>
      <c r="D8">
        <v>20</v>
      </c>
      <c r="E8">
        <f t="shared" si="0"/>
        <v>0.52</v>
      </c>
      <c r="F8">
        <f t="shared" si="1"/>
        <v>0.98013245033112584</v>
      </c>
      <c r="G8">
        <f t="shared" si="2"/>
        <v>0.50966887417218543</v>
      </c>
      <c r="H8">
        <f t="shared" si="3"/>
        <v>0.10338</v>
      </c>
      <c r="I8">
        <f t="shared" si="4"/>
        <v>0.32152760379164957</v>
      </c>
      <c r="J8">
        <f t="shared" si="5"/>
        <v>0.3151396381534049</v>
      </c>
    </row>
  </sheetData>
  <pageMargins left="0.7" right="0.7" top="0.78740157499999996" bottom="0.78740157499999996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L1" sqref="L1:N11"/>
    </sheetView>
  </sheetViews>
  <sheetFormatPr defaultColWidth="11.42578125" defaultRowHeight="15" x14ac:dyDescent="0.25"/>
  <sheetData>
    <row r="1" spans="1:10" x14ac:dyDescent="0.25">
      <c r="A1" t="s">
        <v>19</v>
      </c>
      <c r="B1" t="s">
        <v>43</v>
      </c>
      <c r="C1" t="s">
        <v>107</v>
      </c>
      <c r="D1" t="s">
        <v>50</v>
      </c>
      <c r="E1" t="s">
        <v>379</v>
      </c>
      <c r="F1" t="s">
        <v>372</v>
      </c>
      <c r="G1" t="s">
        <v>368</v>
      </c>
      <c r="H1" t="s">
        <v>381</v>
      </c>
      <c r="I1" t="s">
        <v>380</v>
      </c>
      <c r="J1" t="s">
        <v>369</v>
      </c>
    </row>
    <row r="2" spans="1:10" x14ac:dyDescent="0.25">
      <c r="A2" t="s">
        <v>87</v>
      </c>
      <c r="B2">
        <v>0.217</v>
      </c>
      <c r="C2">
        <v>12</v>
      </c>
      <c r="D2">
        <v>13</v>
      </c>
      <c r="E2">
        <f>$B2</f>
        <v>0.217</v>
      </c>
      <c r="F2">
        <f>1-3/(4*($C2+$D2-2)-1)</f>
        <v>0.96703296703296704</v>
      </c>
      <c r="G2">
        <f>$E2*$F2</f>
        <v>0.20984615384615385</v>
      </c>
      <c r="H2">
        <f>($C2+$D2)/($C2*$D2)+$E2^2/(2*($C2+$D2))</f>
        <v>0.16119819025641027</v>
      </c>
      <c r="I2">
        <f>SQRT($H2)</f>
        <v>0.40149494424763343</v>
      </c>
      <c r="J2">
        <f>SQRT($F2^2*$H2)</f>
        <v>0.38825884718452464</v>
      </c>
    </row>
    <row r="3" spans="1:10" x14ac:dyDescent="0.25">
      <c r="A3" t="s">
        <v>109</v>
      </c>
      <c r="B3">
        <v>-0.66400000000000003</v>
      </c>
      <c r="C3">
        <v>11</v>
      </c>
      <c r="D3">
        <v>12</v>
      </c>
      <c r="E3">
        <f t="shared" ref="E3:E8" si="0">$B3</f>
        <v>-0.66400000000000003</v>
      </c>
      <c r="F3">
        <f t="shared" ref="F3:F8" si="1">1-3/(4*($C3+$D3-2)-1)</f>
        <v>0.96385542168674698</v>
      </c>
      <c r="G3">
        <f t="shared" ref="G3:G8" si="2">$E3*$F3</f>
        <v>-0.64</v>
      </c>
      <c r="H3">
        <f t="shared" ref="H3:H8" si="3">($C3+$D3)/($C3*$D3)+$E3^2/(2*($C3+$D3))</f>
        <v>0.18382711989459816</v>
      </c>
      <c r="I3">
        <f t="shared" ref="I3:I8" si="4">SQRT($H3)</f>
        <v>0.42875065002236223</v>
      </c>
      <c r="J3">
        <f t="shared" ref="J3:J8" si="5">SQRT($F3^2*$H3)</f>
        <v>0.41325363857577085</v>
      </c>
    </row>
    <row r="4" spans="1:10" x14ac:dyDescent="0.25">
      <c r="A4" t="s">
        <v>111</v>
      </c>
      <c r="B4">
        <v>-0.36799999999999999</v>
      </c>
      <c r="C4">
        <v>6</v>
      </c>
      <c r="D4">
        <v>6</v>
      </c>
      <c r="E4">
        <f t="shared" si="0"/>
        <v>-0.36799999999999999</v>
      </c>
      <c r="F4">
        <f t="shared" si="1"/>
        <v>0.92307692307692313</v>
      </c>
      <c r="G4">
        <f t="shared" si="2"/>
        <v>-0.33969230769230768</v>
      </c>
      <c r="H4">
        <f t="shared" si="3"/>
        <v>0.338976</v>
      </c>
      <c r="I4">
        <f t="shared" si="4"/>
        <v>0.58221645459399374</v>
      </c>
      <c r="J4">
        <f t="shared" si="5"/>
        <v>0.5374305734713789</v>
      </c>
    </row>
    <row r="5" spans="1:10" x14ac:dyDescent="0.25">
      <c r="A5" t="s">
        <v>187</v>
      </c>
      <c r="B5">
        <v>0.46600000000000003</v>
      </c>
      <c r="C5">
        <v>12</v>
      </c>
      <c r="D5">
        <v>12</v>
      </c>
      <c r="E5">
        <f t="shared" si="0"/>
        <v>0.46600000000000003</v>
      </c>
      <c r="F5">
        <f t="shared" si="1"/>
        <v>0.96551724137931039</v>
      </c>
      <c r="G5">
        <f t="shared" si="2"/>
        <v>0.44993103448275867</v>
      </c>
      <c r="H5">
        <f t="shared" si="3"/>
        <v>0.17119075</v>
      </c>
      <c r="I5">
        <f t="shared" si="4"/>
        <v>0.41375203926989895</v>
      </c>
      <c r="J5">
        <f t="shared" si="5"/>
        <v>0.39948472757093695</v>
      </c>
    </row>
    <row r="6" spans="1:10" x14ac:dyDescent="0.25">
      <c r="A6" t="s">
        <v>92</v>
      </c>
      <c r="B6">
        <v>0.36799999999999999</v>
      </c>
      <c r="C6">
        <v>22</v>
      </c>
      <c r="D6">
        <v>17</v>
      </c>
      <c r="E6">
        <f t="shared" si="0"/>
        <v>0.36799999999999999</v>
      </c>
      <c r="F6">
        <f t="shared" si="1"/>
        <v>0.97959183673469385</v>
      </c>
      <c r="G6">
        <f t="shared" si="2"/>
        <v>0.36048979591836733</v>
      </c>
      <c r="H6">
        <f t="shared" si="3"/>
        <v>0.10601427999451529</v>
      </c>
      <c r="I6">
        <f t="shared" si="4"/>
        <v>0.32559834151069517</v>
      </c>
      <c r="J6">
        <f t="shared" si="5"/>
        <v>0.31895347739823199</v>
      </c>
    </row>
    <row r="7" spans="1:10" x14ac:dyDescent="0.25">
      <c r="A7" t="s">
        <v>113</v>
      </c>
      <c r="B7">
        <v>-0.185</v>
      </c>
      <c r="C7">
        <v>15</v>
      </c>
      <c r="D7">
        <v>15</v>
      </c>
      <c r="E7">
        <f t="shared" si="0"/>
        <v>-0.185</v>
      </c>
      <c r="F7">
        <f t="shared" si="1"/>
        <v>0.97297297297297303</v>
      </c>
      <c r="G7">
        <f t="shared" si="2"/>
        <v>-0.18000000000000002</v>
      </c>
      <c r="H7">
        <f t="shared" si="3"/>
        <v>0.13390374999999999</v>
      </c>
      <c r="I7">
        <f t="shared" si="4"/>
        <v>0.36592861325673892</v>
      </c>
      <c r="J7">
        <f t="shared" si="5"/>
        <v>0.35603865073628649</v>
      </c>
    </row>
    <row r="8" spans="1:10" x14ac:dyDescent="0.25">
      <c r="A8" t="s">
        <v>98</v>
      </c>
      <c r="B8">
        <v>0.49</v>
      </c>
      <c r="C8">
        <v>20</v>
      </c>
      <c r="D8">
        <v>20</v>
      </c>
      <c r="E8">
        <f t="shared" si="0"/>
        <v>0.49</v>
      </c>
      <c r="F8">
        <f t="shared" si="1"/>
        <v>0.98013245033112584</v>
      </c>
      <c r="G8">
        <f t="shared" si="2"/>
        <v>0.48026490066225164</v>
      </c>
      <c r="H8">
        <f t="shared" si="3"/>
        <v>0.10300125</v>
      </c>
      <c r="I8">
        <f t="shared" si="4"/>
        <v>0.32093807813969349</v>
      </c>
      <c r="J8">
        <f t="shared" si="5"/>
        <v>0.3145618249316201</v>
      </c>
    </row>
  </sheetData>
  <pageMargins left="0.7" right="0.7" top="0.78740157499999996" bottom="0.78740157499999996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L1" sqref="L1:N11"/>
    </sheetView>
  </sheetViews>
  <sheetFormatPr defaultColWidth="11.42578125" defaultRowHeight="15" x14ac:dyDescent="0.25"/>
  <sheetData>
    <row r="1" spans="1:11" x14ac:dyDescent="0.25">
      <c r="A1" t="s">
        <v>19</v>
      </c>
      <c r="B1" t="s">
        <v>326</v>
      </c>
      <c r="C1" t="s">
        <v>43</v>
      </c>
      <c r="D1" t="s">
        <v>327</v>
      </c>
      <c r="E1" t="s">
        <v>328</v>
      </c>
      <c r="F1" t="s">
        <v>379</v>
      </c>
      <c r="G1" t="s">
        <v>372</v>
      </c>
      <c r="H1" t="s">
        <v>368</v>
      </c>
      <c r="I1" t="s">
        <v>381</v>
      </c>
      <c r="J1" t="s">
        <v>380</v>
      </c>
      <c r="K1" t="s">
        <v>369</v>
      </c>
    </row>
    <row r="2" spans="1:11" x14ac:dyDescent="0.25">
      <c r="A2" t="s">
        <v>302</v>
      </c>
      <c r="B2" t="s">
        <v>303</v>
      </c>
      <c r="C2">
        <v>3.09E-2</v>
      </c>
      <c r="D2">
        <v>14</v>
      </c>
      <c r="E2">
        <v>14</v>
      </c>
      <c r="F2">
        <f>$C2</f>
        <v>3.09E-2</v>
      </c>
      <c r="G2">
        <f>1-3/(4*($D2+$E2-2)-1)</f>
        <v>0.970873786407767</v>
      </c>
      <c r="H2">
        <f>$F2*$G2</f>
        <v>3.0000000000000002E-2</v>
      </c>
      <c r="I2">
        <f>($D2+$E2)/($D2*$E2)+$F2^2/(2*($D2+$E2))</f>
        <v>0.14287419303571428</v>
      </c>
      <c r="J2">
        <f>SQRT($I2)</f>
        <v>0.3779870276024222</v>
      </c>
      <c r="K2">
        <f>SQRT($G2^2*$I2)</f>
        <v>0.36697769670138075</v>
      </c>
    </row>
    <row r="3" spans="1:11" x14ac:dyDescent="0.25">
      <c r="A3" t="s">
        <v>304</v>
      </c>
      <c r="B3" t="s">
        <v>303</v>
      </c>
      <c r="C3">
        <v>0.40749999999999997</v>
      </c>
      <c r="D3">
        <v>22</v>
      </c>
      <c r="E3">
        <v>21</v>
      </c>
      <c r="F3">
        <f t="shared" ref="F3:F24" si="0">$C3</f>
        <v>0.40749999999999997</v>
      </c>
      <c r="G3">
        <f t="shared" ref="G3:G24" si="1">1-3/(4*($D3+$E3-2)-1)</f>
        <v>0.98159509202453987</v>
      </c>
      <c r="H3">
        <f t="shared" ref="H3:H24" si="2">$F3*$G3</f>
        <v>0.39999999999999997</v>
      </c>
      <c r="I3">
        <f t="shared" ref="I3:I24" si="3">($D3+$E3)/($D3*$E3)+$F3^2/(2*($D3+$E3))</f>
        <v>9.5004479701500055E-2</v>
      </c>
      <c r="J3">
        <f t="shared" ref="J3:J24" si="4">SQRT($I3)</f>
        <v>0.30822796709821781</v>
      </c>
      <c r="K3">
        <f t="shared" ref="K3:K24" si="5">SQRT($G3^2*$I3)</f>
        <v>0.30255505972831198</v>
      </c>
    </row>
    <row r="4" spans="1:11" x14ac:dyDescent="0.25">
      <c r="A4" t="s">
        <v>305</v>
      </c>
      <c r="B4" t="s">
        <v>303</v>
      </c>
      <c r="C4">
        <v>0.43871621599999999</v>
      </c>
      <c r="D4">
        <v>22</v>
      </c>
      <c r="E4">
        <v>18</v>
      </c>
      <c r="F4">
        <f t="shared" si="0"/>
        <v>0.43871621599999999</v>
      </c>
      <c r="G4">
        <f t="shared" si="1"/>
        <v>0.98013245033112584</v>
      </c>
      <c r="H4">
        <f t="shared" si="2"/>
        <v>0.42999999978807946</v>
      </c>
      <c r="I4">
        <f t="shared" si="3"/>
        <v>0.10341599998736799</v>
      </c>
      <c r="J4">
        <f t="shared" si="4"/>
        <v>0.32158358165081746</v>
      </c>
      <c r="K4">
        <f t="shared" si="5"/>
        <v>0.3151945038696754</v>
      </c>
    </row>
    <row r="5" spans="1:11" x14ac:dyDescent="0.25">
      <c r="A5" t="s">
        <v>306</v>
      </c>
      <c r="B5" t="s">
        <v>303</v>
      </c>
      <c r="C5">
        <v>0.37566326500000002</v>
      </c>
      <c r="D5">
        <v>23</v>
      </c>
      <c r="E5">
        <v>29</v>
      </c>
      <c r="F5">
        <f t="shared" si="0"/>
        <v>0.37566326500000002</v>
      </c>
      <c r="G5">
        <f t="shared" si="1"/>
        <v>0.98492462311557794</v>
      </c>
      <c r="H5">
        <f t="shared" si="2"/>
        <v>0.36999999969849251</v>
      </c>
      <c r="I5">
        <f t="shared" si="3"/>
        <v>7.9317970342855454E-2</v>
      </c>
      <c r="J5">
        <f t="shared" si="4"/>
        <v>0.2816344622784212</v>
      </c>
      <c r="K5">
        <f t="shared" si="5"/>
        <v>0.27738871661593245</v>
      </c>
    </row>
    <row r="6" spans="1:11" x14ac:dyDescent="0.25">
      <c r="A6" t="s">
        <v>307</v>
      </c>
      <c r="B6" t="s">
        <v>303</v>
      </c>
      <c r="C6">
        <v>0.43658163300000002</v>
      </c>
      <c r="D6">
        <v>23</v>
      </c>
      <c r="E6">
        <v>29</v>
      </c>
      <c r="F6">
        <f t="shared" si="0"/>
        <v>0.43658163300000002</v>
      </c>
      <c r="G6">
        <f t="shared" si="1"/>
        <v>0.98492462311557794</v>
      </c>
      <c r="H6">
        <f t="shared" si="2"/>
        <v>0.4300000003417086</v>
      </c>
      <c r="I6">
        <f t="shared" si="3"/>
        <v>7.9793745665956275E-2</v>
      </c>
      <c r="J6">
        <f t="shared" si="4"/>
        <v>0.28247786756833937</v>
      </c>
      <c r="K6">
        <f t="shared" si="5"/>
        <v>0.27821940725323879</v>
      </c>
    </row>
    <row r="7" spans="1:11" x14ac:dyDescent="0.25">
      <c r="A7" t="s">
        <v>308</v>
      </c>
      <c r="B7" t="s">
        <v>303</v>
      </c>
      <c r="C7">
        <v>0.39573529400000002</v>
      </c>
      <c r="D7">
        <v>23</v>
      </c>
      <c r="E7">
        <v>31</v>
      </c>
      <c r="F7">
        <f t="shared" si="0"/>
        <v>0.39573529400000002</v>
      </c>
      <c r="G7">
        <f t="shared" si="1"/>
        <v>0.98550724637681164</v>
      </c>
      <c r="H7">
        <f t="shared" si="2"/>
        <v>0.38999999988405798</v>
      </c>
      <c r="I7">
        <f t="shared" si="3"/>
        <v>7.7186384857150417E-2</v>
      </c>
      <c r="J7">
        <f t="shared" si="4"/>
        <v>0.27782437772296081</v>
      </c>
      <c r="K7">
        <f t="shared" si="5"/>
        <v>0.27379793746610631</v>
      </c>
    </row>
    <row r="8" spans="1:11" x14ac:dyDescent="0.25">
      <c r="A8" t="s">
        <v>309</v>
      </c>
      <c r="B8" t="s">
        <v>303</v>
      </c>
      <c r="C8">
        <v>0.85</v>
      </c>
      <c r="D8">
        <v>7</v>
      </c>
      <c r="E8">
        <v>8</v>
      </c>
      <c r="F8">
        <f t="shared" si="0"/>
        <v>0.85</v>
      </c>
      <c r="G8">
        <f t="shared" si="1"/>
        <v>0.94117647058823528</v>
      </c>
      <c r="H8">
        <f t="shared" si="2"/>
        <v>0.79999999999999993</v>
      </c>
      <c r="I8">
        <f t="shared" si="3"/>
        <v>0.29194047619047619</v>
      </c>
      <c r="J8">
        <f t="shared" si="4"/>
        <v>0.54031516376137012</v>
      </c>
      <c r="K8">
        <f t="shared" si="5"/>
        <v>0.50853191883423066</v>
      </c>
    </row>
    <row r="9" spans="1:11" x14ac:dyDescent="0.25">
      <c r="A9" t="s">
        <v>310</v>
      </c>
      <c r="B9" t="s">
        <v>303</v>
      </c>
      <c r="C9">
        <v>0.96136363599999997</v>
      </c>
      <c r="D9">
        <v>7</v>
      </c>
      <c r="E9">
        <v>7</v>
      </c>
      <c r="F9">
        <f t="shared" si="0"/>
        <v>0.96136363599999997</v>
      </c>
      <c r="G9">
        <f t="shared" si="1"/>
        <v>0.93617021276595747</v>
      </c>
      <c r="H9">
        <f t="shared" si="2"/>
        <v>0.89999999965957445</v>
      </c>
      <c r="I9">
        <f t="shared" si="3"/>
        <v>0.3187221443079693</v>
      </c>
      <c r="J9">
        <f t="shared" si="4"/>
        <v>0.56455481957731024</v>
      </c>
      <c r="K9">
        <f t="shared" si="5"/>
        <v>0.52851940556173727</v>
      </c>
    </row>
    <row r="10" spans="1:11" x14ac:dyDescent="0.25">
      <c r="A10" t="s">
        <v>311</v>
      </c>
      <c r="B10" t="s">
        <v>303</v>
      </c>
      <c r="C10">
        <v>0.95285714300000002</v>
      </c>
      <c r="D10">
        <v>10</v>
      </c>
      <c r="E10">
        <v>14</v>
      </c>
      <c r="F10">
        <f t="shared" si="0"/>
        <v>0.95285714300000002</v>
      </c>
      <c r="G10">
        <f t="shared" si="1"/>
        <v>0.96551724137931039</v>
      </c>
      <c r="H10">
        <f t="shared" si="2"/>
        <v>0.92000000013793104</v>
      </c>
      <c r="I10">
        <f t="shared" si="3"/>
        <v>0.19034392007369899</v>
      </c>
      <c r="J10">
        <f t="shared" si="4"/>
        <v>0.43628421937276046</v>
      </c>
      <c r="K10">
        <f t="shared" si="5"/>
        <v>0.42123993594611359</v>
      </c>
    </row>
    <row r="11" spans="1:11" x14ac:dyDescent="0.25">
      <c r="A11" t="s">
        <v>312</v>
      </c>
      <c r="B11" t="s">
        <v>303</v>
      </c>
      <c r="C11">
        <v>0.34455882399999999</v>
      </c>
      <c r="D11">
        <v>10</v>
      </c>
      <c r="E11">
        <v>10</v>
      </c>
      <c r="F11">
        <f t="shared" si="0"/>
        <v>0.34455882399999999</v>
      </c>
      <c r="G11">
        <f t="shared" si="1"/>
        <v>0.95774647887323949</v>
      </c>
      <c r="H11">
        <f t="shared" si="2"/>
        <v>0.33000000045070421</v>
      </c>
      <c r="I11">
        <f t="shared" si="3"/>
        <v>0.20296801957990659</v>
      </c>
      <c r="J11">
        <f t="shared" si="4"/>
        <v>0.45051972163259024</v>
      </c>
      <c r="K11">
        <f t="shared" si="5"/>
        <v>0.43148367705656532</v>
      </c>
    </row>
    <row r="12" spans="1:11" x14ac:dyDescent="0.25">
      <c r="A12" t="s">
        <v>313</v>
      </c>
      <c r="B12" t="s">
        <v>303</v>
      </c>
      <c r="C12">
        <v>0.14583333300000001</v>
      </c>
      <c r="D12">
        <v>10</v>
      </c>
      <c r="E12">
        <v>11</v>
      </c>
      <c r="F12">
        <f t="shared" si="0"/>
        <v>0.14583333300000001</v>
      </c>
      <c r="G12">
        <f t="shared" si="1"/>
        <v>0.96</v>
      </c>
      <c r="H12">
        <f t="shared" si="2"/>
        <v>0.13999999968000001</v>
      </c>
      <c r="I12">
        <f t="shared" si="3"/>
        <v>0.19141545664751683</v>
      </c>
      <c r="J12">
        <f t="shared" si="4"/>
        <v>0.43751052175635369</v>
      </c>
      <c r="K12">
        <f t="shared" si="5"/>
        <v>0.42001010088609952</v>
      </c>
    </row>
    <row r="13" spans="1:11" x14ac:dyDescent="0.25">
      <c r="A13" t="s">
        <v>314</v>
      </c>
      <c r="B13" t="s">
        <v>303</v>
      </c>
      <c r="C13">
        <v>0.583790323</v>
      </c>
      <c r="D13">
        <v>15</v>
      </c>
      <c r="E13">
        <v>19</v>
      </c>
      <c r="F13">
        <f t="shared" si="0"/>
        <v>0.583790323</v>
      </c>
      <c r="G13">
        <f t="shared" si="1"/>
        <v>0.97637795275590555</v>
      </c>
      <c r="H13">
        <f t="shared" si="2"/>
        <v>0.57000000040944887</v>
      </c>
      <c r="I13">
        <f t="shared" si="3"/>
        <v>0.1243101741615122</v>
      </c>
      <c r="J13">
        <f t="shared" si="4"/>
        <v>0.35257647987566076</v>
      </c>
      <c r="K13">
        <f t="shared" si="5"/>
        <v>0.34424790161088137</v>
      </c>
    </row>
    <row r="14" spans="1:11" x14ac:dyDescent="0.25">
      <c r="A14" t="s">
        <v>315</v>
      </c>
      <c r="B14" t="s">
        <v>303</v>
      </c>
      <c r="C14">
        <v>0.56178571399999999</v>
      </c>
      <c r="D14">
        <v>15</v>
      </c>
      <c r="E14">
        <v>23</v>
      </c>
      <c r="F14">
        <f t="shared" si="0"/>
        <v>0.56178571399999999</v>
      </c>
      <c r="G14">
        <f t="shared" si="1"/>
        <v>0.97902097902097907</v>
      </c>
      <c r="H14">
        <f t="shared" si="2"/>
        <v>0.54999999972027969</v>
      </c>
      <c r="I14">
        <f t="shared" si="3"/>
        <v>0.11429760106852779</v>
      </c>
      <c r="J14">
        <f t="shared" si="4"/>
        <v>0.33807928222316108</v>
      </c>
      <c r="K14">
        <f t="shared" si="5"/>
        <v>0.33098670986882905</v>
      </c>
    </row>
    <row r="15" spans="1:11" x14ac:dyDescent="0.25">
      <c r="A15" t="s">
        <v>316</v>
      </c>
      <c r="B15" t="s">
        <v>303</v>
      </c>
      <c r="C15">
        <v>0.58257352900000003</v>
      </c>
      <c r="D15">
        <v>15</v>
      </c>
      <c r="E15">
        <v>22</v>
      </c>
      <c r="F15">
        <f t="shared" si="0"/>
        <v>0.58257352900000003</v>
      </c>
      <c r="G15">
        <f t="shared" si="1"/>
        <v>0.97841726618705038</v>
      </c>
      <c r="H15">
        <f t="shared" si="2"/>
        <v>0.56999999959712233</v>
      </c>
      <c r="I15">
        <f t="shared" si="3"/>
        <v>0.11670758937380014</v>
      </c>
      <c r="J15">
        <f t="shared" si="4"/>
        <v>0.3416249249890882</v>
      </c>
      <c r="K15">
        <f t="shared" si="5"/>
        <v>0.33425172516917984</v>
      </c>
    </row>
    <row r="16" spans="1:11" x14ac:dyDescent="0.25">
      <c r="A16" t="s">
        <v>317</v>
      </c>
      <c r="B16" t="s">
        <v>303</v>
      </c>
      <c r="C16">
        <v>1.148529412</v>
      </c>
      <c r="D16">
        <v>10</v>
      </c>
      <c r="E16">
        <v>10</v>
      </c>
      <c r="F16">
        <f t="shared" si="0"/>
        <v>1.148529412</v>
      </c>
      <c r="G16">
        <f t="shared" si="1"/>
        <v>0.95774647887323949</v>
      </c>
      <c r="H16">
        <f t="shared" si="2"/>
        <v>1.1000000002253523</v>
      </c>
      <c r="I16">
        <f t="shared" si="3"/>
        <v>0.23297799525572666</v>
      </c>
      <c r="J16">
        <f t="shared" si="4"/>
        <v>0.48267794154666593</v>
      </c>
      <c r="K16">
        <f t="shared" si="5"/>
        <v>0.46228309894610259</v>
      </c>
    </row>
    <row r="17" spans="1:11" x14ac:dyDescent="0.25">
      <c r="A17" t="s">
        <v>318</v>
      </c>
      <c r="B17" t="s">
        <v>303</v>
      </c>
      <c r="C17">
        <v>0.16342857099999999</v>
      </c>
      <c r="D17">
        <v>15</v>
      </c>
      <c r="E17">
        <v>23</v>
      </c>
      <c r="F17">
        <f t="shared" si="0"/>
        <v>0.16342857099999999</v>
      </c>
      <c r="G17">
        <f t="shared" si="1"/>
        <v>0.97902097902097907</v>
      </c>
      <c r="H17">
        <f t="shared" si="2"/>
        <v>0.15999999958041958</v>
      </c>
      <c r="I17">
        <f t="shared" si="3"/>
        <v>0.1104963604022727</v>
      </c>
      <c r="J17">
        <f t="shared" si="4"/>
        <v>0.33240992825466675</v>
      </c>
      <c r="K17">
        <f t="shared" si="5"/>
        <v>0.3254362933961773</v>
      </c>
    </row>
    <row r="18" spans="1:11" x14ac:dyDescent="0.25">
      <c r="A18" t="s">
        <v>319</v>
      </c>
      <c r="B18" t="s">
        <v>303</v>
      </c>
      <c r="C18">
        <v>0.62045454499999997</v>
      </c>
      <c r="D18">
        <v>12</v>
      </c>
      <c r="E18">
        <v>13</v>
      </c>
      <c r="F18">
        <f t="shared" si="0"/>
        <v>0.62045454499999997</v>
      </c>
      <c r="G18">
        <f t="shared" si="1"/>
        <v>0.96703296703296704</v>
      </c>
      <c r="H18">
        <f t="shared" si="2"/>
        <v>0.59999999956043948</v>
      </c>
      <c r="I18">
        <f t="shared" si="3"/>
        <v>0.16795568710463341</v>
      </c>
      <c r="J18">
        <f t="shared" si="4"/>
        <v>0.40982397087607431</v>
      </c>
      <c r="K18">
        <f t="shared" si="5"/>
        <v>0.39631329051752245</v>
      </c>
    </row>
    <row r="19" spans="1:11" x14ac:dyDescent="0.25">
      <c r="A19" t="s">
        <v>320</v>
      </c>
      <c r="B19" t="s">
        <v>303</v>
      </c>
      <c r="C19">
        <v>0.63178571400000005</v>
      </c>
      <c r="D19">
        <v>13</v>
      </c>
      <c r="E19">
        <v>11</v>
      </c>
      <c r="F19">
        <f t="shared" si="0"/>
        <v>0.63178571400000005</v>
      </c>
      <c r="G19">
        <f t="shared" si="1"/>
        <v>0.96551724137931039</v>
      </c>
      <c r="H19">
        <f t="shared" si="2"/>
        <v>0.60999999972413799</v>
      </c>
      <c r="I19">
        <f t="shared" si="3"/>
        <v>0.1761478592574697</v>
      </c>
      <c r="J19">
        <f t="shared" si="4"/>
        <v>0.41969972511007164</v>
      </c>
      <c r="K19">
        <f t="shared" si="5"/>
        <v>0.40522732079593127</v>
      </c>
    </row>
    <row r="20" spans="1:11" x14ac:dyDescent="0.25">
      <c r="A20" t="s">
        <v>321</v>
      </c>
      <c r="B20" t="s">
        <v>303</v>
      </c>
      <c r="C20">
        <v>0.55916666699999995</v>
      </c>
      <c r="D20">
        <v>24</v>
      </c>
      <c r="E20">
        <v>24</v>
      </c>
      <c r="F20">
        <f t="shared" si="0"/>
        <v>0.55916666699999995</v>
      </c>
      <c r="G20">
        <f t="shared" si="1"/>
        <v>0.98360655737704916</v>
      </c>
      <c r="H20">
        <f t="shared" si="2"/>
        <v>0.55000000032786878</v>
      </c>
      <c r="I20">
        <f t="shared" si="3"/>
        <v>8.6590285015457166E-2</v>
      </c>
      <c r="J20">
        <f t="shared" si="4"/>
        <v>0.29426227249760911</v>
      </c>
      <c r="K20">
        <f t="shared" si="5"/>
        <v>0.28943830081732042</v>
      </c>
    </row>
    <row r="21" spans="1:11" x14ac:dyDescent="0.25">
      <c r="A21" t="s">
        <v>322</v>
      </c>
      <c r="B21" t="s">
        <v>303</v>
      </c>
      <c r="C21">
        <v>0.86821428599999995</v>
      </c>
      <c r="D21">
        <v>20</v>
      </c>
      <c r="E21">
        <v>18</v>
      </c>
      <c r="F21">
        <f t="shared" si="0"/>
        <v>0.86821428599999995</v>
      </c>
      <c r="G21">
        <f t="shared" si="1"/>
        <v>0.97902097902097907</v>
      </c>
      <c r="H21">
        <f t="shared" si="2"/>
        <v>0.85000000027972022</v>
      </c>
      <c r="I21">
        <f t="shared" si="3"/>
        <v>0.11547392458732515</v>
      </c>
      <c r="J21">
        <f t="shared" si="4"/>
        <v>0.33981454440227415</v>
      </c>
      <c r="K21">
        <f t="shared" si="5"/>
        <v>0.3326855679462824</v>
      </c>
    </row>
    <row r="22" spans="1:11" x14ac:dyDescent="0.25">
      <c r="A22" t="s">
        <v>323</v>
      </c>
      <c r="B22" t="s">
        <v>303</v>
      </c>
      <c r="C22">
        <v>1.3066346150000001</v>
      </c>
      <c r="D22">
        <v>17</v>
      </c>
      <c r="E22">
        <v>12</v>
      </c>
      <c r="F22">
        <f t="shared" si="0"/>
        <v>1.3066346150000001</v>
      </c>
      <c r="G22">
        <f t="shared" si="1"/>
        <v>0.9719626168224299</v>
      </c>
      <c r="H22">
        <f t="shared" si="2"/>
        <v>1.2699999996261684</v>
      </c>
      <c r="I22">
        <f t="shared" si="3"/>
        <v>0.17159296648848077</v>
      </c>
      <c r="J22">
        <f t="shared" si="4"/>
        <v>0.41423781392876335</v>
      </c>
      <c r="K22">
        <f t="shared" si="5"/>
        <v>0.40262366961300361</v>
      </c>
    </row>
    <row r="23" spans="1:11" x14ac:dyDescent="0.25">
      <c r="A23" t="s">
        <v>324</v>
      </c>
      <c r="B23" t="s">
        <v>303</v>
      </c>
      <c r="C23">
        <v>0.52416666700000003</v>
      </c>
      <c r="D23">
        <v>17</v>
      </c>
      <c r="E23">
        <v>13</v>
      </c>
      <c r="F23">
        <f t="shared" si="0"/>
        <v>0.52416666700000003</v>
      </c>
      <c r="G23">
        <f t="shared" si="1"/>
        <v>0.97297297297297303</v>
      </c>
      <c r="H23">
        <f t="shared" si="2"/>
        <v>0.51000000032432435</v>
      </c>
      <c r="I23">
        <f t="shared" si="3"/>
        <v>0.14032578458140643</v>
      </c>
      <c r="J23">
        <f t="shared" si="4"/>
        <v>0.37460083366352298</v>
      </c>
      <c r="K23">
        <f t="shared" si="5"/>
        <v>0.36447648680775213</v>
      </c>
    </row>
    <row r="24" spans="1:11" x14ac:dyDescent="0.25">
      <c r="A24" t="s">
        <v>325</v>
      </c>
      <c r="B24" t="s">
        <v>303</v>
      </c>
      <c r="C24">
        <v>0.48409999999999997</v>
      </c>
      <c r="D24">
        <v>17</v>
      </c>
      <c r="E24">
        <v>11</v>
      </c>
      <c r="F24">
        <f t="shared" si="0"/>
        <v>0.48409999999999997</v>
      </c>
      <c r="G24">
        <f t="shared" si="1"/>
        <v>0.970873786407767</v>
      </c>
      <c r="H24">
        <f t="shared" si="2"/>
        <v>0.47</v>
      </c>
      <c r="I24">
        <f t="shared" si="3"/>
        <v>0.15391749192799847</v>
      </c>
      <c r="J24">
        <f t="shared" si="4"/>
        <v>0.39232319830466117</v>
      </c>
      <c r="K24">
        <f t="shared" si="5"/>
        <v>0.38089630903365163</v>
      </c>
    </row>
  </sheetData>
  <pageMargins left="0.7" right="0.7" top="0.78740157499999996" bottom="0.78740157499999996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L1" sqref="L1:N11"/>
    </sheetView>
  </sheetViews>
  <sheetFormatPr defaultColWidth="11.42578125" defaultRowHeight="15" x14ac:dyDescent="0.25"/>
  <sheetData>
    <row r="1" spans="1:11" x14ac:dyDescent="0.25">
      <c r="A1" t="s">
        <v>19</v>
      </c>
      <c r="B1" t="s">
        <v>326</v>
      </c>
      <c r="C1" t="s">
        <v>43</v>
      </c>
      <c r="D1" t="s">
        <v>327</v>
      </c>
      <c r="E1" t="s">
        <v>328</v>
      </c>
      <c r="F1" t="s">
        <v>379</v>
      </c>
      <c r="G1" t="s">
        <v>372</v>
      </c>
      <c r="H1" t="s">
        <v>368</v>
      </c>
      <c r="I1" t="s">
        <v>381</v>
      </c>
      <c r="J1" t="s">
        <v>380</v>
      </c>
      <c r="K1" t="s">
        <v>369</v>
      </c>
    </row>
    <row r="2" spans="1:11" x14ac:dyDescent="0.25">
      <c r="A2" t="s">
        <v>302</v>
      </c>
      <c r="B2" t="s">
        <v>303</v>
      </c>
      <c r="C2">
        <v>0.55620000000000003</v>
      </c>
      <c r="D2">
        <v>14</v>
      </c>
      <c r="E2">
        <v>14</v>
      </c>
      <c r="F2">
        <f>$C2</f>
        <v>0.55620000000000003</v>
      </c>
      <c r="G2">
        <f>1-3/(4*($D2+$E2-2)-1)</f>
        <v>0.970873786407767</v>
      </c>
      <c r="H2">
        <f>$F2*$G2</f>
        <v>0.54</v>
      </c>
      <c r="I2">
        <f>($D2+$E2)/($D2*$E2)+$F2^2/(2*($D2+$E2))</f>
        <v>0.14838140071428571</v>
      </c>
      <c r="J2">
        <f>SQRT($I2)</f>
        <v>0.38520306425869161</v>
      </c>
      <c r="K2">
        <f>SQRT($G2^2*$I2)</f>
        <v>0.37398355753271029</v>
      </c>
    </row>
    <row r="3" spans="1:11" x14ac:dyDescent="0.25">
      <c r="A3" t="s">
        <v>329</v>
      </c>
      <c r="B3" t="s">
        <v>303</v>
      </c>
      <c r="C3">
        <v>1.0688888889999999</v>
      </c>
      <c r="D3">
        <v>15</v>
      </c>
      <c r="E3">
        <v>15</v>
      </c>
      <c r="F3">
        <f t="shared" ref="F3:F20" si="0">$C3</f>
        <v>1.0688888889999999</v>
      </c>
      <c r="G3">
        <f t="shared" ref="G3:G20" si="1">1-3/(4*($D3+$E3-2)-1)</f>
        <v>0.97297297297297303</v>
      </c>
      <c r="H3">
        <f t="shared" ref="H3:H20" si="2">$F3*$G3</f>
        <v>1.040000000108108</v>
      </c>
      <c r="I3">
        <f t="shared" ref="I3:I20" si="3">($D3+$E3)/($D3*$E3)+$F3^2/(2*($D3+$E3))</f>
        <v>0.1523753909504609</v>
      </c>
      <c r="J3">
        <f t="shared" ref="J3:J20" si="4">SQRT($I3)</f>
        <v>0.39035290565136171</v>
      </c>
      <c r="K3">
        <f t="shared" ref="K3:K20" si="5">SQRT($G3^2*$I3)</f>
        <v>0.37980282712024382</v>
      </c>
    </row>
    <row r="4" spans="1:11" x14ac:dyDescent="0.25">
      <c r="A4" t="s">
        <v>306</v>
      </c>
      <c r="B4" t="s">
        <v>303</v>
      </c>
      <c r="C4">
        <v>0.75009090899999997</v>
      </c>
      <c r="D4">
        <v>29</v>
      </c>
      <c r="E4">
        <v>29</v>
      </c>
      <c r="F4">
        <f t="shared" si="0"/>
        <v>0.75009090899999997</v>
      </c>
      <c r="G4">
        <f t="shared" si="1"/>
        <v>0.98654708520179368</v>
      </c>
      <c r="H4">
        <f t="shared" si="2"/>
        <v>0.73999999991031384</v>
      </c>
      <c r="I4">
        <f t="shared" si="3"/>
        <v>7.3815830791072817E-2</v>
      </c>
      <c r="J4">
        <f t="shared" si="4"/>
        <v>0.27169068955537068</v>
      </c>
      <c r="K4">
        <f t="shared" si="5"/>
        <v>0.26803565785731637</v>
      </c>
    </row>
    <row r="5" spans="1:11" x14ac:dyDescent="0.25">
      <c r="A5" t="s">
        <v>330</v>
      </c>
      <c r="B5" t="s">
        <v>303</v>
      </c>
      <c r="C5">
        <v>0.95281818200000001</v>
      </c>
      <c r="D5">
        <v>29</v>
      </c>
      <c r="E5">
        <v>29</v>
      </c>
      <c r="F5">
        <f t="shared" si="0"/>
        <v>0.95281818200000001</v>
      </c>
      <c r="G5">
        <f t="shared" si="1"/>
        <v>0.98654708520179368</v>
      </c>
      <c r="H5">
        <f t="shared" si="2"/>
        <v>0.94000000017937213</v>
      </c>
      <c r="I5">
        <f t="shared" si="3"/>
        <v>7.6791917999567111E-2</v>
      </c>
      <c r="J5">
        <f t="shared" si="4"/>
        <v>0.27711354712385877</v>
      </c>
      <c r="K5">
        <f t="shared" si="5"/>
        <v>0.27338556218497279</v>
      </c>
    </row>
    <row r="6" spans="1:11" x14ac:dyDescent="0.25">
      <c r="A6" t="s">
        <v>308</v>
      </c>
      <c r="B6" t="s">
        <v>303</v>
      </c>
      <c r="C6">
        <v>0.57724576299999997</v>
      </c>
      <c r="D6">
        <v>31</v>
      </c>
      <c r="E6">
        <v>31</v>
      </c>
      <c r="F6">
        <f t="shared" si="0"/>
        <v>0.57724576299999997</v>
      </c>
      <c r="G6">
        <f t="shared" si="1"/>
        <v>0.9874476987447699</v>
      </c>
      <c r="H6">
        <f t="shared" si="2"/>
        <v>0.5700000002845188</v>
      </c>
      <c r="I6">
        <f t="shared" si="3"/>
        <v>6.7203327991140746E-2</v>
      </c>
      <c r="J6">
        <f t="shared" si="4"/>
        <v>0.259236046859114</v>
      </c>
      <c r="K6">
        <f t="shared" si="5"/>
        <v>0.25598203790272345</v>
      </c>
    </row>
    <row r="7" spans="1:11" x14ac:dyDescent="0.25">
      <c r="A7" t="s">
        <v>310</v>
      </c>
      <c r="B7" t="s">
        <v>303</v>
      </c>
      <c r="C7">
        <v>0.48068181799999998</v>
      </c>
      <c r="D7">
        <v>7</v>
      </c>
      <c r="E7">
        <v>7</v>
      </c>
      <c r="F7">
        <f t="shared" si="0"/>
        <v>0.48068181799999998</v>
      </c>
      <c r="G7">
        <f t="shared" si="1"/>
        <v>0.93617021276595747</v>
      </c>
      <c r="H7">
        <f t="shared" si="2"/>
        <v>0.44999999982978722</v>
      </c>
      <c r="I7">
        <f t="shared" si="3"/>
        <v>0.29396625036270657</v>
      </c>
      <c r="J7">
        <f t="shared" si="4"/>
        <v>0.54218654572269365</v>
      </c>
      <c r="K7">
        <f t="shared" si="5"/>
        <v>0.50757889386805366</v>
      </c>
    </row>
    <row r="8" spans="1:11" x14ac:dyDescent="0.25">
      <c r="A8" t="s">
        <v>311</v>
      </c>
      <c r="B8" t="s">
        <v>303</v>
      </c>
      <c r="C8">
        <v>1.155</v>
      </c>
      <c r="D8">
        <v>9</v>
      </c>
      <c r="E8">
        <v>9</v>
      </c>
      <c r="F8">
        <f t="shared" si="0"/>
        <v>1.155</v>
      </c>
      <c r="G8">
        <f t="shared" si="1"/>
        <v>0.95238095238095233</v>
      </c>
      <c r="H8">
        <f t="shared" si="2"/>
        <v>1.0999999999999999</v>
      </c>
      <c r="I8">
        <f t="shared" si="3"/>
        <v>0.25927847222222222</v>
      </c>
      <c r="J8">
        <f t="shared" si="4"/>
        <v>0.50919394362288151</v>
      </c>
      <c r="K8">
        <f t="shared" si="5"/>
        <v>0.48494661297417285</v>
      </c>
    </row>
    <row r="9" spans="1:11" x14ac:dyDescent="0.25">
      <c r="A9" t="s">
        <v>312</v>
      </c>
      <c r="B9" t="s">
        <v>303</v>
      </c>
      <c r="C9">
        <v>1.7535000000000001</v>
      </c>
      <c r="D9">
        <v>9</v>
      </c>
      <c r="E9">
        <v>9</v>
      </c>
      <c r="F9">
        <f t="shared" si="0"/>
        <v>1.7535000000000001</v>
      </c>
      <c r="G9">
        <f t="shared" si="1"/>
        <v>0.95238095238095233</v>
      </c>
      <c r="H9">
        <f t="shared" si="2"/>
        <v>1.67</v>
      </c>
      <c r="I9">
        <f t="shared" si="3"/>
        <v>0.3076322847222222</v>
      </c>
      <c r="J9">
        <f t="shared" si="4"/>
        <v>0.55464608961230599</v>
      </c>
      <c r="K9">
        <f t="shared" si="5"/>
        <v>0.52823437105933901</v>
      </c>
    </row>
    <row r="10" spans="1:11" x14ac:dyDescent="0.25">
      <c r="A10" t="s">
        <v>313</v>
      </c>
      <c r="B10" t="s">
        <v>303</v>
      </c>
      <c r="C10">
        <v>0.57750000000000001</v>
      </c>
      <c r="D10">
        <v>9</v>
      </c>
      <c r="E10">
        <v>9</v>
      </c>
      <c r="F10">
        <f t="shared" si="0"/>
        <v>0.57750000000000001</v>
      </c>
      <c r="G10">
        <f t="shared" si="1"/>
        <v>0.95238095238095233</v>
      </c>
      <c r="H10">
        <f t="shared" si="2"/>
        <v>0.54999999999999993</v>
      </c>
      <c r="I10">
        <f t="shared" si="3"/>
        <v>0.23148628472222221</v>
      </c>
      <c r="J10">
        <f t="shared" si="4"/>
        <v>0.48113021597299643</v>
      </c>
      <c r="K10">
        <f t="shared" si="5"/>
        <v>0.45821925330761565</v>
      </c>
    </row>
    <row r="11" spans="1:11" x14ac:dyDescent="0.25">
      <c r="A11" t="s">
        <v>314</v>
      </c>
      <c r="B11" t="s">
        <v>303</v>
      </c>
      <c r="C11">
        <v>0</v>
      </c>
      <c r="D11">
        <v>15</v>
      </c>
      <c r="E11">
        <v>19</v>
      </c>
      <c r="F11">
        <f t="shared" si="0"/>
        <v>0</v>
      </c>
      <c r="G11">
        <f t="shared" si="1"/>
        <v>0.97637795275590555</v>
      </c>
      <c r="H11">
        <f t="shared" si="2"/>
        <v>0</v>
      </c>
      <c r="I11">
        <f t="shared" si="3"/>
        <v>0.11929824561403508</v>
      </c>
      <c r="J11">
        <f t="shared" si="4"/>
        <v>0.34539578111788666</v>
      </c>
      <c r="K11">
        <f t="shared" si="5"/>
        <v>0.33723682565840907</v>
      </c>
    </row>
    <row r="12" spans="1:11" x14ac:dyDescent="0.25">
      <c r="A12" t="s">
        <v>315</v>
      </c>
      <c r="B12" t="s">
        <v>303</v>
      </c>
      <c r="C12">
        <v>0</v>
      </c>
      <c r="D12">
        <v>15</v>
      </c>
      <c r="E12">
        <v>17</v>
      </c>
      <c r="F12">
        <f t="shared" si="0"/>
        <v>0</v>
      </c>
      <c r="G12">
        <f t="shared" si="1"/>
        <v>0.97478991596638653</v>
      </c>
      <c r="H12">
        <f t="shared" si="2"/>
        <v>0</v>
      </c>
      <c r="I12">
        <f t="shared" si="3"/>
        <v>0.12549019607843137</v>
      </c>
      <c r="J12">
        <f t="shared" si="4"/>
        <v>0.35424595421603811</v>
      </c>
      <c r="K12">
        <f t="shared" si="5"/>
        <v>0.34531538394168421</v>
      </c>
    </row>
    <row r="13" spans="1:11" x14ac:dyDescent="0.25">
      <c r="A13" t="s">
        <v>316</v>
      </c>
      <c r="B13" t="s">
        <v>303</v>
      </c>
      <c r="C13">
        <v>0</v>
      </c>
      <c r="D13">
        <v>15</v>
      </c>
      <c r="E13">
        <v>18</v>
      </c>
      <c r="F13">
        <f t="shared" si="0"/>
        <v>0</v>
      </c>
      <c r="G13">
        <f t="shared" si="1"/>
        <v>0.97560975609756095</v>
      </c>
      <c r="H13">
        <f t="shared" si="2"/>
        <v>0</v>
      </c>
      <c r="I13">
        <f t="shared" si="3"/>
        <v>0.12222222222222222</v>
      </c>
      <c r="J13">
        <f t="shared" si="4"/>
        <v>0.34960294939005049</v>
      </c>
      <c r="K13">
        <f t="shared" si="5"/>
        <v>0.34107604818541509</v>
      </c>
    </row>
    <row r="14" spans="1:11" x14ac:dyDescent="0.25">
      <c r="A14" t="s">
        <v>317</v>
      </c>
      <c r="B14" t="s">
        <v>303</v>
      </c>
      <c r="C14">
        <v>0.69299999999999995</v>
      </c>
      <c r="D14">
        <v>9</v>
      </c>
      <c r="E14">
        <v>9</v>
      </c>
      <c r="F14">
        <f t="shared" si="0"/>
        <v>0.69299999999999995</v>
      </c>
      <c r="G14">
        <f t="shared" si="1"/>
        <v>0.95238095238095233</v>
      </c>
      <c r="H14">
        <f t="shared" si="2"/>
        <v>0.65999999999999992</v>
      </c>
      <c r="I14">
        <f t="shared" si="3"/>
        <v>0.23556247222222221</v>
      </c>
      <c r="J14">
        <f t="shared" si="4"/>
        <v>0.485347784812316</v>
      </c>
      <c r="K14">
        <f t="shared" si="5"/>
        <v>0.46223598553553902</v>
      </c>
    </row>
    <row r="15" spans="1:11" x14ac:dyDescent="0.25">
      <c r="A15" t="s">
        <v>320</v>
      </c>
      <c r="B15" t="s">
        <v>303</v>
      </c>
      <c r="C15">
        <v>0.447333333</v>
      </c>
      <c r="D15">
        <v>24</v>
      </c>
      <c r="E15">
        <v>24</v>
      </c>
      <c r="F15">
        <f t="shared" si="0"/>
        <v>0.447333333</v>
      </c>
      <c r="G15">
        <f t="shared" si="1"/>
        <v>0.98360655737704916</v>
      </c>
      <c r="H15">
        <f t="shared" si="2"/>
        <v>0.43999999967213116</v>
      </c>
      <c r="I15">
        <f t="shared" si="3"/>
        <v>8.5417782404300924E-2</v>
      </c>
      <c r="J15">
        <f t="shared" si="4"/>
        <v>0.29226320740781059</v>
      </c>
      <c r="K15">
        <f t="shared" si="5"/>
        <v>0.28747200728637112</v>
      </c>
    </row>
    <row r="16" spans="1:11" x14ac:dyDescent="0.25">
      <c r="A16" t="s">
        <v>331</v>
      </c>
      <c r="B16" t="s">
        <v>303</v>
      </c>
      <c r="C16">
        <v>1.7875000000000001</v>
      </c>
      <c r="D16">
        <v>8</v>
      </c>
      <c r="E16">
        <v>8</v>
      </c>
      <c r="F16">
        <f t="shared" si="0"/>
        <v>1.7875000000000001</v>
      </c>
      <c r="G16">
        <f t="shared" si="1"/>
        <v>0.94545454545454544</v>
      </c>
      <c r="H16">
        <f t="shared" si="2"/>
        <v>1.69</v>
      </c>
      <c r="I16">
        <f t="shared" si="3"/>
        <v>0.3498486328125</v>
      </c>
      <c r="J16">
        <f t="shared" si="4"/>
        <v>0.59148003585285958</v>
      </c>
      <c r="K16">
        <f t="shared" si="5"/>
        <v>0.55921748844270358</v>
      </c>
    </row>
    <row r="17" spans="1:11" x14ac:dyDescent="0.25">
      <c r="A17" t="s">
        <v>322</v>
      </c>
      <c r="B17" t="s">
        <v>303</v>
      </c>
      <c r="C17">
        <v>0.98181818200000004</v>
      </c>
      <c r="D17">
        <v>18</v>
      </c>
      <c r="E17">
        <v>18</v>
      </c>
      <c r="F17">
        <f t="shared" si="0"/>
        <v>0.98181818200000004</v>
      </c>
      <c r="G17">
        <f t="shared" si="1"/>
        <v>0.97777777777777775</v>
      </c>
      <c r="H17">
        <f t="shared" si="2"/>
        <v>0.96000000017777776</v>
      </c>
      <c r="I17">
        <f t="shared" si="3"/>
        <v>0.1244995408681359</v>
      </c>
      <c r="J17">
        <f t="shared" si="4"/>
        <v>0.35284492467390816</v>
      </c>
      <c r="K17">
        <f t="shared" si="5"/>
        <v>0.34500392634782129</v>
      </c>
    </row>
    <row r="18" spans="1:11" x14ac:dyDescent="0.25">
      <c r="A18" t="s">
        <v>323</v>
      </c>
      <c r="B18" t="s">
        <v>303</v>
      </c>
      <c r="C18">
        <v>1.0978571429999999</v>
      </c>
      <c r="D18">
        <v>12</v>
      </c>
      <c r="E18">
        <v>12</v>
      </c>
      <c r="F18">
        <f t="shared" si="0"/>
        <v>1.0978571429999999</v>
      </c>
      <c r="G18">
        <f t="shared" si="1"/>
        <v>0.96551724137931039</v>
      </c>
      <c r="H18">
        <f t="shared" si="2"/>
        <v>1.0600000001379311</v>
      </c>
      <c r="I18">
        <f t="shared" si="3"/>
        <v>0.19177688138408588</v>
      </c>
      <c r="J18">
        <f t="shared" si="4"/>
        <v>0.43792337387274261</v>
      </c>
      <c r="K18">
        <f t="shared" si="5"/>
        <v>0.42282256787713079</v>
      </c>
    </row>
    <row r="19" spans="1:11" x14ac:dyDescent="0.25">
      <c r="A19" t="s">
        <v>324</v>
      </c>
      <c r="B19" t="s">
        <v>303</v>
      </c>
      <c r="C19">
        <v>0.495652174</v>
      </c>
      <c r="D19">
        <v>13</v>
      </c>
      <c r="E19">
        <v>13</v>
      </c>
      <c r="F19">
        <f t="shared" si="0"/>
        <v>0.495652174</v>
      </c>
      <c r="G19">
        <f t="shared" si="1"/>
        <v>0.96842105263157896</v>
      </c>
      <c r="H19">
        <f t="shared" si="2"/>
        <v>0.48000000008421051</v>
      </c>
      <c r="I19">
        <f t="shared" si="3"/>
        <v>0.15857059764597936</v>
      </c>
      <c r="J19">
        <f t="shared" si="4"/>
        <v>0.39820923852414497</v>
      </c>
      <c r="K19">
        <f t="shared" si="5"/>
        <v>0.38563420993917197</v>
      </c>
    </row>
    <row r="20" spans="1:11" x14ac:dyDescent="0.25">
      <c r="A20" t="s">
        <v>325</v>
      </c>
      <c r="B20" t="s">
        <v>303</v>
      </c>
      <c r="C20">
        <v>0.89394736799999996</v>
      </c>
      <c r="D20">
        <v>11</v>
      </c>
      <c r="E20">
        <v>11</v>
      </c>
      <c r="F20">
        <f t="shared" si="0"/>
        <v>0.89394736799999996</v>
      </c>
      <c r="G20">
        <f t="shared" si="1"/>
        <v>0.96202531645569622</v>
      </c>
      <c r="H20">
        <f t="shared" si="2"/>
        <v>0.85999999959493667</v>
      </c>
      <c r="I20">
        <f t="shared" si="3"/>
        <v>0.1999804976535029</v>
      </c>
      <c r="J20">
        <f t="shared" si="4"/>
        <v>0.44719179068214443</v>
      </c>
      <c r="K20">
        <f t="shared" si="5"/>
        <v>0.4302098239473795</v>
      </c>
    </row>
  </sheetData>
  <pageMargins left="0.7" right="0.7" top="0.78740157499999996" bottom="0.78740157499999996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L1" sqref="L1:N11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301</v>
      </c>
      <c r="F1" t="s">
        <v>269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51</v>
      </c>
      <c r="B2">
        <v>0.69</v>
      </c>
      <c r="C2">
        <v>-0.01</v>
      </c>
      <c r="D2">
        <v>1.39</v>
      </c>
      <c r="E2">
        <v>26</v>
      </c>
      <c r="F2">
        <v>18</v>
      </c>
      <c r="G2">
        <v>0.95</v>
      </c>
      <c r="H2">
        <f>$B2</f>
        <v>0.69</v>
      </c>
      <c r="I2">
        <f>1-3/(4*($E2+$F2-2)-1)</f>
        <v>0.98203592814371254</v>
      </c>
      <c r="J2">
        <f>$H2/$I2</f>
        <v>0.70262195121951221</v>
      </c>
      <c r="K2">
        <f>($E2+$F2)/($E2*$F2)+$J2^2/(2*($E2+$F2))</f>
        <v>9.9627066816361229E-2</v>
      </c>
      <c r="L2">
        <f>SQRT($K2)</f>
        <v>0.31563755609299921</v>
      </c>
      <c r="M2">
        <f t="shared" ref="M2:M17" si="0">SQRT($I2^2*$K2)</f>
        <v>0.30996742035480163</v>
      </c>
    </row>
    <row r="3" spans="1:13" x14ac:dyDescent="0.25">
      <c r="A3" t="s">
        <v>332</v>
      </c>
      <c r="B3">
        <v>0.37</v>
      </c>
      <c r="C3">
        <v>-0.35</v>
      </c>
      <c r="D3">
        <v>1.0900000000000001</v>
      </c>
      <c r="E3">
        <v>24</v>
      </c>
      <c r="F3">
        <v>25</v>
      </c>
      <c r="G3">
        <v>0.95</v>
      </c>
      <c r="H3">
        <f t="shared" ref="H3:H17" si="1">$B3</f>
        <v>0.37</v>
      </c>
      <c r="I3">
        <f t="shared" ref="I3:I17" si="2">1-3/(4*($E3+$F3-2)-1)</f>
        <v>0.98395721925133695</v>
      </c>
      <c r="J3">
        <f t="shared" ref="J3:J17" si="3">$H3/$I3</f>
        <v>0.37603260869565214</v>
      </c>
      <c r="K3">
        <f t="shared" ref="K3:K17" si="4">($E3+$F3)/($E3*$F3)+$J3^2/(2*($E3+$F3))</f>
        <v>8.3109529144242758E-2</v>
      </c>
      <c r="L3">
        <f t="shared" ref="L3:L17" si="5">SQRT($K3)</f>
        <v>0.28828723375176146</v>
      </c>
      <c r="M3">
        <f t="shared" si="0"/>
        <v>0.28366230486804339</v>
      </c>
    </row>
    <row r="4" spans="1:13" x14ac:dyDescent="0.25">
      <c r="A4" t="s">
        <v>333</v>
      </c>
      <c r="B4">
        <v>0.31</v>
      </c>
      <c r="C4">
        <v>-0.39</v>
      </c>
      <c r="D4">
        <v>1.01</v>
      </c>
      <c r="E4">
        <v>29</v>
      </c>
      <c r="F4">
        <v>31</v>
      </c>
      <c r="G4">
        <v>0.95</v>
      </c>
      <c r="H4">
        <f t="shared" si="1"/>
        <v>0.31</v>
      </c>
      <c r="I4">
        <f t="shared" si="2"/>
        <v>0.98701298701298701</v>
      </c>
      <c r="J4">
        <f t="shared" si="3"/>
        <v>0.31407894736842107</v>
      </c>
      <c r="K4">
        <f t="shared" si="4"/>
        <v>6.7562869679985815E-2</v>
      </c>
      <c r="L4">
        <f t="shared" si="5"/>
        <v>0.25992858573074606</v>
      </c>
      <c r="M4">
        <f t="shared" si="0"/>
        <v>0.25655288981216495</v>
      </c>
    </row>
    <row r="5" spans="1:13" x14ac:dyDescent="0.25">
      <c r="A5" t="s">
        <v>334</v>
      </c>
      <c r="B5">
        <v>0.57999999999999996</v>
      </c>
      <c r="C5">
        <v>0.02</v>
      </c>
      <c r="D5">
        <v>1.1299999999999999</v>
      </c>
      <c r="E5">
        <v>26</v>
      </c>
      <c r="F5">
        <v>28</v>
      </c>
      <c r="G5">
        <v>0.95</v>
      </c>
      <c r="H5">
        <f t="shared" si="1"/>
        <v>0.57999999999999996</v>
      </c>
      <c r="I5">
        <f t="shared" si="2"/>
        <v>0.98550724637681164</v>
      </c>
      <c r="J5">
        <f t="shared" si="3"/>
        <v>0.58852941176470586</v>
      </c>
      <c r="K5">
        <f t="shared" si="4"/>
        <v>7.7382924810195569E-2</v>
      </c>
      <c r="L5">
        <f t="shared" si="5"/>
        <v>0.2781778654210208</v>
      </c>
      <c r="M5">
        <f t="shared" si="0"/>
        <v>0.2741463021540495</v>
      </c>
    </row>
    <row r="6" spans="1:13" x14ac:dyDescent="0.25">
      <c r="A6" t="s">
        <v>335</v>
      </c>
      <c r="B6">
        <v>0.91</v>
      </c>
      <c r="C6">
        <v>-0.01</v>
      </c>
      <c r="D6">
        <v>1.83</v>
      </c>
      <c r="E6">
        <v>32</v>
      </c>
      <c r="F6">
        <v>16</v>
      </c>
      <c r="G6">
        <v>0.95</v>
      </c>
      <c r="H6">
        <f t="shared" si="1"/>
        <v>0.91</v>
      </c>
      <c r="I6">
        <f t="shared" si="2"/>
        <v>0.98360655737704916</v>
      </c>
      <c r="J6">
        <f t="shared" si="3"/>
        <v>0.92516666666666669</v>
      </c>
      <c r="K6">
        <f t="shared" si="4"/>
        <v>0.10266597251157407</v>
      </c>
      <c r="L6">
        <f t="shared" si="5"/>
        <v>0.32041531254229105</v>
      </c>
      <c r="M6">
        <f t="shared" si="0"/>
        <v>0.31516260250061418</v>
      </c>
    </row>
    <row r="7" spans="1:13" x14ac:dyDescent="0.25">
      <c r="A7" t="s">
        <v>158</v>
      </c>
      <c r="B7">
        <v>0.68</v>
      </c>
      <c r="C7">
        <v>-0.02</v>
      </c>
      <c r="D7">
        <v>1.38</v>
      </c>
      <c r="E7">
        <v>16</v>
      </c>
      <c r="F7">
        <v>17</v>
      </c>
      <c r="G7">
        <v>0.95</v>
      </c>
      <c r="H7">
        <f t="shared" si="1"/>
        <v>0.68</v>
      </c>
      <c r="I7">
        <f t="shared" si="2"/>
        <v>0.97560975609756095</v>
      </c>
      <c r="J7">
        <f t="shared" si="3"/>
        <v>0.69700000000000006</v>
      </c>
      <c r="K7">
        <f t="shared" si="4"/>
        <v>0.12868427183600714</v>
      </c>
      <c r="L7">
        <f t="shared" si="5"/>
        <v>0.35872590070415483</v>
      </c>
      <c r="M7">
        <f t="shared" si="0"/>
        <v>0.34997648849185836</v>
      </c>
    </row>
    <row r="8" spans="1:13" x14ac:dyDescent="0.25">
      <c r="A8" t="s">
        <v>336</v>
      </c>
      <c r="B8">
        <v>0.14000000000000001</v>
      </c>
      <c r="C8">
        <v>-0.24</v>
      </c>
      <c r="D8">
        <v>0.51</v>
      </c>
      <c r="E8">
        <v>55</v>
      </c>
      <c r="F8">
        <v>56</v>
      </c>
      <c r="G8">
        <v>0.95</v>
      </c>
      <c r="H8">
        <f t="shared" si="1"/>
        <v>0.14000000000000001</v>
      </c>
      <c r="I8">
        <f t="shared" si="2"/>
        <v>0.99310344827586206</v>
      </c>
      <c r="J8">
        <f t="shared" si="3"/>
        <v>0.14097222222222225</v>
      </c>
      <c r="K8">
        <f t="shared" si="4"/>
        <v>3.6128479811205504E-2</v>
      </c>
      <c r="L8">
        <f t="shared" si="5"/>
        <v>0.19007493209575402</v>
      </c>
      <c r="M8">
        <f t="shared" si="0"/>
        <v>0.18876407049509367</v>
      </c>
    </row>
    <row r="9" spans="1:13" x14ac:dyDescent="0.25">
      <c r="A9" t="s">
        <v>337</v>
      </c>
      <c r="B9">
        <v>0.17</v>
      </c>
      <c r="C9">
        <v>-0.23</v>
      </c>
      <c r="D9">
        <v>0.56000000000000005</v>
      </c>
      <c r="E9">
        <v>55</v>
      </c>
      <c r="F9">
        <v>56</v>
      </c>
      <c r="G9">
        <v>0.95</v>
      </c>
      <c r="H9">
        <f t="shared" si="1"/>
        <v>0.17</v>
      </c>
      <c r="I9">
        <f t="shared" si="2"/>
        <v>0.99310344827586206</v>
      </c>
      <c r="J9">
        <f t="shared" si="3"/>
        <v>0.17118055555555556</v>
      </c>
      <c r="K9">
        <f t="shared" si="4"/>
        <v>3.6170955555178644E-2</v>
      </c>
      <c r="L9">
        <f t="shared" si="5"/>
        <v>0.19018663348190021</v>
      </c>
      <c r="M9">
        <f t="shared" si="0"/>
        <v>0.1888750015268526</v>
      </c>
    </row>
    <row r="10" spans="1:13" x14ac:dyDescent="0.25">
      <c r="A10" t="s">
        <v>338</v>
      </c>
      <c r="B10">
        <v>0.03</v>
      </c>
      <c r="C10">
        <v>-0.23</v>
      </c>
      <c r="D10">
        <v>0.3</v>
      </c>
      <c r="E10">
        <v>176</v>
      </c>
      <c r="F10">
        <v>177</v>
      </c>
      <c r="G10">
        <v>0.95</v>
      </c>
      <c r="H10">
        <f t="shared" si="1"/>
        <v>0.03</v>
      </c>
      <c r="I10">
        <f t="shared" si="2"/>
        <v>0.99786172487526725</v>
      </c>
      <c r="J10">
        <f t="shared" si="3"/>
        <v>3.0064285714285714E-2</v>
      </c>
      <c r="K10">
        <f t="shared" si="4"/>
        <v>1.1332815952706654E-2</v>
      </c>
      <c r="L10">
        <f t="shared" si="5"/>
        <v>0.10645569948437075</v>
      </c>
      <c r="M10">
        <f t="shared" si="0"/>
        <v>0.10622806791027729</v>
      </c>
    </row>
    <row r="11" spans="1:13" x14ac:dyDescent="0.25">
      <c r="A11" t="s">
        <v>154</v>
      </c>
      <c r="B11">
        <v>1.31</v>
      </c>
      <c r="C11">
        <v>0.42</v>
      </c>
      <c r="D11">
        <v>2.19</v>
      </c>
      <c r="E11">
        <v>12</v>
      </c>
      <c r="F11">
        <v>12</v>
      </c>
      <c r="G11">
        <v>0.95</v>
      </c>
      <c r="H11">
        <f t="shared" si="1"/>
        <v>1.31</v>
      </c>
      <c r="I11">
        <f t="shared" si="2"/>
        <v>0.96551724137931039</v>
      </c>
      <c r="J11">
        <f t="shared" si="3"/>
        <v>1.3567857142857143</v>
      </c>
      <c r="K11">
        <f t="shared" si="4"/>
        <v>0.20501807238520409</v>
      </c>
      <c r="L11">
        <f t="shared" si="5"/>
        <v>0.45278921407781358</v>
      </c>
      <c r="M11">
        <f t="shared" si="0"/>
        <v>0.43717579290271658</v>
      </c>
    </row>
    <row r="12" spans="1:13" x14ac:dyDescent="0.25">
      <c r="A12" t="s">
        <v>155</v>
      </c>
      <c r="B12">
        <v>0.55000000000000004</v>
      </c>
      <c r="C12">
        <v>-7.0000000000000007E-2</v>
      </c>
      <c r="D12">
        <v>1.1599999999999999</v>
      </c>
      <c r="E12">
        <v>28</v>
      </c>
      <c r="F12">
        <v>29</v>
      </c>
      <c r="G12">
        <v>0.95</v>
      </c>
      <c r="H12">
        <f t="shared" si="1"/>
        <v>0.55000000000000004</v>
      </c>
      <c r="I12">
        <f t="shared" si="2"/>
        <v>0.98630136986301364</v>
      </c>
      <c r="J12">
        <f t="shared" si="3"/>
        <v>0.55763888888888902</v>
      </c>
      <c r="K12">
        <f t="shared" si="4"/>
        <v>7.2924773549021285E-2</v>
      </c>
      <c r="L12">
        <f t="shared" si="5"/>
        <v>0.27004587304571287</v>
      </c>
      <c r="M12">
        <f t="shared" si="0"/>
        <v>0.26634661451084007</v>
      </c>
    </row>
    <row r="13" spans="1:13" x14ac:dyDescent="0.25">
      <c r="A13" t="s">
        <v>339</v>
      </c>
      <c r="B13">
        <v>-0.09</v>
      </c>
      <c r="C13">
        <v>-0.46</v>
      </c>
      <c r="D13">
        <v>0.28000000000000003</v>
      </c>
      <c r="E13">
        <v>61</v>
      </c>
      <c r="F13">
        <v>64</v>
      </c>
      <c r="G13">
        <v>0.95</v>
      </c>
      <c r="H13">
        <f t="shared" si="1"/>
        <v>-0.09</v>
      </c>
      <c r="I13">
        <f t="shared" si="2"/>
        <v>0.99389002036659879</v>
      </c>
      <c r="J13">
        <f t="shared" si="3"/>
        <v>-9.0553278688524586E-2</v>
      </c>
      <c r="K13">
        <f t="shared" si="4"/>
        <v>3.2051242208075786E-2</v>
      </c>
      <c r="L13">
        <f t="shared" si="5"/>
        <v>0.17902860723380437</v>
      </c>
      <c r="M13">
        <f t="shared" si="0"/>
        <v>0.17793474608980964</v>
      </c>
    </row>
    <row r="14" spans="1:13" x14ac:dyDescent="0.25">
      <c r="A14" t="s">
        <v>178</v>
      </c>
      <c r="B14">
        <v>0.93</v>
      </c>
      <c r="C14">
        <v>-0.26</v>
      </c>
      <c r="D14">
        <v>2.12</v>
      </c>
      <c r="E14">
        <v>6</v>
      </c>
      <c r="F14">
        <v>6</v>
      </c>
      <c r="G14">
        <v>0.95</v>
      </c>
      <c r="H14">
        <f t="shared" si="1"/>
        <v>0.93</v>
      </c>
      <c r="I14">
        <f t="shared" si="2"/>
        <v>0.92307692307692313</v>
      </c>
      <c r="J14">
        <f t="shared" si="3"/>
        <v>1.0075000000000001</v>
      </c>
      <c r="K14">
        <f t="shared" si="4"/>
        <v>0.37562734375000001</v>
      </c>
      <c r="L14">
        <f t="shared" si="5"/>
        <v>0.61288444567471279</v>
      </c>
      <c r="M14">
        <f t="shared" si="0"/>
        <v>0.56573948831511955</v>
      </c>
    </row>
    <row r="15" spans="1:13" x14ac:dyDescent="0.25">
      <c r="A15" t="s">
        <v>340</v>
      </c>
      <c r="B15">
        <v>0.14000000000000001</v>
      </c>
      <c r="C15">
        <v>-0.14000000000000001</v>
      </c>
      <c r="D15">
        <v>0.39500000000000002</v>
      </c>
      <c r="E15">
        <v>180</v>
      </c>
      <c r="F15">
        <v>180</v>
      </c>
      <c r="G15">
        <v>0.95</v>
      </c>
      <c r="H15">
        <f t="shared" si="1"/>
        <v>0.14000000000000001</v>
      </c>
      <c r="I15">
        <f t="shared" si="2"/>
        <v>0.99790356394129975</v>
      </c>
      <c r="J15">
        <f t="shared" si="3"/>
        <v>0.14029411764705885</v>
      </c>
      <c r="K15">
        <f t="shared" si="4"/>
        <v>1.1138447832564399E-2</v>
      </c>
      <c r="L15">
        <f t="shared" si="5"/>
        <v>0.10553884513563903</v>
      </c>
      <c r="M15">
        <f t="shared" si="0"/>
        <v>0.1053175896951031</v>
      </c>
    </row>
    <row r="16" spans="1:13" x14ac:dyDescent="0.25">
      <c r="A16" t="s">
        <v>341</v>
      </c>
      <c r="B16">
        <v>0.02</v>
      </c>
      <c r="C16">
        <v>-0.28000000000000003</v>
      </c>
      <c r="D16">
        <v>0.32</v>
      </c>
      <c r="E16">
        <v>96</v>
      </c>
      <c r="F16">
        <v>101</v>
      </c>
      <c r="G16">
        <v>0.95</v>
      </c>
      <c r="H16">
        <f t="shared" si="1"/>
        <v>0.02</v>
      </c>
      <c r="I16">
        <f t="shared" si="2"/>
        <v>0.99614890885750962</v>
      </c>
      <c r="J16">
        <f t="shared" si="3"/>
        <v>2.0077319587628865E-2</v>
      </c>
      <c r="K16">
        <f t="shared" si="4"/>
        <v>2.0318679858980688E-2</v>
      </c>
      <c r="L16">
        <f t="shared" si="5"/>
        <v>0.14254360686814646</v>
      </c>
      <c r="M16">
        <f t="shared" si="0"/>
        <v>0.1419946584463179</v>
      </c>
    </row>
    <row r="17" spans="1:13" x14ac:dyDescent="0.25">
      <c r="A17" t="s">
        <v>57</v>
      </c>
      <c r="B17">
        <v>0.04</v>
      </c>
      <c r="C17">
        <v>-0.55000000000000004</v>
      </c>
      <c r="D17">
        <v>0.64</v>
      </c>
      <c r="E17">
        <v>27</v>
      </c>
      <c r="F17">
        <v>22</v>
      </c>
      <c r="G17">
        <v>0.95</v>
      </c>
      <c r="H17">
        <f t="shared" si="1"/>
        <v>0.04</v>
      </c>
      <c r="I17">
        <f t="shared" si="2"/>
        <v>0.98395721925133695</v>
      </c>
      <c r="J17">
        <f t="shared" si="3"/>
        <v>4.0652173913043474E-2</v>
      </c>
      <c r="K17">
        <f t="shared" si="4"/>
        <v>8.2508445749172862E-2</v>
      </c>
      <c r="L17">
        <f t="shared" si="5"/>
        <v>0.28724283411283363</v>
      </c>
      <c r="M17">
        <f t="shared" si="0"/>
        <v>0.28263466030353684</v>
      </c>
    </row>
  </sheetData>
  <pageMargins left="0.7" right="0.7" top="0.78740157499999996" bottom="0.78740157499999996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L1" sqref="L1:N11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301</v>
      </c>
      <c r="F1" t="s">
        <v>269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51</v>
      </c>
      <c r="B2">
        <v>0.69</v>
      </c>
      <c r="C2">
        <v>-0.01</v>
      </c>
      <c r="D2">
        <v>1.39</v>
      </c>
      <c r="E2">
        <v>26</v>
      </c>
      <c r="F2">
        <v>18</v>
      </c>
      <c r="G2">
        <v>0.95</v>
      </c>
      <c r="H2">
        <f>$B2</f>
        <v>0.69</v>
      </c>
      <c r="I2">
        <f>1-3/(4*($E2+$F2-2)-1)</f>
        <v>0.98203592814371254</v>
      </c>
      <c r="J2">
        <f>$H2/$I2</f>
        <v>0.70262195121951221</v>
      </c>
      <c r="K2">
        <f>($E2+$F2)/($E2*$F2)+$J2^2/(2*($E2+$F2))</f>
        <v>9.9627066816361229E-2</v>
      </c>
      <c r="L2">
        <f>SQRT($K2)</f>
        <v>0.31563755609299921</v>
      </c>
      <c r="M2">
        <f>SQRT($I2^2*$K2)</f>
        <v>0.30996742035480163</v>
      </c>
    </row>
    <row r="3" spans="1:13" x14ac:dyDescent="0.25">
      <c r="A3" t="s">
        <v>332</v>
      </c>
      <c r="B3">
        <v>0.37</v>
      </c>
      <c r="C3">
        <v>-0.35</v>
      </c>
      <c r="D3">
        <v>1.0900000000000001</v>
      </c>
      <c r="E3">
        <v>24</v>
      </c>
      <c r="F3">
        <v>25</v>
      </c>
      <c r="G3">
        <v>0.95</v>
      </c>
      <c r="H3">
        <f t="shared" ref="H3:H7" si="0">$B3</f>
        <v>0.37</v>
      </c>
      <c r="I3">
        <f t="shared" ref="I3:I7" si="1">1-3/(4*($E3+$F3-2)-1)</f>
        <v>0.98395721925133695</v>
      </c>
      <c r="J3">
        <f t="shared" ref="J3:J7" si="2">$H3/$I3</f>
        <v>0.37603260869565214</v>
      </c>
      <c r="K3">
        <f t="shared" ref="K3:K7" si="3">($E3+$F3)/($E3*$F3)+$J3^2/(2*($E3+$F3))</f>
        <v>8.3109529144242758E-2</v>
      </c>
      <c r="L3">
        <f t="shared" ref="L3:L7" si="4">SQRT($K3)</f>
        <v>0.28828723375176146</v>
      </c>
      <c r="M3">
        <f t="shared" ref="M3:M7" si="5">SQRT($I3^2*$K3)</f>
        <v>0.28366230486804339</v>
      </c>
    </row>
    <row r="4" spans="1:13" x14ac:dyDescent="0.25">
      <c r="A4" t="s">
        <v>333</v>
      </c>
      <c r="B4">
        <v>0.31</v>
      </c>
      <c r="C4">
        <v>-0.39</v>
      </c>
      <c r="D4">
        <v>1.01</v>
      </c>
      <c r="E4">
        <v>29</v>
      </c>
      <c r="F4">
        <v>31</v>
      </c>
      <c r="G4">
        <v>0.95</v>
      </c>
      <c r="H4">
        <f t="shared" si="0"/>
        <v>0.31</v>
      </c>
      <c r="I4">
        <f t="shared" si="1"/>
        <v>0.98701298701298701</v>
      </c>
      <c r="J4">
        <f t="shared" si="2"/>
        <v>0.31407894736842107</v>
      </c>
      <c r="K4">
        <f t="shared" si="3"/>
        <v>6.7562869679985815E-2</v>
      </c>
      <c r="L4">
        <f t="shared" si="4"/>
        <v>0.25992858573074606</v>
      </c>
      <c r="M4">
        <f t="shared" si="5"/>
        <v>0.25655288981216495</v>
      </c>
    </row>
    <row r="5" spans="1:13" x14ac:dyDescent="0.25">
      <c r="A5" t="s">
        <v>334</v>
      </c>
      <c r="B5">
        <v>0.57999999999999996</v>
      </c>
      <c r="C5">
        <v>0.02</v>
      </c>
      <c r="D5">
        <v>1.1299999999999999</v>
      </c>
      <c r="E5">
        <v>26</v>
      </c>
      <c r="F5">
        <v>28</v>
      </c>
      <c r="G5">
        <v>0.95</v>
      </c>
      <c r="H5">
        <f t="shared" si="0"/>
        <v>0.57999999999999996</v>
      </c>
      <c r="I5">
        <f t="shared" si="1"/>
        <v>0.98550724637681164</v>
      </c>
      <c r="J5">
        <f t="shared" si="2"/>
        <v>0.58852941176470586</v>
      </c>
      <c r="K5">
        <f t="shared" si="3"/>
        <v>7.7382924810195569E-2</v>
      </c>
      <c r="L5">
        <f t="shared" si="4"/>
        <v>0.2781778654210208</v>
      </c>
      <c r="M5">
        <f t="shared" si="5"/>
        <v>0.2741463021540495</v>
      </c>
    </row>
    <row r="6" spans="1:13" x14ac:dyDescent="0.25">
      <c r="A6" t="s">
        <v>335</v>
      </c>
      <c r="B6">
        <v>0.91</v>
      </c>
      <c r="C6">
        <v>-0.01</v>
      </c>
      <c r="D6">
        <v>1.83</v>
      </c>
      <c r="E6">
        <v>32</v>
      </c>
      <c r="F6">
        <v>16</v>
      </c>
      <c r="G6">
        <v>0.95</v>
      </c>
      <c r="H6">
        <f t="shared" si="0"/>
        <v>0.91</v>
      </c>
      <c r="I6">
        <f t="shared" si="1"/>
        <v>0.98360655737704916</v>
      </c>
      <c r="J6">
        <f t="shared" si="2"/>
        <v>0.92516666666666669</v>
      </c>
      <c r="K6">
        <f t="shared" si="3"/>
        <v>0.10266597251157407</v>
      </c>
      <c r="L6">
        <f t="shared" si="4"/>
        <v>0.32041531254229105</v>
      </c>
      <c r="M6">
        <f t="shared" si="5"/>
        <v>0.31516260250061418</v>
      </c>
    </row>
    <row r="7" spans="1:13" x14ac:dyDescent="0.25">
      <c r="A7" t="s">
        <v>158</v>
      </c>
      <c r="B7">
        <v>0.68</v>
      </c>
      <c r="C7">
        <v>-0.02</v>
      </c>
      <c r="D7">
        <v>1.38</v>
      </c>
      <c r="E7">
        <v>16</v>
      </c>
      <c r="F7">
        <v>17</v>
      </c>
      <c r="G7">
        <v>0.95</v>
      </c>
      <c r="H7">
        <f t="shared" si="0"/>
        <v>0.68</v>
      </c>
      <c r="I7">
        <f t="shared" si="1"/>
        <v>0.97560975609756095</v>
      </c>
      <c r="J7">
        <f t="shared" si="2"/>
        <v>0.69700000000000006</v>
      </c>
      <c r="K7">
        <f t="shared" si="3"/>
        <v>0.12868427183600714</v>
      </c>
      <c r="L7">
        <f t="shared" si="4"/>
        <v>0.35872590070415483</v>
      </c>
      <c r="M7">
        <f t="shared" si="5"/>
        <v>0.34997648849185836</v>
      </c>
    </row>
  </sheetData>
  <pageMargins left="0.7" right="0.7" top="0.78740157499999996" bottom="0.78740157499999996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L1" sqref="L1:N11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301</v>
      </c>
      <c r="F1" t="s">
        <v>269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336</v>
      </c>
      <c r="B2">
        <v>0.14000000000000001</v>
      </c>
      <c r="C2">
        <v>-0.24</v>
      </c>
      <c r="D2">
        <v>0.51</v>
      </c>
      <c r="E2">
        <v>55</v>
      </c>
      <c r="F2">
        <v>56</v>
      </c>
      <c r="G2">
        <v>0.95</v>
      </c>
      <c r="H2">
        <f>$B2</f>
        <v>0.14000000000000001</v>
      </c>
      <c r="I2">
        <f>1-3/(4*($E2+$F2-2)-1)</f>
        <v>0.99310344827586206</v>
      </c>
      <c r="J2">
        <f>$H2/$I2</f>
        <v>0.14097222222222225</v>
      </c>
      <c r="K2">
        <f>($E2+$F2)/($E2*$F2)+$J2^2/(2*($E2+$F2))</f>
        <v>3.6128479811205504E-2</v>
      </c>
      <c r="L2">
        <f>SQRT($K2)</f>
        <v>0.19007493209575402</v>
      </c>
      <c r="M2">
        <f>SQRT($I2^2*$K2)</f>
        <v>0.18876407049509367</v>
      </c>
    </row>
    <row r="3" spans="1:13" x14ac:dyDescent="0.25">
      <c r="A3" t="s">
        <v>337</v>
      </c>
      <c r="B3">
        <v>0.17</v>
      </c>
      <c r="C3">
        <v>-0.23</v>
      </c>
      <c r="D3">
        <v>0.56000000000000005</v>
      </c>
      <c r="E3">
        <v>55</v>
      </c>
      <c r="F3">
        <v>56</v>
      </c>
      <c r="G3">
        <v>0.95</v>
      </c>
      <c r="H3">
        <f t="shared" ref="H3:H11" si="0">$B3</f>
        <v>0.17</v>
      </c>
      <c r="I3">
        <f t="shared" ref="I3:I11" si="1">1-3/(4*($E3+$F3-2)-1)</f>
        <v>0.99310344827586206</v>
      </c>
      <c r="J3">
        <f t="shared" ref="J3:J11" si="2">$H3/$I3</f>
        <v>0.17118055555555556</v>
      </c>
      <c r="K3">
        <f t="shared" ref="K3:K11" si="3">($E3+$F3)/($E3*$F3)+$J3^2/(2*($E3+$F3))</f>
        <v>3.6170955555178644E-2</v>
      </c>
      <c r="L3">
        <f t="shared" ref="L3:L11" si="4">SQRT($K3)</f>
        <v>0.19018663348190021</v>
      </c>
      <c r="M3">
        <f t="shared" ref="M3:M11" si="5">SQRT($I3^2*$K3)</f>
        <v>0.1888750015268526</v>
      </c>
    </row>
    <row r="4" spans="1:13" x14ac:dyDescent="0.25">
      <c r="A4" t="s">
        <v>338</v>
      </c>
      <c r="B4">
        <v>0.03</v>
      </c>
      <c r="C4">
        <v>-0.23</v>
      </c>
      <c r="D4">
        <v>0.3</v>
      </c>
      <c r="E4">
        <v>176</v>
      </c>
      <c r="F4">
        <v>177</v>
      </c>
      <c r="G4">
        <v>0.95</v>
      </c>
      <c r="H4">
        <f t="shared" si="0"/>
        <v>0.03</v>
      </c>
      <c r="I4">
        <f t="shared" si="1"/>
        <v>0.99786172487526725</v>
      </c>
      <c r="J4">
        <f t="shared" si="2"/>
        <v>3.0064285714285714E-2</v>
      </c>
      <c r="K4">
        <f t="shared" si="3"/>
        <v>1.1332815952706654E-2</v>
      </c>
      <c r="L4">
        <f t="shared" si="4"/>
        <v>0.10645569948437075</v>
      </c>
      <c r="M4">
        <f t="shared" si="5"/>
        <v>0.10622806791027729</v>
      </c>
    </row>
    <row r="5" spans="1:13" x14ac:dyDescent="0.25">
      <c r="A5" t="s">
        <v>154</v>
      </c>
      <c r="B5">
        <v>1.31</v>
      </c>
      <c r="C5">
        <v>0.42</v>
      </c>
      <c r="D5">
        <v>2.19</v>
      </c>
      <c r="E5">
        <v>12</v>
      </c>
      <c r="F5">
        <v>12</v>
      </c>
      <c r="G5">
        <v>0.95</v>
      </c>
      <c r="H5">
        <f t="shared" si="0"/>
        <v>1.31</v>
      </c>
      <c r="I5">
        <f t="shared" si="1"/>
        <v>0.96551724137931039</v>
      </c>
      <c r="J5">
        <f t="shared" si="2"/>
        <v>1.3567857142857143</v>
      </c>
      <c r="K5">
        <f t="shared" si="3"/>
        <v>0.20501807238520409</v>
      </c>
      <c r="L5">
        <f t="shared" si="4"/>
        <v>0.45278921407781358</v>
      </c>
      <c r="M5">
        <f t="shared" si="5"/>
        <v>0.43717579290271658</v>
      </c>
    </row>
    <row r="6" spans="1:13" x14ac:dyDescent="0.25">
      <c r="A6" t="s">
        <v>155</v>
      </c>
      <c r="B6">
        <v>0.55000000000000004</v>
      </c>
      <c r="C6">
        <v>-7.0000000000000007E-2</v>
      </c>
      <c r="D6">
        <v>1.1599999999999999</v>
      </c>
      <c r="E6">
        <v>28</v>
      </c>
      <c r="F6">
        <v>29</v>
      </c>
      <c r="G6">
        <v>0.95</v>
      </c>
      <c r="H6">
        <f t="shared" si="0"/>
        <v>0.55000000000000004</v>
      </c>
      <c r="I6">
        <f t="shared" si="1"/>
        <v>0.98630136986301364</v>
      </c>
      <c r="J6">
        <f t="shared" si="2"/>
        <v>0.55763888888888902</v>
      </c>
      <c r="K6">
        <f t="shared" si="3"/>
        <v>7.2924773549021285E-2</v>
      </c>
      <c r="L6">
        <f t="shared" si="4"/>
        <v>0.27004587304571287</v>
      </c>
      <c r="M6">
        <f t="shared" si="5"/>
        <v>0.26634661451084007</v>
      </c>
    </row>
    <row r="7" spans="1:13" x14ac:dyDescent="0.25">
      <c r="A7" t="s">
        <v>339</v>
      </c>
      <c r="B7">
        <v>-0.09</v>
      </c>
      <c r="C7">
        <v>-0.46</v>
      </c>
      <c r="D7">
        <v>0.28000000000000003</v>
      </c>
      <c r="E7">
        <v>61</v>
      </c>
      <c r="F7">
        <v>64</v>
      </c>
      <c r="G7">
        <v>0.95</v>
      </c>
      <c r="H7">
        <f t="shared" si="0"/>
        <v>-0.09</v>
      </c>
      <c r="I7">
        <f t="shared" si="1"/>
        <v>0.99389002036659879</v>
      </c>
      <c r="J7">
        <f t="shared" si="2"/>
        <v>-9.0553278688524586E-2</v>
      </c>
      <c r="K7">
        <f t="shared" si="3"/>
        <v>3.2051242208075786E-2</v>
      </c>
      <c r="L7">
        <f t="shared" si="4"/>
        <v>0.17902860723380437</v>
      </c>
      <c r="M7">
        <f t="shared" si="5"/>
        <v>0.17793474608980964</v>
      </c>
    </row>
    <row r="8" spans="1:13" x14ac:dyDescent="0.25">
      <c r="A8" t="s">
        <v>178</v>
      </c>
      <c r="B8">
        <v>0.93</v>
      </c>
      <c r="C8">
        <v>-0.26</v>
      </c>
      <c r="D8">
        <v>2.12</v>
      </c>
      <c r="E8">
        <v>6</v>
      </c>
      <c r="F8">
        <v>6</v>
      </c>
      <c r="G8">
        <v>0.95</v>
      </c>
      <c r="H8">
        <f t="shared" si="0"/>
        <v>0.93</v>
      </c>
      <c r="I8">
        <f t="shared" si="1"/>
        <v>0.92307692307692313</v>
      </c>
      <c r="J8">
        <f t="shared" si="2"/>
        <v>1.0075000000000001</v>
      </c>
      <c r="K8">
        <f t="shared" si="3"/>
        <v>0.37562734375000001</v>
      </c>
      <c r="L8">
        <f t="shared" si="4"/>
        <v>0.61288444567471279</v>
      </c>
      <c r="M8">
        <f t="shared" si="5"/>
        <v>0.56573948831511955</v>
      </c>
    </row>
    <row r="9" spans="1:13" x14ac:dyDescent="0.25">
      <c r="A9" t="s">
        <v>340</v>
      </c>
      <c r="B9">
        <v>0.14000000000000001</v>
      </c>
      <c r="C9">
        <v>-0.14000000000000001</v>
      </c>
      <c r="D9">
        <v>0.39500000000000002</v>
      </c>
      <c r="E9">
        <v>180</v>
      </c>
      <c r="F9">
        <v>180</v>
      </c>
      <c r="G9">
        <v>0.95</v>
      </c>
      <c r="H9">
        <f t="shared" si="0"/>
        <v>0.14000000000000001</v>
      </c>
      <c r="I9">
        <f t="shared" si="1"/>
        <v>0.99790356394129975</v>
      </c>
      <c r="J9">
        <f t="shared" si="2"/>
        <v>0.14029411764705885</v>
      </c>
      <c r="K9">
        <f t="shared" si="3"/>
        <v>1.1138447832564399E-2</v>
      </c>
      <c r="L9">
        <f t="shared" si="4"/>
        <v>0.10553884513563903</v>
      </c>
      <c r="M9">
        <f t="shared" si="5"/>
        <v>0.1053175896951031</v>
      </c>
    </row>
    <row r="10" spans="1:13" x14ac:dyDescent="0.25">
      <c r="A10" t="s">
        <v>341</v>
      </c>
      <c r="B10">
        <v>0.02</v>
      </c>
      <c r="C10">
        <v>-0.28000000000000003</v>
      </c>
      <c r="D10">
        <v>0.32</v>
      </c>
      <c r="E10">
        <v>96</v>
      </c>
      <c r="F10">
        <v>101</v>
      </c>
      <c r="G10">
        <v>0.95</v>
      </c>
      <c r="H10">
        <f t="shared" si="0"/>
        <v>0.02</v>
      </c>
      <c r="I10">
        <f t="shared" si="1"/>
        <v>0.99614890885750962</v>
      </c>
      <c r="J10">
        <f t="shared" si="2"/>
        <v>2.0077319587628865E-2</v>
      </c>
      <c r="K10">
        <f t="shared" si="3"/>
        <v>2.0318679858980688E-2</v>
      </c>
      <c r="L10">
        <f t="shared" si="4"/>
        <v>0.14254360686814646</v>
      </c>
      <c r="M10">
        <f t="shared" si="5"/>
        <v>0.1419946584463179</v>
      </c>
    </row>
    <row r="11" spans="1:13" x14ac:dyDescent="0.25">
      <c r="A11" t="s">
        <v>57</v>
      </c>
      <c r="B11">
        <v>0.04</v>
      </c>
      <c r="C11">
        <v>-0.55000000000000004</v>
      </c>
      <c r="D11">
        <v>0.64</v>
      </c>
      <c r="E11">
        <v>27</v>
      </c>
      <c r="F11">
        <v>22</v>
      </c>
      <c r="G11">
        <v>0.95</v>
      </c>
      <c r="H11">
        <f t="shared" si="0"/>
        <v>0.04</v>
      </c>
      <c r="I11">
        <f t="shared" si="1"/>
        <v>0.98395721925133695</v>
      </c>
      <c r="J11">
        <f t="shared" si="2"/>
        <v>4.0652173913043474E-2</v>
      </c>
      <c r="K11">
        <f t="shared" si="3"/>
        <v>8.2508445749172862E-2</v>
      </c>
      <c r="L11">
        <f t="shared" si="4"/>
        <v>0.28724283411283363</v>
      </c>
      <c r="M11">
        <f t="shared" si="5"/>
        <v>0.28263466030353684</v>
      </c>
    </row>
  </sheetData>
  <pageMargins left="0.7" right="0.7" top="0.78740157499999996" bottom="0.78740157499999996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L1" sqref="L1:N11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342</v>
      </c>
      <c r="B2">
        <v>0.91</v>
      </c>
      <c r="C2">
        <v>0.23</v>
      </c>
      <c r="D2">
        <v>1.6</v>
      </c>
      <c r="E2">
        <v>22</v>
      </c>
      <c r="F2">
        <v>15</v>
      </c>
      <c r="G2">
        <v>0.95</v>
      </c>
      <c r="H2">
        <f>$B2</f>
        <v>0.91</v>
      </c>
      <c r="I2">
        <f>1-3/(4*($E2+$F2-2)-1)</f>
        <v>0.97841726618705038</v>
      </c>
      <c r="J2">
        <f>$H2/$I2</f>
        <v>0.93007352941176469</v>
      </c>
      <c r="K2">
        <f>($E2+$F2)/($E2*$F2)+$J2^2/(2*($E2+$F2))</f>
        <v>0.12381089820381289</v>
      </c>
      <c r="L2">
        <f>SQRT($K2)</f>
        <v>0.35186772827841556</v>
      </c>
      <c r="M2">
        <f>SQRT($I2^2*$K2)</f>
        <v>0.34427346076161525</v>
      </c>
    </row>
    <row r="3" spans="1:13" x14ac:dyDescent="0.25">
      <c r="A3" t="s">
        <v>343</v>
      </c>
      <c r="B3">
        <v>1.1100000000000001</v>
      </c>
      <c r="C3">
        <v>0.39</v>
      </c>
      <c r="D3">
        <v>1.83</v>
      </c>
      <c r="E3">
        <v>19</v>
      </c>
      <c r="F3">
        <v>15</v>
      </c>
      <c r="G3">
        <v>0.95</v>
      </c>
      <c r="H3">
        <f t="shared" ref="H3:H7" si="0">$B3</f>
        <v>1.1100000000000001</v>
      </c>
      <c r="I3">
        <f t="shared" ref="I3:I7" si="1">1-3/(4*($E3+$F3-2)-1)</f>
        <v>0.97637795275590555</v>
      </c>
      <c r="J3">
        <f t="shared" ref="J3:J7" si="2">$H3/$I3</f>
        <v>1.1368548387096775</v>
      </c>
      <c r="K3">
        <f t="shared" ref="K3:K7" si="3">($E3+$F3)/($E3*$F3)+$J3^2/(2*($E3+$F3))</f>
        <v>0.13830470038311754</v>
      </c>
      <c r="L3">
        <f t="shared" ref="L3:L7" si="4">SQRT($K3)</f>
        <v>0.37189339921961179</v>
      </c>
      <c r="M3">
        <f t="shared" ref="M3:M7" si="5">SQRT($I3^2*$K3)</f>
        <v>0.36310851577347925</v>
      </c>
    </row>
    <row r="4" spans="1:13" x14ac:dyDescent="0.25">
      <c r="A4" t="s">
        <v>344</v>
      </c>
      <c r="B4">
        <v>1.62</v>
      </c>
      <c r="C4">
        <v>0.88</v>
      </c>
      <c r="D4">
        <v>2.35</v>
      </c>
      <c r="E4">
        <v>23</v>
      </c>
      <c r="F4">
        <v>15</v>
      </c>
      <c r="G4">
        <v>0.95</v>
      </c>
      <c r="H4">
        <f t="shared" si="0"/>
        <v>1.62</v>
      </c>
      <c r="I4">
        <f t="shared" si="1"/>
        <v>0.97902097902097907</v>
      </c>
      <c r="J4">
        <f t="shared" si="2"/>
        <v>1.6547142857142858</v>
      </c>
      <c r="K4">
        <f t="shared" si="3"/>
        <v>0.14617228763290213</v>
      </c>
      <c r="L4">
        <f t="shared" si="4"/>
        <v>0.38232484569133368</v>
      </c>
      <c r="M4">
        <f t="shared" si="5"/>
        <v>0.37430404473277429</v>
      </c>
    </row>
    <row r="5" spans="1:13" x14ac:dyDescent="0.25">
      <c r="A5" t="s">
        <v>345</v>
      </c>
      <c r="B5">
        <v>0.42</v>
      </c>
      <c r="C5">
        <v>-0.37</v>
      </c>
      <c r="D5">
        <v>1.22</v>
      </c>
      <c r="E5">
        <v>14</v>
      </c>
      <c r="F5">
        <v>10</v>
      </c>
      <c r="G5">
        <v>0.95</v>
      </c>
      <c r="H5">
        <f t="shared" si="0"/>
        <v>0.42</v>
      </c>
      <c r="I5">
        <f t="shared" si="1"/>
        <v>0.96551724137931039</v>
      </c>
      <c r="J5">
        <f t="shared" si="2"/>
        <v>0.43499999999999994</v>
      </c>
      <c r="K5">
        <f t="shared" si="3"/>
        <v>0.17537075892857143</v>
      </c>
      <c r="L5">
        <f t="shared" si="4"/>
        <v>0.41877292048146025</v>
      </c>
      <c r="M5">
        <f t="shared" si="5"/>
        <v>0.40433247494761682</v>
      </c>
    </row>
    <row r="6" spans="1:13" x14ac:dyDescent="0.25">
      <c r="A6" t="s">
        <v>346</v>
      </c>
      <c r="B6">
        <v>0.15</v>
      </c>
      <c r="C6">
        <v>-0.68</v>
      </c>
      <c r="D6">
        <v>0.97</v>
      </c>
      <c r="E6">
        <v>11</v>
      </c>
      <c r="F6">
        <v>10</v>
      </c>
      <c r="G6">
        <v>0.95</v>
      </c>
      <c r="H6">
        <f t="shared" si="0"/>
        <v>0.15</v>
      </c>
      <c r="I6">
        <f t="shared" si="1"/>
        <v>0.96</v>
      </c>
      <c r="J6">
        <f t="shared" si="2"/>
        <v>0.15625</v>
      </c>
      <c r="K6">
        <f t="shared" si="3"/>
        <v>0.19149037811147188</v>
      </c>
      <c r="L6">
        <f t="shared" si="4"/>
        <v>0.43759613585070867</v>
      </c>
      <c r="M6">
        <f t="shared" si="5"/>
        <v>0.42009229041668034</v>
      </c>
    </row>
    <row r="7" spans="1:13" x14ac:dyDescent="0.25">
      <c r="A7" t="s">
        <v>347</v>
      </c>
      <c r="B7">
        <v>0.93</v>
      </c>
      <c r="C7">
        <v>0.03</v>
      </c>
      <c r="D7">
        <v>1.83</v>
      </c>
      <c r="E7">
        <v>10</v>
      </c>
      <c r="F7">
        <v>10</v>
      </c>
      <c r="G7">
        <v>0.95</v>
      </c>
      <c r="H7">
        <f t="shared" si="0"/>
        <v>0.93</v>
      </c>
      <c r="I7">
        <f t="shared" si="1"/>
        <v>0.95774647887323949</v>
      </c>
      <c r="J7">
        <f t="shared" si="2"/>
        <v>0.97102941176470592</v>
      </c>
      <c r="K7">
        <f t="shared" si="3"/>
        <v>0.22357245296280279</v>
      </c>
      <c r="L7">
        <f t="shared" si="4"/>
        <v>0.47283448791601779</v>
      </c>
      <c r="M7">
        <f t="shared" si="5"/>
        <v>0.45285556589139736</v>
      </c>
    </row>
  </sheetData>
  <pageMargins left="0.7" right="0.7" top="0.78740157499999996" bottom="0.78740157499999996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L1" sqref="L1:N11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348</v>
      </c>
      <c r="B2">
        <v>1.1399999999999999</v>
      </c>
      <c r="C2">
        <v>0.59</v>
      </c>
      <c r="D2">
        <v>1.69</v>
      </c>
      <c r="E2">
        <v>43</v>
      </c>
      <c r="F2">
        <v>23</v>
      </c>
      <c r="G2">
        <v>0.95</v>
      </c>
      <c r="H2">
        <f>$B2</f>
        <v>1.1399999999999999</v>
      </c>
      <c r="I2">
        <f>1-3/(4*($E2+$F2-2)-1)</f>
        <v>0.9882352941176471</v>
      </c>
      <c r="J2">
        <f>$H2/$I2</f>
        <v>1.1535714285714285</v>
      </c>
      <c r="K2">
        <f>($E2+$F2)/($E2*$F2)+$J2^2/(2*($E2+$F2))</f>
        <v>7.681534028378334E-2</v>
      </c>
      <c r="L2">
        <f>SQRT($K2)</f>
        <v>0.27715580506960941</v>
      </c>
      <c r="M2">
        <f>SQRT($I2^2*$K2)</f>
        <v>0.27389514853937874</v>
      </c>
    </row>
    <row r="3" spans="1:13" x14ac:dyDescent="0.25">
      <c r="A3" t="s">
        <v>349</v>
      </c>
      <c r="B3">
        <v>1.22</v>
      </c>
      <c r="C3">
        <v>0.67</v>
      </c>
      <c r="D3">
        <v>1.78</v>
      </c>
      <c r="E3">
        <v>45</v>
      </c>
      <c r="F3">
        <v>23</v>
      </c>
      <c r="G3">
        <v>0.95</v>
      </c>
      <c r="H3">
        <f t="shared" ref="H3:H8" si="0">$B3</f>
        <v>1.22</v>
      </c>
      <c r="I3">
        <f t="shared" ref="I3:I8" si="1">1-3/(4*($E3+$F3-2)-1)</f>
        <v>0.98859315589353614</v>
      </c>
      <c r="J3">
        <f t="shared" ref="J3:J8" si="2">$H3/$I3</f>
        <v>1.2340769230769231</v>
      </c>
      <c r="K3">
        <f t="shared" ref="K3:K8" si="3">($E3+$F3)/($E3*$F3)+$J3^2/(2*($E3+$F3))</f>
        <v>7.6898614357015421E-2</v>
      </c>
      <c r="L3">
        <f t="shared" ref="L3:L8" si="4">SQRT($K3)</f>
        <v>0.27730599408778639</v>
      </c>
      <c r="M3">
        <f t="shared" ref="M3:M8" si="5">SQRT($I3^2*$K3)</f>
        <v>0.27414280784343903</v>
      </c>
    </row>
    <row r="4" spans="1:13" x14ac:dyDescent="0.25">
      <c r="A4" t="s">
        <v>345</v>
      </c>
      <c r="B4">
        <v>0.42</v>
      </c>
      <c r="C4">
        <v>-0.37</v>
      </c>
      <c r="D4">
        <v>1.22</v>
      </c>
      <c r="E4">
        <v>14</v>
      </c>
      <c r="F4">
        <v>10</v>
      </c>
      <c r="G4">
        <v>0.95</v>
      </c>
      <c r="H4">
        <f t="shared" si="0"/>
        <v>0.42</v>
      </c>
      <c r="I4">
        <f t="shared" si="1"/>
        <v>0.96551724137931039</v>
      </c>
      <c r="J4">
        <f t="shared" si="2"/>
        <v>0.43499999999999994</v>
      </c>
      <c r="K4">
        <f t="shared" si="3"/>
        <v>0.17537075892857143</v>
      </c>
      <c r="L4">
        <f t="shared" si="4"/>
        <v>0.41877292048146025</v>
      </c>
      <c r="M4">
        <f t="shared" si="5"/>
        <v>0.40433247494761682</v>
      </c>
    </row>
    <row r="5" spans="1:13" x14ac:dyDescent="0.25">
      <c r="A5" t="s">
        <v>346</v>
      </c>
      <c r="B5">
        <v>0.15</v>
      </c>
      <c r="C5">
        <v>-0.68</v>
      </c>
      <c r="D5">
        <v>0.97</v>
      </c>
      <c r="E5">
        <v>11</v>
      </c>
      <c r="F5">
        <v>10</v>
      </c>
      <c r="G5">
        <v>0.95</v>
      </c>
      <c r="H5">
        <f t="shared" si="0"/>
        <v>0.15</v>
      </c>
      <c r="I5">
        <f t="shared" si="1"/>
        <v>0.96</v>
      </c>
      <c r="J5">
        <f t="shared" si="2"/>
        <v>0.15625</v>
      </c>
      <c r="K5">
        <f t="shared" si="3"/>
        <v>0.19149037811147188</v>
      </c>
      <c r="L5">
        <f t="shared" si="4"/>
        <v>0.43759613585070867</v>
      </c>
      <c r="M5">
        <f t="shared" si="5"/>
        <v>0.42009229041668034</v>
      </c>
    </row>
    <row r="6" spans="1:13" x14ac:dyDescent="0.25">
      <c r="A6" t="s">
        <v>350</v>
      </c>
      <c r="B6">
        <v>1.02</v>
      </c>
      <c r="C6">
        <v>0.12</v>
      </c>
      <c r="D6">
        <v>1.92</v>
      </c>
      <c r="E6">
        <v>10</v>
      </c>
      <c r="F6">
        <v>10</v>
      </c>
      <c r="G6">
        <v>0.95</v>
      </c>
      <c r="H6">
        <f t="shared" si="0"/>
        <v>1.02</v>
      </c>
      <c r="I6">
        <f t="shared" si="1"/>
        <v>0.95774647887323949</v>
      </c>
      <c r="J6">
        <f t="shared" si="2"/>
        <v>1.0649999999999999</v>
      </c>
      <c r="K6">
        <f t="shared" si="3"/>
        <v>0.22835562500000001</v>
      </c>
      <c r="L6">
        <f t="shared" si="4"/>
        <v>0.47786569765991782</v>
      </c>
      <c r="M6">
        <f t="shared" si="5"/>
        <v>0.45767418930809034</v>
      </c>
    </row>
    <row r="7" spans="1:13" x14ac:dyDescent="0.25">
      <c r="A7" t="s">
        <v>347</v>
      </c>
      <c r="B7">
        <v>0.93</v>
      </c>
      <c r="C7">
        <v>0.03</v>
      </c>
      <c r="D7">
        <v>1.83</v>
      </c>
      <c r="E7">
        <v>10</v>
      </c>
      <c r="F7">
        <v>10</v>
      </c>
      <c r="G7">
        <v>0.95</v>
      </c>
      <c r="H7">
        <f t="shared" si="0"/>
        <v>0.93</v>
      </c>
      <c r="I7">
        <f t="shared" si="1"/>
        <v>0.95774647887323949</v>
      </c>
      <c r="J7">
        <f t="shared" si="2"/>
        <v>0.97102941176470592</v>
      </c>
      <c r="K7">
        <f t="shared" si="3"/>
        <v>0.22357245296280279</v>
      </c>
      <c r="L7">
        <f t="shared" si="4"/>
        <v>0.47283448791601779</v>
      </c>
      <c r="M7">
        <f t="shared" si="5"/>
        <v>0.45285556589139736</v>
      </c>
    </row>
    <row r="8" spans="1:13" x14ac:dyDescent="0.25">
      <c r="A8" t="s">
        <v>104</v>
      </c>
      <c r="B8">
        <v>2.02</v>
      </c>
      <c r="C8">
        <v>0.88</v>
      </c>
      <c r="D8">
        <v>3.16</v>
      </c>
      <c r="E8">
        <v>10</v>
      </c>
      <c r="F8">
        <v>8</v>
      </c>
      <c r="G8">
        <v>0.95</v>
      </c>
      <c r="H8">
        <f t="shared" si="0"/>
        <v>2.02</v>
      </c>
      <c r="I8">
        <f t="shared" si="1"/>
        <v>0.95238095238095233</v>
      </c>
      <c r="J8">
        <f t="shared" si="2"/>
        <v>2.121</v>
      </c>
      <c r="K8">
        <f t="shared" si="3"/>
        <v>0.34996225000000003</v>
      </c>
      <c r="L8">
        <f t="shared" si="4"/>
        <v>0.59157607287651526</v>
      </c>
      <c r="M8">
        <f t="shared" si="5"/>
        <v>0.56340578369191929</v>
      </c>
    </row>
  </sheetData>
  <pageMargins left="0.7" right="0.7" top="0.78740157499999996" bottom="0.78740157499999996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L1" sqref="L1:N11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351</v>
      </c>
      <c r="B2">
        <v>1.04</v>
      </c>
      <c r="C2">
        <v>0.71</v>
      </c>
      <c r="D2">
        <v>1.37</v>
      </c>
      <c r="E2">
        <v>81</v>
      </c>
      <c r="F2">
        <v>81</v>
      </c>
      <c r="G2">
        <v>0.95</v>
      </c>
      <c r="H2">
        <f>$B2</f>
        <v>1.04</v>
      </c>
      <c r="I2">
        <f>1-3/(4*($E2-1)-1)</f>
        <v>0.99059561128526641</v>
      </c>
      <c r="J2">
        <f>$H2/$I2</f>
        <v>1.049873417721519</v>
      </c>
      <c r="K2">
        <f>(1/$E2+$J2^2/(2*$E2))*(2*(1-0.5))</f>
        <v>1.9149593785421377E-2</v>
      </c>
      <c r="L2">
        <f>SQRT($K2)</f>
        <v>0.13838205731026468</v>
      </c>
      <c r="M2">
        <f>SQRT($I2^2*$K2)</f>
        <v>0.13708065865217442</v>
      </c>
    </row>
    <row r="3" spans="1:13" x14ac:dyDescent="0.25">
      <c r="A3" t="s">
        <v>352</v>
      </c>
      <c r="B3">
        <v>0.96</v>
      </c>
      <c r="C3">
        <v>0.59</v>
      </c>
      <c r="D3">
        <v>1.34</v>
      </c>
      <c r="E3">
        <v>60</v>
      </c>
      <c r="F3">
        <v>60</v>
      </c>
      <c r="G3">
        <v>0.95</v>
      </c>
      <c r="H3">
        <f t="shared" ref="H3:H7" si="0">$B3</f>
        <v>0.96</v>
      </c>
      <c r="I3">
        <f t="shared" ref="I3:I7" si="1">1-3/(4*($E3-1)-1)</f>
        <v>0.98723404255319147</v>
      </c>
      <c r="J3">
        <f t="shared" ref="J3:J7" si="2">$H3/$I3</f>
        <v>0.97241379310344822</v>
      </c>
      <c r="K3">
        <f t="shared" ref="K3:K7" si="3">(1/$E3+$J3^2/(2*$E3))*(2*(1-0.5))</f>
        <v>2.4546571541815297E-2</v>
      </c>
      <c r="L3">
        <f t="shared" ref="L3:L7" si="4">SQRT($K3)</f>
        <v>0.15667345512822298</v>
      </c>
      <c r="M3">
        <f t="shared" ref="M3:M7" si="5">SQRT($I3^2*$K3)</f>
        <v>0.1546733684670116</v>
      </c>
    </row>
    <row r="4" spans="1:13" x14ac:dyDescent="0.25">
      <c r="A4" t="s">
        <v>353</v>
      </c>
      <c r="B4">
        <v>0.97</v>
      </c>
      <c r="C4">
        <v>0.38</v>
      </c>
      <c r="D4">
        <v>1.57</v>
      </c>
      <c r="E4">
        <v>24</v>
      </c>
      <c r="F4">
        <v>24</v>
      </c>
      <c r="G4">
        <v>0.95</v>
      </c>
      <c r="H4">
        <f t="shared" si="0"/>
        <v>0.97</v>
      </c>
      <c r="I4">
        <f t="shared" si="1"/>
        <v>0.96703296703296704</v>
      </c>
      <c r="J4">
        <f t="shared" si="2"/>
        <v>1.0030681818181817</v>
      </c>
      <c r="K4">
        <f t="shared" si="3"/>
        <v>6.2628037028667344E-2</v>
      </c>
      <c r="L4">
        <f t="shared" si="4"/>
        <v>0.25025594304365151</v>
      </c>
      <c r="M4">
        <f t="shared" si="5"/>
        <v>0.24200574711913553</v>
      </c>
    </row>
    <row r="5" spans="1:13" x14ac:dyDescent="0.25">
      <c r="A5" t="s">
        <v>350</v>
      </c>
      <c r="B5">
        <v>1.58</v>
      </c>
      <c r="C5">
        <v>0.74</v>
      </c>
      <c r="D5">
        <v>2.42</v>
      </c>
      <c r="E5">
        <v>14</v>
      </c>
      <c r="F5">
        <v>14</v>
      </c>
      <c r="G5">
        <v>0.95</v>
      </c>
      <c r="H5">
        <f t="shared" si="0"/>
        <v>1.58</v>
      </c>
      <c r="I5">
        <f t="shared" si="1"/>
        <v>0.94117647058823528</v>
      </c>
      <c r="J5">
        <f t="shared" si="2"/>
        <v>1.6787500000000002</v>
      </c>
      <c r="K5">
        <f t="shared" si="3"/>
        <v>0.17207862723214287</v>
      </c>
      <c r="L5">
        <f t="shared" si="4"/>
        <v>0.41482360978148636</v>
      </c>
      <c r="M5">
        <f t="shared" si="5"/>
        <v>0.3904222209708107</v>
      </c>
    </row>
    <row r="6" spans="1:13" x14ac:dyDescent="0.25">
      <c r="A6" t="s">
        <v>354</v>
      </c>
      <c r="B6">
        <v>1.56</v>
      </c>
      <c r="C6">
        <v>0.56999999999999995</v>
      </c>
      <c r="D6">
        <v>2.54</v>
      </c>
      <c r="E6">
        <v>10</v>
      </c>
      <c r="F6">
        <v>10</v>
      </c>
      <c r="G6">
        <v>0.95</v>
      </c>
      <c r="H6">
        <f t="shared" si="0"/>
        <v>1.56</v>
      </c>
      <c r="I6">
        <f t="shared" si="1"/>
        <v>0.91428571428571426</v>
      </c>
      <c r="J6">
        <f t="shared" si="2"/>
        <v>1.70625</v>
      </c>
      <c r="K6">
        <f t="shared" si="3"/>
        <v>0.24556445312500003</v>
      </c>
      <c r="L6">
        <f t="shared" si="4"/>
        <v>0.49554460255863952</v>
      </c>
      <c r="M6">
        <f t="shared" si="5"/>
        <v>0.45306935091075612</v>
      </c>
    </row>
    <row r="7" spans="1:13" x14ac:dyDescent="0.25">
      <c r="A7" t="s">
        <v>355</v>
      </c>
      <c r="B7">
        <v>2.2799999999999998</v>
      </c>
      <c r="C7">
        <v>1.1499999999999999</v>
      </c>
      <c r="D7">
        <v>3.42</v>
      </c>
      <c r="E7">
        <v>10</v>
      </c>
      <c r="F7">
        <v>10</v>
      </c>
      <c r="G7">
        <v>0.95</v>
      </c>
      <c r="H7">
        <f t="shared" si="0"/>
        <v>2.2799999999999998</v>
      </c>
      <c r="I7">
        <f t="shared" si="1"/>
        <v>0.91428571428571426</v>
      </c>
      <c r="J7">
        <f t="shared" si="2"/>
        <v>2.4937499999999999</v>
      </c>
      <c r="K7">
        <f t="shared" si="3"/>
        <v>0.41093945312500002</v>
      </c>
      <c r="L7">
        <f t="shared" si="4"/>
        <v>0.64104559363979718</v>
      </c>
      <c r="M7">
        <f t="shared" si="5"/>
        <v>0.58609882847067174</v>
      </c>
    </row>
  </sheetData>
  <pageMargins left="0.7" right="0.7" top="0.78740157499999996" bottom="0.78740157499999996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L1" sqref="L1:N11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44</v>
      </c>
      <c r="F1" t="s">
        <v>44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351</v>
      </c>
      <c r="B2">
        <v>1.04</v>
      </c>
      <c r="C2">
        <v>0.71</v>
      </c>
      <c r="D2">
        <v>1.37</v>
      </c>
      <c r="E2">
        <v>81</v>
      </c>
      <c r="F2">
        <v>81</v>
      </c>
      <c r="G2">
        <v>0.95</v>
      </c>
      <c r="H2">
        <f>$B2</f>
        <v>1.04</v>
      </c>
      <c r="I2">
        <f>1-3/(4*($E2-1)-1)</f>
        <v>0.99059561128526641</v>
      </c>
      <c r="J2">
        <f>$H2/$I2</f>
        <v>1.049873417721519</v>
      </c>
      <c r="K2">
        <f>(1/$E2+$J2^2/(2*$E2))*(2*(1-0.5))</f>
        <v>1.9149593785421377E-2</v>
      </c>
      <c r="L2">
        <f>SQRT($K2)</f>
        <v>0.13838205731026468</v>
      </c>
      <c r="M2">
        <f>SQRT($I2^2*$K2)</f>
        <v>0.13708065865217442</v>
      </c>
    </row>
    <row r="3" spans="1:13" x14ac:dyDescent="0.25">
      <c r="A3" t="s">
        <v>352</v>
      </c>
      <c r="B3">
        <v>0.96</v>
      </c>
      <c r="C3">
        <v>0.59</v>
      </c>
      <c r="D3">
        <v>1.34</v>
      </c>
      <c r="E3">
        <v>60</v>
      </c>
      <c r="F3">
        <v>60</v>
      </c>
      <c r="G3">
        <v>0.95</v>
      </c>
      <c r="H3">
        <f t="shared" ref="H3:H8" si="0">$B3</f>
        <v>0.96</v>
      </c>
      <c r="I3">
        <f t="shared" ref="I3:I8" si="1">1-3/(4*($E3-1)-1)</f>
        <v>0.98723404255319147</v>
      </c>
      <c r="J3">
        <f t="shared" ref="J3:J8" si="2">$H3/$I3</f>
        <v>0.97241379310344822</v>
      </c>
      <c r="K3">
        <f t="shared" ref="K3:K8" si="3">(1/$E3+$J3^2/(2*$E3))*(2*(1-0.5))</f>
        <v>2.4546571541815297E-2</v>
      </c>
      <c r="L3">
        <f t="shared" ref="L3:L8" si="4">SQRT($K3)</f>
        <v>0.15667345512822298</v>
      </c>
      <c r="M3">
        <f t="shared" ref="M3:M8" si="5">SQRT($I3^2*$K3)</f>
        <v>0.1546733684670116</v>
      </c>
    </row>
    <row r="4" spans="1:13" x14ac:dyDescent="0.25">
      <c r="A4" t="s">
        <v>353</v>
      </c>
      <c r="B4">
        <v>0.97</v>
      </c>
      <c r="C4">
        <v>0.38</v>
      </c>
      <c r="D4">
        <v>1.57</v>
      </c>
      <c r="E4">
        <v>24</v>
      </c>
      <c r="F4">
        <v>24</v>
      </c>
      <c r="G4">
        <v>0.95</v>
      </c>
      <c r="H4">
        <f t="shared" si="0"/>
        <v>0.97</v>
      </c>
      <c r="I4">
        <f t="shared" si="1"/>
        <v>0.96703296703296704</v>
      </c>
      <c r="J4">
        <f t="shared" si="2"/>
        <v>1.0030681818181817</v>
      </c>
      <c r="K4">
        <f t="shared" si="3"/>
        <v>6.2628037028667344E-2</v>
      </c>
      <c r="L4">
        <f t="shared" si="4"/>
        <v>0.25025594304365151</v>
      </c>
      <c r="M4">
        <f t="shared" si="5"/>
        <v>0.24200574711913553</v>
      </c>
    </row>
    <row r="5" spans="1:13" x14ac:dyDescent="0.25">
      <c r="A5" t="s">
        <v>356</v>
      </c>
      <c r="B5">
        <v>0.83</v>
      </c>
      <c r="C5">
        <v>0.15</v>
      </c>
      <c r="D5">
        <v>1.51</v>
      </c>
      <c r="E5">
        <v>18</v>
      </c>
      <c r="F5">
        <v>18</v>
      </c>
      <c r="G5">
        <v>0.95</v>
      </c>
      <c r="H5">
        <f t="shared" si="0"/>
        <v>0.83</v>
      </c>
      <c r="I5">
        <f t="shared" si="1"/>
        <v>0.95522388059701491</v>
      </c>
      <c r="J5">
        <f t="shared" si="2"/>
        <v>0.86890624999999999</v>
      </c>
      <c r="K5">
        <f t="shared" si="3"/>
        <v>7.652772420247396E-2</v>
      </c>
      <c r="L5">
        <f t="shared" si="4"/>
        <v>0.27663644771156592</v>
      </c>
      <c r="M5">
        <f t="shared" si="5"/>
        <v>0.26424974109761523</v>
      </c>
    </row>
    <row r="6" spans="1:13" x14ac:dyDescent="0.25">
      <c r="A6" t="s">
        <v>354</v>
      </c>
      <c r="B6">
        <v>1.56</v>
      </c>
      <c r="C6">
        <v>0.56999999999999995</v>
      </c>
      <c r="D6">
        <v>2.54</v>
      </c>
      <c r="E6">
        <v>10</v>
      </c>
      <c r="F6">
        <v>10</v>
      </c>
      <c r="G6">
        <v>0.95</v>
      </c>
      <c r="H6">
        <f t="shared" si="0"/>
        <v>1.56</v>
      </c>
      <c r="I6">
        <f t="shared" si="1"/>
        <v>0.91428571428571426</v>
      </c>
      <c r="J6">
        <f t="shared" si="2"/>
        <v>1.70625</v>
      </c>
      <c r="K6">
        <f t="shared" si="3"/>
        <v>0.24556445312500003</v>
      </c>
      <c r="L6">
        <f t="shared" si="4"/>
        <v>0.49554460255863952</v>
      </c>
      <c r="M6">
        <f t="shared" si="5"/>
        <v>0.45306935091075612</v>
      </c>
    </row>
    <row r="7" spans="1:13" x14ac:dyDescent="0.25">
      <c r="A7" t="s">
        <v>357</v>
      </c>
      <c r="B7">
        <v>0.52</v>
      </c>
      <c r="C7">
        <v>-0.48</v>
      </c>
      <c r="D7">
        <v>1.52</v>
      </c>
      <c r="E7">
        <v>7</v>
      </c>
      <c r="F7">
        <v>7</v>
      </c>
      <c r="G7">
        <v>0.95</v>
      </c>
      <c r="H7">
        <f t="shared" si="0"/>
        <v>0.52</v>
      </c>
      <c r="I7">
        <f t="shared" si="1"/>
        <v>0.86956521739130432</v>
      </c>
      <c r="J7">
        <f t="shared" si="2"/>
        <v>0.59800000000000009</v>
      </c>
      <c r="K7">
        <f t="shared" si="3"/>
        <v>0.16840028571428572</v>
      </c>
      <c r="L7">
        <f t="shared" si="4"/>
        <v>0.41036603869507249</v>
      </c>
      <c r="M7">
        <f t="shared" si="5"/>
        <v>0.35684003364788908</v>
      </c>
    </row>
    <row r="8" spans="1:13" x14ac:dyDescent="0.25">
      <c r="A8" t="s">
        <v>355</v>
      </c>
      <c r="B8">
        <v>2.2799999999999998</v>
      </c>
      <c r="C8">
        <v>1.1499999999999999</v>
      </c>
      <c r="D8">
        <v>3.42</v>
      </c>
      <c r="E8">
        <v>10</v>
      </c>
      <c r="F8">
        <v>10</v>
      </c>
      <c r="G8">
        <v>0.95</v>
      </c>
      <c r="H8">
        <f t="shared" si="0"/>
        <v>2.2799999999999998</v>
      </c>
      <c r="I8">
        <f t="shared" si="1"/>
        <v>0.91428571428571426</v>
      </c>
      <c r="J8">
        <f t="shared" si="2"/>
        <v>2.4937499999999999</v>
      </c>
      <c r="K8">
        <f t="shared" si="3"/>
        <v>0.41093945312500002</v>
      </c>
      <c r="L8">
        <f t="shared" si="4"/>
        <v>0.64104559363979718</v>
      </c>
      <c r="M8">
        <f t="shared" si="5"/>
        <v>0.58609882847067174</v>
      </c>
    </row>
  </sheetData>
  <pageMargins left="0.7" right="0.7" top="0.78740157499999996" bottom="0.78740157499999996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L1" sqref="L1:N11"/>
    </sheetView>
  </sheetViews>
  <sheetFormatPr defaultColWidth="11.42578125" defaultRowHeight="15" x14ac:dyDescent="0.25"/>
  <sheetData>
    <row r="1" spans="1:13" x14ac:dyDescent="0.25">
      <c r="A1" t="s">
        <v>217</v>
      </c>
      <c r="B1" t="s">
        <v>48</v>
      </c>
      <c r="C1" t="s">
        <v>33</v>
      </c>
      <c r="D1" t="s">
        <v>34</v>
      </c>
      <c r="E1" t="s">
        <v>367</v>
      </c>
      <c r="F1" t="s">
        <v>269</v>
      </c>
      <c r="G1" t="s">
        <v>63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358</v>
      </c>
      <c r="B2">
        <v>-0.44</v>
      </c>
      <c r="C2">
        <v>-0.95</v>
      </c>
      <c r="D2">
        <v>0.08</v>
      </c>
      <c r="E2">
        <v>31</v>
      </c>
      <c r="F2">
        <v>28</v>
      </c>
      <c r="G2">
        <v>0.95</v>
      </c>
      <c r="H2">
        <f>$B2</f>
        <v>-0.44</v>
      </c>
      <c r="I2">
        <f>1-3/(4*($E2+$F2-2)-1)</f>
        <v>0.986784140969163</v>
      </c>
      <c r="J2">
        <f>$H2/$I2</f>
        <v>-0.44589285714285715</v>
      </c>
      <c r="K2">
        <f>($E2+$F2)/($E2*$F2)+$J2^2/(2*($E2+$F2))</f>
        <v>6.9657269213897963E-2</v>
      </c>
      <c r="L2">
        <f>SQRT($K2)</f>
        <v>0.26392663604475008</v>
      </c>
      <c r="M2">
        <f>SQRT($I2^2*$K2)</f>
        <v>0.26043861882829961</v>
      </c>
    </row>
    <row r="3" spans="1:13" x14ac:dyDescent="0.25">
      <c r="A3" t="s">
        <v>359</v>
      </c>
      <c r="B3">
        <v>-0.91</v>
      </c>
      <c r="C3">
        <v>-1.65</v>
      </c>
      <c r="D3">
        <v>-0.16</v>
      </c>
      <c r="E3">
        <v>16</v>
      </c>
      <c r="F3">
        <v>15</v>
      </c>
      <c r="G3">
        <v>0.95</v>
      </c>
      <c r="H3">
        <f t="shared" ref="H3:H10" si="0">$B3</f>
        <v>-0.91</v>
      </c>
      <c r="I3">
        <f t="shared" ref="I3:I10" si="1">1-3/(4*($E3+$F3-2)-1)</f>
        <v>0.97391304347826091</v>
      </c>
      <c r="J3">
        <f t="shared" ref="J3:J10" si="2">$H3/$I3</f>
        <v>-0.93437499999999996</v>
      </c>
      <c r="K3">
        <f t="shared" ref="K3:K10" si="3">($E3+$F3)/($E3*$F3)+$J3^2/(2*($E3+$F3))</f>
        <v>0.14324822538642473</v>
      </c>
      <c r="L3">
        <f t="shared" ref="L3:L10" si="4">SQRT($K3)</f>
        <v>0.37848147297645196</v>
      </c>
      <c r="M3">
        <f t="shared" ref="M3:M10" si="5">SQRT($I3^2*$K3)</f>
        <v>0.36860804324663149</v>
      </c>
    </row>
    <row r="4" spans="1:13" x14ac:dyDescent="0.25">
      <c r="A4" t="s">
        <v>360</v>
      </c>
      <c r="B4">
        <v>-0.16</v>
      </c>
      <c r="C4">
        <v>-0.57999999999999996</v>
      </c>
      <c r="D4">
        <v>0.26</v>
      </c>
      <c r="E4">
        <v>42</v>
      </c>
      <c r="F4">
        <v>45</v>
      </c>
      <c r="G4">
        <v>0.95</v>
      </c>
      <c r="H4">
        <f t="shared" si="0"/>
        <v>-0.16</v>
      </c>
      <c r="I4">
        <f t="shared" si="1"/>
        <v>0.99115044247787609</v>
      </c>
      <c r="J4">
        <f t="shared" si="2"/>
        <v>-0.16142857142857142</v>
      </c>
      <c r="K4">
        <f t="shared" si="3"/>
        <v>4.6181511455156782E-2</v>
      </c>
      <c r="L4">
        <f t="shared" si="4"/>
        <v>0.21489884005074755</v>
      </c>
      <c r="M4">
        <f t="shared" si="5"/>
        <v>0.21299708040428078</v>
      </c>
    </row>
    <row r="5" spans="1:13" x14ac:dyDescent="0.25">
      <c r="A5" t="s">
        <v>361</v>
      </c>
      <c r="B5">
        <v>-7.0000000000000007E-2</v>
      </c>
      <c r="C5">
        <v>-0.41</v>
      </c>
      <c r="D5">
        <v>0.28000000000000003</v>
      </c>
      <c r="E5">
        <v>63</v>
      </c>
      <c r="F5">
        <v>68</v>
      </c>
      <c r="G5">
        <v>0.95</v>
      </c>
      <c r="H5">
        <f t="shared" si="0"/>
        <v>-7.0000000000000007E-2</v>
      </c>
      <c r="I5">
        <f t="shared" si="1"/>
        <v>0.99417475728155336</v>
      </c>
      <c r="J5">
        <f t="shared" si="2"/>
        <v>-7.0410156250000008E-2</v>
      </c>
      <c r="K5">
        <f t="shared" si="3"/>
        <v>3.0597820325587388E-2</v>
      </c>
      <c r="L5">
        <f t="shared" si="4"/>
        <v>0.17492232654977863</v>
      </c>
      <c r="M5">
        <f t="shared" si="5"/>
        <v>0.17390336154075078</v>
      </c>
    </row>
    <row r="6" spans="1:13" x14ac:dyDescent="0.25">
      <c r="A6" t="s">
        <v>362</v>
      </c>
      <c r="B6">
        <v>-0.23</v>
      </c>
      <c r="C6">
        <v>-0.69</v>
      </c>
      <c r="D6">
        <v>0.23</v>
      </c>
      <c r="E6">
        <v>37</v>
      </c>
      <c r="F6">
        <v>36</v>
      </c>
      <c r="G6">
        <v>0.95</v>
      </c>
      <c r="H6">
        <f t="shared" si="0"/>
        <v>-0.23</v>
      </c>
      <c r="I6">
        <f t="shared" si="1"/>
        <v>0.98939929328621912</v>
      </c>
      <c r="J6">
        <f t="shared" si="2"/>
        <v>-0.23246428571428571</v>
      </c>
      <c r="K6">
        <f t="shared" si="3"/>
        <v>5.5174939353658595E-2</v>
      </c>
      <c r="L6">
        <f t="shared" si="4"/>
        <v>0.2348934638376696</v>
      </c>
      <c r="M6">
        <f t="shared" si="5"/>
        <v>0.23240342711854237</v>
      </c>
    </row>
    <row r="7" spans="1:13" x14ac:dyDescent="0.25">
      <c r="A7" t="s">
        <v>363</v>
      </c>
      <c r="B7">
        <v>-0.56000000000000005</v>
      </c>
      <c r="C7">
        <v>-0.99</v>
      </c>
      <c r="D7">
        <v>-0.14000000000000001</v>
      </c>
      <c r="E7">
        <v>111</v>
      </c>
      <c r="F7">
        <v>27</v>
      </c>
      <c r="G7">
        <v>0.95</v>
      </c>
      <c r="H7">
        <f t="shared" si="0"/>
        <v>-0.56000000000000005</v>
      </c>
      <c r="I7">
        <f t="shared" si="1"/>
        <v>0.99447513812154698</v>
      </c>
      <c r="J7">
        <f t="shared" si="2"/>
        <v>-0.56311111111111112</v>
      </c>
      <c r="K7">
        <f t="shared" si="3"/>
        <v>4.7194937797701085E-2</v>
      </c>
      <c r="L7">
        <f t="shared" si="4"/>
        <v>0.21724395917424513</v>
      </c>
      <c r="M7">
        <f t="shared" si="5"/>
        <v>0.21604371630587915</v>
      </c>
    </row>
    <row r="8" spans="1:13" x14ac:dyDescent="0.25">
      <c r="A8" t="s">
        <v>364</v>
      </c>
      <c r="B8">
        <v>-0.73</v>
      </c>
      <c r="C8">
        <v>-1.1599999999999999</v>
      </c>
      <c r="D8">
        <v>-0.31</v>
      </c>
      <c r="E8">
        <v>111</v>
      </c>
      <c r="F8">
        <v>28</v>
      </c>
      <c r="G8">
        <v>0.95</v>
      </c>
      <c r="H8">
        <f t="shared" si="0"/>
        <v>-0.73</v>
      </c>
      <c r="I8">
        <f t="shared" si="1"/>
        <v>0.99451553930530168</v>
      </c>
      <c r="J8">
        <f t="shared" si="2"/>
        <v>-0.73402573529411763</v>
      </c>
      <c r="K8">
        <f t="shared" si="3"/>
        <v>4.6661401845863322E-2</v>
      </c>
      <c r="L8">
        <f t="shared" si="4"/>
        <v>0.21601250391091559</v>
      </c>
      <c r="M8">
        <f t="shared" si="5"/>
        <v>0.2148277918236528</v>
      </c>
    </row>
    <row r="9" spans="1:13" x14ac:dyDescent="0.25">
      <c r="A9" t="s">
        <v>365</v>
      </c>
      <c r="B9">
        <v>-0.45</v>
      </c>
      <c r="C9">
        <v>-1.01</v>
      </c>
      <c r="D9">
        <v>0.11</v>
      </c>
      <c r="E9">
        <v>37</v>
      </c>
      <c r="F9">
        <v>19</v>
      </c>
      <c r="G9">
        <v>0.95</v>
      </c>
      <c r="H9">
        <f t="shared" si="0"/>
        <v>-0.45</v>
      </c>
      <c r="I9">
        <f t="shared" si="1"/>
        <v>0.98604651162790702</v>
      </c>
      <c r="J9">
        <f t="shared" si="2"/>
        <v>-0.45636792452830188</v>
      </c>
      <c r="K9">
        <f t="shared" si="3"/>
        <v>8.1518174568487145E-2</v>
      </c>
      <c r="L9">
        <f t="shared" si="4"/>
        <v>0.28551387806635098</v>
      </c>
      <c r="M9">
        <f t="shared" si="5"/>
        <v>0.28152996348868098</v>
      </c>
    </row>
    <row r="10" spans="1:13" x14ac:dyDescent="0.25">
      <c r="A10" t="s">
        <v>366</v>
      </c>
      <c r="B10">
        <v>-0.28999999999999998</v>
      </c>
      <c r="C10">
        <v>-0.84</v>
      </c>
      <c r="D10">
        <v>0.27</v>
      </c>
      <c r="E10">
        <v>38</v>
      </c>
      <c r="F10">
        <v>19</v>
      </c>
      <c r="G10">
        <v>0.95</v>
      </c>
      <c r="H10">
        <f t="shared" si="0"/>
        <v>-0.28999999999999998</v>
      </c>
      <c r="I10">
        <f t="shared" si="1"/>
        <v>0.98630136986301364</v>
      </c>
      <c r="J10">
        <f t="shared" si="2"/>
        <v>-0.29402777777777778</v>
      </c>
      <c r="K10">
        <f t="shared" si="3"/>
        <v>7.970572222899068E-2</v>
      </c>
      <c r="L10">
        <f t="shared" si="4"/>
        <v>0.28232201867546691</v>
      </c>
      <c r="M10">
        <f t="shared" si="5"/>
        <v>0.27845459376210435</v>
      </c>
    </row>
  </sheetData>
  <pageMargins left="0.7" right="0.7" top="0.78740157499999996" bottom="0.78740157499999996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L1" sqref="L1:N11"/>
    </sheetView>
  </sheetViews>
  <sheetFormatPr defaultColWidth="8.85546875" defaultRowHeight="15" x14ac:dyDescent="0.25"/>
  <sheetData>
    <row r="1" spans="1:13" x14ac:dyDescent="0.25">
      <c r="A1" t="s">
        <v>11</v>
      </c>
      <c r="B1" t="s">
        <v>48</v>
      </c>
      <c r="C1" t="s">
        <v>382</v>
      </c>
      <c r="D1" t="s">
        <v>34</v>
      </c>
      <c r="E1" t="s">
        <v>383</v>
      </c>
      <c r="F1" t="s">
        <v>384</v>
      </c>
      <c r="G1" t="s">
        <v>385</v>
      </c>
      <c r="H1" t="s">
        <v>368</v>
      </c>
      <c r="I1" t="s">
        <v>372</v>
      </c>
      <c r="J1" t="s">
        <v>379</v>
      </c>
      <c r="K1" t="s">
        <v>381</v>
      </c>
      <c r="L1" t="s">
        <v>380</v>
      </c>
      <c r="M1" t="s">
        <v>369</v>
      </c>
    </row>
    <row r="2" spans="1:13" x14ac:dyDescent="0.25">
      <c r="A2" t="s">
        <v>386</v>
      </c>
      <c r="B2">
        <v>0.03</v>
      </c>
      <c r="C2">
        <v>-0.28000000000000003</v>
      </c>
      <c r="D2">
        <v>0.35</v>
      </c>
      <c r="E2">
        <v>115</v>
      </c>
      <c r="F2">
        <v>60</v>
      </c>
      <c r="G2">
        <v>0.95</v>
      </c>
      <c r="H2">
        <f>$B2</f>
        <v>0.03</v>
      </c>
      <c r="I2">
        <f>1-3/(4*($E2+$F2-2)-1)</f>
        <v>0.99565846599131691</v>
      </c>
      <c r="J2">
        <f>$H2/$I2</f>
        <v>3.0130813953488371E-2</v>
      </c>
      <c r="K2">
        <f>($E2+$F2)/($E2*$F2)+$J2^2/(2*($E2+$F2))</f>
        <v>2.536491274329257E-2</v>
      </c>
      <c r="L2">
        <f>SQRT($K2)</f>
        <v>0.159263657948989</v>
      </c>
      <c r="M2">
        <f>SQRT($I2^2*$K2)</f>
        <v>0.1585722093616562</v>
      </c>
    </row>
    <row r="3" spans="1:13" x14ac:dyDescent="0.25">
      <c r="A3" t="s">
        <v>387</v>
      </c>
      <c r="B3">
        <v>-0.31</v>
      </c>
      <c r="C3">
        <v>-0.76</v>
      </c>
      <c r="D3">
        <v>0.15</v>
      </c>
      <c r="E3">
        <v>41</v>
      </c>
      <c r="F3">
        <v>34</v>
      </c>
      <c r="G3">
        <v>0.95</v>
      </c>
      <c r="H3">
        <f t="shared" ref="H3:H9" si="0">$B3</f>
        <v>-0.31</v>
      </c>
      <c r="I3">
        <f t="shared" ref="I3:I9" si="1">1-3/(4*($E3+$F3-2)-1)</f>
        <v>0.98969072164948457</v>
      </c>
      <c r="J3">
        <f t="shared" ref="J3:J9" si="2">$H3/$I3</f>
        <v>-0.31322916666666667</v>
      </c>
      <c r="K3">
        <f>($E3+$F3)/($E3*$F3)+$J3^2/(2*($E3+$F3))</f>
        <v>5.4456092013992673E-2</v>
      </c>
      <c r="L3">
        <f t="shared" ref="L3:L9" si="3">SQRT($K3)</f>
        <v>0.2333582910761747</v>
      </c>
      <c r="M3">
        <f t="shared" ref="M3:M9" si="4">SQRT($I3^2*$K3)</f>
        <v>0.23095253549806979</v>
      </c>
    </row>
    <row r="4" spans="1:13" x14ac:dyDescent="0.25">
      <c r="A4" t="s">
        <v>338</v>
      </c>
      <c r="B4">
        <v>0.13</v>
      </c>
      <c r="C4">
        <v>-0.08</v>
      </c>
      <c r="D4">
        <v>0.34</v>
      </c>
      <c r="E4">
        <v>176</v>
      </c>
      <c r="F4">
        <v>177</v>
      </c>
      <c r="G4">
        <v>0.95</v>
      </c>
      <c r="H4">
        <f t="shared" si="0"/>
        <v>0.13</v>
      </c>
      <c r="I4">
        <f t="shared" si="1"/>
        <v>0.99786172487526725</v>
      </c>
      <c r="J4">
        <f t="shared" si="2"/>
        <v>0.13027857142857144</v>
      </c>
      <c r="K4">
        <f t="shared" ref="K4:K9" si="5">($E4+$F4)/($E4*$F4)+$J4^2/(2*($E4+$F4))</f>
        <v>1.1355576072958722E-2</v>
      </c>
      <c r="L4">
        <f t="shared" si="3"/>
        <v>0.10656254535698141</v>
      </c>
      <c r="M4">
        <f t="shared" si="4"/>
        <v>0.10633468531701638</v>
      </c>
    </row>
    <row r="5" spans="1:13" x14ac:dyDescent="0.25">
      <c r="A5" t="s">
        <v>388</v>
      </c>
      <c r="B5">
        <v>0.08</v>
      </c>
      <c r="C5">
        <v>-0.13</v>
      </c>
      <c r="D5">
        <v>0.28999999999999998</v>
      </c>
      <c r="E5">
        <v>177</v>
      </c>
      <c r="F5">
        <v>178</v>
      </c>
      <c r="G5">
        <v>0.95</v>
      </c>
      <c r="H5">
        <f t="shared" si="0"/>
        <v>0.08</v>
      </c>
      <c r="I5">
        <f t="shared" si="1"/>
        <v>0.99787384833451453</v>
      </c>
      <c r="J5">
        <f t="shared" si="2"/>
        <v>8.0170454545454545E-2</v>
      </c>
      <c r="K5">
        <f t="shared" si="5"/>
        <v>1.1276747579935343E-2</v>
      </c>
      <c r="L5">
        <f t="shared" si="3"/>
        <v>0.10619203162165862</v>
      </c>
      <c r="M5">
        <f t="shared" si="4"/>
        <v>0.10596625125676494</v>
      </c>
    </row>
    <row r="6" spans="1:13" x14ac:dyDescent="0.25">
      <c r="A6" t="s">
        <v>389</v>
      </c>
      <c r="B6">
        <v>0.05</v>
      </c>
      <c r="C6">
        <v>-0.83</v>
      </c>
      <c r="D6">
        <v>0.93</v>
      </c>
      <c r="E6">
        <v>11</v>
      </c>
      <c r="F6">
        <v>9</v>
      </c>
      <c r="G6">
        <v>0.95</v>
      </c>
      <c r="H6">
        <f t="shared" si="0"/>
        <v>0.05</v>
      </c>
      <c r="I6">
        <f t="shared" si="1"/>
        <v>0.95774647887323949</v>
      </c>
      <c r="J6">
        <f t="shared" si="2"/>
        <v>5.2205882352941178E-2</v>
      </c>
      <c r="K6">
        <f t="shared" si="5"/>
        <v>0.20208833837400825</v>
      </c>
      <c r="L6">
        <f t="shared" si="3"/>
        <v>0.44954236549407472</v>
      </c>
      <c r="M6">
        <f t="shared" si="4"/>
        <v>0.4305476176562969</v>
      </c>
    </row>
    <row r="7" spans="1:13" x14ac:dyDescent="0.25">
      <c r="A7" t="s">
        <v>390</v>
      </c>
      <c r="B7">
        <v>0.18</v>
      </c>
      <c r="C7">
        <v>-0.1</v>
      </c>
      <c r="D7">
        <v>0.46</v>
      </c>
      <c r="E7">
        <v>107</v>
      </c>
      <c r="F7">
        <v>91</v>
      </c>
      <c r="G7">
        <v>0.95</v>
      </c>
      <c r="H7">
        <f t="shared" si="0"/>
        <v>0.18</v>
      </c>
      <c r="I7">
        <f t="shared" si="1"/>
        <v>0.99616858237547889</v>
      </c>
      <c r="J7">
        <f t="shared" si="2"/>
        <v>0.18069230769230768</v>
      </c>
      <c r="K7">
        <f t="shared" si="5"/>
        <v>2.0417254144310039E-2</v>
      </c>
      <c r="L7">
        <f t="shared" si="3"/>
        <v>0.14288895739108057</v>
      </c>
      <c r="M7">
        <f t="shared" si="4"/>
        <v>0.14234149012138292</v>
      </c>
    </row>
    <row r="8" spans="1:13" x14ac:dyDescent="0.25">
      <c r="A8" t="s">
        <v>391</v>
      </c>
      <c r="B8">
        <v>0</v>
      </c>
      <c r="C8">
        <v>-0.9</v>
      </c>
      <c r="D8">
        <v>0.9</v>
      </c>
      <c r="E8">
        <v>10</v>
      </c>
      <c r="F8">
        <v>9</v>
      </c>
      <c r="G8">
        <v>0.95</v>
      </c>
      <c r="H8">
        <f t="shared" si="0"/>
        <v>0</v>
      </c>
      <c r="I8">
        <f t="shared" si="1"/>
        <v>0.95522388059701491</v>
      </c>
      <c r="J8">
        <f t="shared" si="2"/>
        <v>0</v>
      </c>
      <c r="K8">
        <f t="shared" si="5"/>
        <v>0.21111111111111111</v>
      </c>
      <c r="L8">
        <f t="shared" si="3"/>
        <v>0.45946829173634074</v>
      </c>
      <c r="M8">
        <f t="shared" si="4"/>
        <v>0.43889508464366872</v>
      </c>
    </row>
    <row r="9" spans="1:13" x14ac:dyDescent="0.25">
      <c r="A9" t="s">
        <v>57</v>
      </c>
      <c r="B9">
        <v>0.14000000000000001</v>
      </c>
      <c r="C9">
        <v>-0.45</v>
      </c>
      <c r="D9">
        <v>0.74</v>
      </c>
      <c r="E9">
        <v>23</v>
      </c>
      <c r="F9">
        <v>21</v>
      </c>
      <c r="G9">
        <v>0.95</v>
      </c>
      <c r="H9">
        <f t="shared" si="0"/>
        <v>0.14000000000000001</v>
      </c>
      <c r="I9">
        <f t="shared" si="1"/>
        <v>0.98203592814371254</v>
      </c>
      <c r="J9">
        <f t="shared" si="2"/>
        <v>0.14256097560975611</v>
      </c>
      <c r="K9">
        <f t="shared" si="5"/>
        <v>9.1328258849599261E-2</v>
      </c>
      <c r="L9">
        <f t="shared" si="3"/>
        <v>0.30220565654798598</v>
      </c>
      <c r="M9">
        <f t="shared" si="4"/>
        <v>0.29677681241838144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workbookViewId="0">
      <selection activeCell="A19" sqref="A19"/>
    </sheetView>
  </sheetViews>
  <sheetFormatPr defaultColWidth="11.42578125" defaultRowHeight="15" x14ac:dyDescent="0.25"/>
  <sheetData>
    <row r="1" spans="1:17" x14ac:dyDescent="0.25">
      <c r="A1" t="s">
        <v>11</v>
      </c>
      <c r="B1" t="s">
        <v>43</v>
      </c>
      <c r="C1" t="s">
        <v>399</v>
      </c>
      <c r="D1" t="s">
        <v>400</v>
      </c>
      <c r="E1" t="s">
        <v>414</v>
      </c>
      <c r="F1" t="s">
        <v>384</v>
      </c>
      <c r="G1" t="s">
        <v>401</v>
      </c>
      <c r="H1" t="s">
        <v>415</v>
      </c>
      <c r="I1" t="s">
        <v>13</v>
      </c>
      <c r="J1" t="s">
        <v>14</v>
      </c>
      <c r="K1" t="s">
        <v>46</v>
      </c>
      <c r="L1" t="s">
        <v>379</v>
      </c>
      <c r="M1" t="s">
        <v>372</v>
      </c>
      <c r="N1" t="s">
        <v>368</v>
      </c>
      <c r="O1" t="s">
        <v>381</v>
      </c>
      <c r="P1" t="s">
        <v>380</v>
      </c>
      <c r="Q1" t="s">
        <v>369</v>
      </c>
    </row>
    <row r="2" spans="1:17" x14ac:dyDescent="0.25">
      <c r="A2" t="s">
        <v>405</v>
      </c>
      <c r="B2">
        <v>-1.48</v>
      </c>
      <c r="C2">
        <v>27</v>
      </c>
      <c r="D2">
        <v>38.9</v>
      </c>
      <c r="E2">
        <v>14</v>
      </c>
      <c r="F2">
        <v>24</v>
      </c>
      <c r="G2">
        <v>58.8</v>
      </c>
      <c r="H2">
        <v>12.3</v>
      </c>
      <c r="I2">
        <v>-2.11</v>
      </c>
      <c r="J2">
        <v>-0.86</v>
      </c>
      <c r="K2">
        <v>95</v>
      </c>
      <c r="L2">
        <f>$B2</f>
        <v>-1.48</v>
      </c>
      <c r="M2">
        <f>1-3/(4*($C2+$F2-2)-1)</f>
        <v>0.98461538461538467</v>
      </c>
      <c r="N2">
        <f>$L2*$M2</f>
        <v>-1.4572307692307693</v>
      </c>
      <c r="O2">
        <f>($C2+$F2)/($C2*$F2)+$L2^2/(2*($C2+$F2))</f>
        <v>0.10017821350762528</v>
      </c>
      <c r="P2">
        <f>SQRT($O2)</f>
        <v>0.31650942088289452</v>
      </c>
      <c r="Q2">
        <f>SQRT($M2^2*$O2)</f>
        <v>0.31164004517700389</v>
      </c>
    </row>
    <row r="3" spans="1:17" x14ac:dyDescent="0.25">
      <c r="A3" t="s">
        <v>393</v>
      </c>
      <c r="B3">
        <v>-0.23</v>
      </c>
      <c r="C3">
        <v>27</v>
      </c>
      <c r="D3">
        <v>45.1</v>
      </c>
      <c r="E3">
        <v>13.2</v>
      </c>
      <c r="F3">
        <v>23</v>
      </c>
      <c r="G3">
        <v>48.2</v>
      </c>
      <c r="H3">
        <v>48.2</v>
      </c>
      <c r="I3">
        <v>-0.79</v>
      </c>
      <c r="J3">
        <v>0.33</v>
      </c>
      <c r="K3">
        <v>95</v>
      </c>
      <c r="L3">
        <f t="shared" ref="L3:L18" si="0">$B3</f>
        <v>-0.23</v>
      </c>
      <c r="M3">
        <f t="shared" ref="M3:M18" si="1">1-3/(4*($C3+$F3-2)-1)</f>
        <v>0.98429319371727753</v>
      </c>
      <c r="N3">
        <f t="shared" ref="N3:N18" si="2">$L3*$M3</f>
        <v>-0.22638743455497384</v>
      </c>
      <c r="O3">
        <f t="shared" ref="O3:O18" si="3">($C3+$F3)/($C3*$F3)+$L3^2/(2*($C3+$F3))</f>
        <v>8.1044297906602253E-2</v>
      </c>
      <c r="P3">
        <f t="shared" ref="P3:P18" si="4">SQRT($O3)</f>
        <v>0.28468280226701831</v>
      </c>
      <c r="Q3">
        <f t="shared" ref="Q3:Q18" si="5">SQRT($M3^2*$O3)</f>
        <v>0.2802113446397877</v>
      </c>
    </row>
    <row r="4" spans="1:17" x14ac:dyDescent="0.25">
      <c r="A4" t="s">
        <v>406</v>
      </c>
      <c r="B4">
        <v>-1.52</v>
      </c>
      <c r="C4">
        <v>22</v>
      </c>
      <c r="D4">
        <v>36</v>
      </c>
      <c r="E4">
        <v>8.6</v>
      </c>
      <c r="F4">
        <v>34</v>
      </c>
      <c r="G4">
        <v>55</v>
      </c>
      <c r="H4">
        <v>14.9</v>
      </c>
      <c r="I4">
        <v>-2.1800000000000002</v>
      </c>
      <c r="J4">
        <v>-0.85</v>
      </c>
      <c r="K4">
        <v>95</v>
      </c>
      <c r="L4">
        <f t="shared" si="0"/>
        <v>-1.52</v>
      </c>
      <c r="M4">
        <f t="shared" si="1"/>
        <v>0.98604651162790702</v>
      </c>
      <c r="N4">
        <f t="shared" si="2"/>
        <v>-1.4987906976744187</v>
      </c>
      <c r="O4">
        <f t="shared" si="3"/>
        <v>9.5494881588999228E-2</v>
      </c>
      <c r="P4">
        <f t="shared" si="4"/>
        <v>0.30902246130176236</v>
      </c>
      <c r="Q4">
        <f t="shared" si="5"/>
        <v>0.30471051998127269</v>
      </c>
    </row>
    <row r="5" spans="1:17" x14ac:dyDescent="0.25">
      <c r="A5" t="s">
        <v>413</v>
      </c>
      <c r="B5">
        <v>-0.54</v>
      </c>
      <c r="C5">
        <v>7</v>
      </c>
      <c r="D5">
        <v>44</v>
      </c>
      <c r="E5">
        <v>9</v>
      </c>
      <c r="F5">
        <v>7</v>
      </c>
      <c r="G5">
        <v>52</v>
      </c>
      <c r="H5">
        <v>17.3</v>
      </c>
      <c r="I5">
        <v>-1.62</v>
      </c>
      <c r="J5">
        <v>0.53</v>
      </c>
      <c r="K5">
        <v>95</v>
      </c>
      <c r="L5">
        <f t="shared" si="0"/>
        <v>-0.54</v>
      </c>
      <c r="M5">
        <f t="shared" si="1"/>
        <v>0.93617021276595747</v>
      </c>
      <c r="N5">
        <f t="shared" si="2"/>
        <v>-0.50553191489361704</v>
      </c>
      <c r="O5">
        <f t="shared" si="3"/>
        <v>0.29612857142857141</v>
      </c>
      <c r="P5">
        <f t="shared" si="4"/>
        <v>0.54417696701401408</v>
      </c>
      <c r="Q5">
        <f t="shared" si="5"/>
        <v>0.50944226699184303</v>
      </c>
    </row>
    <row r="6" spans="1:17" x14ac:dyDescent="0.25">
      <c r="A6" t="s">
        <v>407</v>
      </c>
      <c r="B6">
        <v>-1.1599999999999999</v>
      </c>
      <c r="C6">
        <v>13</v>
      </c>
      <c r="D6">
        <v>4.3099999999999996</v>
      </c>
      <c r="E6">
        <v>4.29</v>
      </c>
      <c r="F6">
        <v>13</v>
      </c>
      <c r="G6">
        <v>10.54</v>
      </c>
      <c r="H6">
        <v>6</v>
      </c>
      <c r="I6">
        <v>-2</v>
      </c>
      <c r="J6">
        <v>-0.32</v>
      </c>
      <c r="K6">
        <v>95</v>
      </c>
      <c r="L6">
        <f t="shared" si="0"/>
        <v>-1.1599999999999999</v>
      </c>
      <c r="M6">
        <f t="shared" si="1"/>
        <v>0.96842105263157896</v>
      </c>
      <c r="N6">
        <f t="shared" si="2"/>
        <v>-1.1233684210526316</v>
      </c>
      <c r="O6">
        <f t="shared" si="3"/>
        <v>0.17972307692307693</v>
      </c>
      <c r="P6">
        <f t="shared" si="4"/>
        <v>0.42393758611743421</v>
      </c>
      <c r="Q6">
        <f t="shared" si="5"/>
        <v>0.41055008339793625</v>
      </c>
    </row>
    <row r="7" spans="1:17" x14ac:dyDescent="0.25">
      <c r="A7" t="s">
        <v>397</v>
      </c>
      <c r="B7">
        <v>-1.01</v>
      </c>
      <c r="C7">
        <v>22</v>
      </c>
      <c r="D7">
        <v>5.9</v>
      </c>
      <c r="E7">
        <v>6.1</v>
      </c>
      <c r="F7">
        <v>20</v>
      </c>
      <c r="G7">
        <v>14.5</v>
      </c>
      <c r="H7">
        <v>10.3</v>
      </c>
      <c r="I7">
        <v>-1.66</v>
      </c>
      <c r="J7">
        <v>-0.36</v>
      </c>
      <c r="K7">
        <v>95</v>
      </c>
      <c r="L7">
        <f t="shared" si="0"/>
        <v>-1.01</v>
      </c>
      <c r="M7">
        <f t="shared" si="1"/>
        <v>0.98113207547169812</v>
      </c>
      <c r="N7">
        <f t="shared" si="2"/>
        <v>-0.99094339622641514</v>
      </c>
      <c r="O7">
        <f t="shared" si="3"/>
        <v>0.10759859307359308</v>
      </c>
      <c r="P7">
        <f t="shared" si="4"/>
        <v>0.32802224478469916</v>
      </c>
      <c r="Q7">
        <f t="shared" si="5"/>
        <v>0.32183314582649725</v>
      </c>
    </row>
    <row r="8" spans="1:17" x14ac:dyDescent="0.25">
      <c r="A8" t="s">
        <v>398</v>
      </c>
      <c r="B8">
        <v>-0.35</v>
      </c>
      <c r="C8">
        <v>14</v>
      </c>
      <c r="D8">
        <v>8.1999999999999993</v>
      </c>
      <c r="E8">
        <v>10.8</v>
      </c>
      <c r="F8">
        <v>14</v>
      </c>
      <c r="G8">
        <v>12.2</v>
      </c>
      <c r="H8">
        <v>11.2</v>
      </c>
      <c r="I8">
        <v>-1.1000000000000001</v>
      </c>
      <c r="J8">
        <v>0.39</v>
      </c>
      <c r="K8">
        <v>95</v>
      </c>
      <c r="L8">
        <f t="shared" si="0"/>
        <v>-0.35</v>
      </c>
      <c r="M8">
        <f t="shared" si="1"/>
        <v>0.970873786407767</v>
      </c>
      <c r="N8">
        <f t="shared" si="2"/>
        <v>-0.33980582524271841</v>
      </c>
      <c r="O8">
        <f t="shared" si="3"/>
        <v>0.14504464285714286</v>
      </c>
      <c r="P8">
        <f t="shared" si="4"/>
        <v>0.38084726972520477</v>
      </c>
      <c r="Q8">
        <f t="shared" si="5"/>
        <v>0.36975463080116966</v>
      </c>
    </row>
    <row r="9" spans="1:17" x14ac:dyDescent="0.25">
      <c r="A9" t="s">
        <v>408</v>
      </c>
      <c r="B9">
        <v>-1.1399999999999999</v>
      </c>
      <c r="C9">
        <v>10</v>
      </c>
      <c r="D9">
        <v>15.8</v>
      </c>
      <c r="E9">
        <v>13.8</v>
      </c>
      <c r="F9">
        <v>10</v>
      </c>
      <c r="G9">
        <v>32</v>
      </c>
      <c r="H9">
        <v>13.3</v>
      </c>
      <c r="I9">
        <v>-2.11</v>
      </c>
      <c r="J9">
        <v>-0.18</v>
      </c>
      <c r="K9">
        <v>95</v>
      </c>
      <c r="L9">
        <f t="shared" si="0"/>
        <v>-1.1399999999999999</v>
      </c>
      <c r="M9">
        <f t="shared" si="1"/>
        <v>0.95774647887323949</v>
      </c>
      <c r="N9">
        <f t="shared" si="2"/>
        <v>-1.0918309859154929</v>
      </c>
      <c r="O9">
        <f t="shared" si="3"/>
        <v>0.23249</v>
      </c>
      <c r="P9">
        <f t="shared" si="4"/>
        <v>0.48217216842119787</v>
      </c>
      <c r="Q9">
        <f t="shared" si="5"/>
        <v>0.46179869651607686</v>
      </c>
    </row>
    <row r="10" spans="1:17" x14ac:dyDescent="0.25">
      <c r="A10" t="s">
        <v>250</v>
      </c>
      <c r="B10">
        <v>-0.57999999999999996</v>
      </c>
      <c r="C10">
        <v>10</v>
      </c>
      <c r="D10">
        <v>41.5</v>
      </c>
      <c r="E10">
        <v>13.77</v>
      </c>
      <c r="F10">
        <v>10</v>
      </c>
      <c r="G10">
        <v>49.9</v>
      </c>
      <c r="H10">
        <v>13.8</v>
      </c>
      <c r="I10">
        <v>-1.48</v>
      </c>
      <c r="J10">
        <v>0.32</v>
      </c>
      <c r="K10">
        <v>95</v>
      </c>
      <c r="L10">
        <f t="shared" si="0"/>
        <v>-0.57999999999999996</v>
      </c>
      <c r="M10">
        <f t="shared" si="1"/>
        <v>0.95774647887323949</v>
      </c>
      <c r="N10">
        <f t="shared" si="2"/>
        <v>-0.55549295774647889</v>
      </c>
      <c r="O10">
        <f t="shared" si="3"/>
        <v>0.20841000000000001</v>
      </c>
      <c r="P10">
        <f t="shared" si="4"/>
        <v>0.4565194409880044</v>
      </c>
      <c r="Q10">
        <f t="shared" si="5"/>
        <v>0.43722988714344085</v>
      </c>
    </row>
    <row r="11" spans="1:17" x14ac:dyDescent="0.25">
      <c r="A11" t="s">
        <v>394</v>
      </c>
      <c r="B11">
        <v>-1.04</v>
      </c>
      <c r="C11">
        <v>44</v>
      </c>
      <c r="D11">
        <v>36.299999999999997</v>
      </c>
      <c r="E11">
        <v>13.25</v>
      </c>
      <c r="F11">
        <v>15</v>
      </c>
      <c r="G11">
        <v>50.4</v>
      </c>
      <c r="H11">
        <v>13.8</v>
      </c>
      <c r="I11">
        <v>-1.66</v>
      </c>
      <c r="J11">
        <v>-0.42</v>
      </c>
      <c r="K11">
        <v>95</v>
      </c>
      <c r="L11">
        <f t="shared" si="0"/>
        <v>-1.04</v>
      </c>
      <c r="M11">
        <f t="shared" si="1"/>
        <v>0.986784140969163</v>
      </c>
      <c r="N11">
        <f t="shared" si="2"/>
        <v>-1.0262555066079295</v>
      </c>
      <c r="O11">
        <f t="shared" si="3"/>
        <v>9.8560041088854661E-2</v>
      </c>
      <c r="P11">
        <f t="shared" si="4"/>
        <v>0.31394273536563105</v>
      </c>
      <c r="Q11">
        <f t="shared" si="5"/>
        <v>0.30979371243128351</v>
      </c>
    </row>
    <row r="12" spans="1:17" x14ac:dyDescent="0.25">
      <c r="A12" t="s">
        <v>409</v>
      </c>
      <c r="B12">
        <v>-0.28000000000000003</v>
      </c>
      <c r="C12">
        <v>30</v>
      </c>
      <c r="D12">
        <v>44.59</v>
      </c>
      <c r="E12">
        <v>13.12</v>
      </c>
      <c r="F12">
        <v>29</v>
      </c>
      <c r="G12">
        <v>48.31</v>
      </c>
      <c r="H12">
        <v>12.75</v>
      </c>
      <c r="I12">
        <v>-0.8</v>
      </c>
      <c r="J12">
        <v>0.23</v>
      </c>
      <c r="K12">
        <v>59</v>
      </c>
      <c r="L12">
        <f t="shared" si="0"/>
        <v>-0.28000000000000003</v>
      </c>
      <c r="M12">
        <f t="shared" si="1"/>
        <v>0.986784140969163</v>
      </c>
      <c r="N12">
        <f t="shared" si="2"/>
        <v>-0.27629955947136564</v>
      </c>
      <c r="O12">
        <f t="shared" si="3"/>
        <v>6.8480498733684017E-2</v>
      </c>
      <c r="P12">
        <f t="shared" si="4"/>
        <v>0.26168778865985326</v>
      </c>
      <c r="Q12">
        <f t="shared" si="5"/>
        <v>0.25822935973483313</v>
      </c>
    </row>
    <row r="13" spans="1:17" x14ac:dyDescent="0.25">
      <c r="A13" t="s">
        <v>402</v>
      </c>
      <c r="B13">
        <v>-0.74</v>
      </c>
      <c r="C13">
        <v>22</v>
      </c>
      <c r="D13">
        <v>7.7</v>
      </c>
      <c r="E13">
        <v>1.6</v>
      </c>
      <c r="F13">
        <v>20</v>
      </c>
      <c r="G13">
        <v>9.8000000000000007</v>
      </c>
      <c r="H13">
        <v>3.7</v>
      </c>
      <c r="I13">
        <v>-1.36</v>
      </c>
      <c r="J13">
        <v>-0.11</v>
      </c>
      <c r="K13">
        <v>95</v>
      </c>
      <c r="L13">
        <f t="shared" si="0"/>
        <v>-0.74</v>
      </c>
      <c r="M13">
        <f t="shared" si="1"/>
        <v>0.98113207547169812</v>
      </c>
      <c r="N13">
        <f t="shared" si="2"/>
        <v>-0.72603773584905662</v>
      </c>
      <c r="O13">
        <f t="shared" si="3"/>
        <v>0.10197359307359308</v>
      </c>
      <c r="P13">
        <f t="shared" si="4"/>
        <v>0.31933304413040797</v>
      </c>
      <c r="Q13">
        <f t="shared" si="5"/>
        <v>0.31330789235436252</v>
      </c>
    </row>
    <row r="14" spans="1:17" x14ac:dyDescent="0.25">
      <c r="A14" t="s">
        <v>410</v>
      </c>
      <c r="B14">
        <v>-0.79</v>
      </c>
      <c r="C14">
        <v>12</v>
      </c>
      <c r="D14">
        <v>8.1</v>
      </c>
      <c r="E14">
        <v>4.8</v>
      </c>
      <c r="F14">
        <v>12</v>
      </c>
      <c r="G14">
        <v>12</v>
      </c>
      <c r="H14">
        <v>4.7</v>
      </c>
      <c r="I14">
        <v>-1.63</v>
      </c>
      <c r="J14">
        <v>0.04</v>
      </c>
      <c r="K14">
        <v>95</v>
      </c>
      <c r="L14">
        <f t="shared" si="0"/>
        <v>-0.79</v>
      </c>
      <c r="M14">
        <f t="shared" si="1"/>
        <v>0.96551724137931039</v>
      </c>
      <c r="N14">
        <f t="shared" si="2"/>
        <v>-0.76275862068965528</v>
      </c>
      <c r="O14">
        <f t="shared" si="3"/>
        <v>0.17966874999999999</v>
      </c>
      <c r="P14">
        <f t="shared" si="4"/>
        <v>0.4238735070749291</v>
      </c>
      <c r="Q14">
        <f t="shared" si="5"/>
        <v>0.40925717924475918</v>
      </c>
    </row>
    <row r="15" spans="1:17" x14ac:dyDescent="0.25">
      <c r="A15" t="s">
        <v>404</v>
      </c>
      <c r="B15">
        <v>-1.19</v>
      </c>
      <c r="C15">
        <v>17</v>
      </c>
      <c r="D15">
        <v>39.4</v>
      </c>
      <c r="E15">
        <v>11.9</v>
      </c>
      <c r="F15">
        <v>20</v>
      </c>
      <c r="G15">
        <v>52.7</v>
      </c>
      <c r="H15">
        <v>10.1</v>
      </c>
      <c r="I15">
        <v>-1.89</v>
      </c>
      <c r="J15">
        <v>-0.48</v>
      </c>
      <c r="K15">
        <v>95</v>
      </c>
      <c r="L15">
        <f t="shared" si="0"/>
        <v>-1.19</v>
      </c>
      <c r="M15">
        <f t="shared" si="1"/>
        <v>0.97841726618705038</v>
      </c>
      <c r="N15">
        <f t="shared" si="2"/>
        <v>-1.16431654676259</v>
      </c>
      <c r="O15">
        <f t="shared" si="3"/>
        <v>0.12796001589825118</v>
      </c>
      <c r="P15">
        <f t="shared" si="4"/>
        <v>0.35771499255447931</v>
      </c>
      <c r="Q15">
        <f t="shared" si="5"/>
        <v>0.3499945250892747</v>
      </c>
    </row>
    <row r="16" spans="1:17" x14ac:dyDescent="0.25">
      <c r="A16" t="s">
        <v>411</v>
      </c>
      <c r="B16">
        <v>-0.24</v>
      </c>
      <c r="C16">
        <v>32</v>
      </c>
      <c r="D16">
        <v>42.59</v>
      </c>
      <c r="E16">
        <v>12.95</v>
      </c>
      <c r="F16">
        <v>27</v>
      </c>
      <c r="G16">
        <v>45.81</v>
      </c>
      <c r="H16">
        <v>14.16</v>
      </c>
      <c r="I16">
        <v>-0.75</v>
      </c>
      <c r="J16">
        <v>0.28000000000000003</v>
      </c>
      <c r="K16">
        <v>95</v>
      </c>
      <c r="L16">
        <f t="shared" si="0"/>
        <v>-0.24</v>
      </c>
      <c r="M16">
        <f t="shared" si="1"/>
        <v>0.986784140969163</v>
      </c>
      <c r="N16">
        <f t="shared" si="2"/>
        <v>-0.23682819383259912</v>
      </c>
      <c r="O16">
        <f t="shared" si="3"/>
        <v>6.877517263025737E-2</v>
      </c>
      <c r="P16">
        <f t="shared" si="4"/>
        <v>0.26225020997180798</v>
      </c>
      <c r="Q16">
        <f t="shared" si="5"/>
        <v>0.25878434816601315</v>
      </c>
    </row>
    <row r="17" spans="1:17" x14ac:dyDescent="0.25">
      <c r="A17" t="s">
        <v>395</v>
      </c>
      <c r="B17">
        <v>-0.94</v>
      </c>
      <c r="C17">
        <v>21</v>
      </c>
      <c r="D17">
        <v>9.6</v>
      </c>
      <c r="E17">
        <v>5</v>
      </c>
      <c r="F17">
        <v>24</v>
      </c>
      <c r="G17">
        <v>14.2</v>
      </c>
      <c r="H17">
        <v>4.5999999999999996</v>
      </c>
      <c r="I17">
        <v>-1.56</v>
      </c>
      <c r="J17">
        <v>-0.32</v>
      </c>
      <c r="K17">
        <v>95</v>
      </c>
      <c r="L17">
        <f t="shared" si="0"/>
        <v>-0.94</v>
      </c>
      <c r="M17">
        <f t="shared" si="1"/>
        <v>0.98245614035087714</v>
      </c>
      <c r="N17">
        <f t="shared" si="2"/>
        <v>-0.9235087719298245</v>
      </c>
      <c r="O17">
        <f t="shared" si="3"/>
        <v>9.910349206349206E-2</v>
      </c>
      <c r="P17">
        <f t="shared" si="4"/>
        <v>0.31480707117771684</v>
      </c>
      <c r="Q17">
        <f t="shared" si="5"/>
        <v>0.30928414010442351</v>
      </c>
    </row>
    <row r="18" spans="1:17" x14ac:dyDescent="0.25">
      <c r="A18" t="s">
        <v>412</v>
      </c>
      <c r="B18">
        <v>-1.01</v>
      </c>
      <c r="C18">
        <v>11</v>
      </c>
      <c r="D18">
        <v>5.27</v>
      </c>
      <c r="E18">
        <v>2.83</v>
      </c>
      <c r="F18">
        <v>11</v>
      </c>
      <c r="G18">
        <v>8.64</v>
      </c>
      <c r="H18">
        <v>3.56</v>
      </c>
      <c r="I18">
        <v>-1.91</v>
      </c>
      <c r="J18">
        <v>-0.11</v>
      </c>
      <c r="K18">
        <v>95</v>
      </c>
      <c r="L18">
        <f t="shared" si="0"/>
        <v>-1.01</v>
      </c>
      <c r="M18">
        <f t="shared" si="1"/>
        <v>0.96202531645569622</v>
      </c>
      <c r="N18">
        <f t="shared" si="2"/>
        <v>-0.97164556962025317</v>
      </c>
      <c r="O18">
        <f t="shared" si="3"/>
        <v>0.20500227272727273</v>
      </c>
      <c r="P18">
        <f t="shared" si="4"/>
        <v>0.45277176670732544</v>
      </c>
      <c r="Q18">
        <f t="shared" si="5"/>
        <v>0.43557790214881942</v>
      </c>
    </row>
  </sheetData>
  <pageMargins left="0.7" right="0.7" top="0.78740157499999996" bottom="0.78740157499999996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P1" sqref="P1"/>
    </sheetView>
  </sheetViews>
  <sheetFormatPr defaultColWidth="11.42578125" defaultRowHeight="15" x14ac:dyDescent="0.25"/>
  <sheetData>
    <row r="1" spans="1:17" x14ac:dyDescent="0.25">
      <c r="A1" t="s">
        <v>11</v>
      </c>
      <c r="B1" t="s">
        <v>43</v>
      </c>
      <c r="C1" t="s">
        <v>420</v>
      </c>
      <c r="D1" t="s">
        <v>421</v>
      </c>
      <c r="E1" t="s">
        <v>422</v>
      </c>
      <c r="F1" t="s">
        <v>384</v>
      </c>
      <c r="G1" t="s">
        <v>401</v>
      </c>
      <c r="H1" t="s">
        <v>415</v>
      </c>
      <c r="I1" t="s">
        <v>13</v>
      </c>
      <c r="J1" t="s">
        <v>14</v>
      </c>
      <c r="K1" t="s">
        <v>46</v>
      </c>
      <c r="L1" t="s">
        <v>379</v>
      </c>
      <c r="M1" t="s">
        <v>372</v>
      </c>
      <c r="N1" t="s">
        <v>368</v>
      </c>
      <c r="O1" t="s">
        <v>381</v>
      </c>
      <c r="P1" t="s">
        <v>380</v>
      </c>
      <c r="Q1" t="s">
        <v>369</v>
      </c>
    </row>
    <row r="2" spans="1:17" x14ac:dyDescent="0.25">
      <c r="A2" t="s">
        <v>416</v>
      </c>
      <c r="B2">
        <v>-1.44</v>
      </c>
      <c r="C2">
        <v>10</v>
      </c>
      <c r="D2">
        <v>12</v>
      </c>
      <c r="E2">
        <v>5.54</v>
      </c>
      <c r="F2">
        <v>10</v>
      </c>
      <c r="G2">
        <v>22</v>
      </c>
      <c r="H2">
        <v>7.61</v>
      </c>
      <c r="I2">
        <v>-2.4500000000000002</v>
      </c>
      <c r="J2">
        <v>-0.43</v>
      </c>
      <c r="K2">
        <v>95</v>
      </c>
      <c r="L2">
        <f>$B2</f>
        <v>-1.44</v>
      </c>
      <c r="M2">
        <f>1-3/(4*($C2+$F2-2)-1)</f>
        <v>0.95774647887323949</v>
      </c>
      <c r="N2">
        <f>$L2*$M2</f>
        <v>-1.3791549295774648</v>
      </c>
      <c r="O2">
        <f>($C2+$F2)/($C2*$F2)+$L2^2/(2*($C2+$F2))</f>
        <v>0.25184000000000001</v>
      </c>
      <c r="P2">
        <f>SQRT($O2)</f>
        <v>0.50183662680199026</v>
      </c>
      <c r="Q2">
        <f>SQRT($M2^2*$O2)</f>
        <v>0.48063226228923006</v>
      </c>
    </row>
    <row r="3" spans="1:17" x14ac:dyDescent="0.25">
      <c r="A3" t="s">
        <v>250</v>
      </c>
      <c r="B3">
        <v>0.54</v>
      </c>
      <c r="C3">
        <v>10</v>
      </c>
      <c r="D3">
        <v>15.4</v>
      </c>
      <c r="E3">
        <v>11.09</v>
      </c>
      <c r="F3">
        <v>14</v>
      </c>
      <c r="G3">
        <v>11.07</v>
      </c>
      <c r="H3">
        <v>3.97</v>
      </c>
      <c r="I3">
        <v>-0.28999999999999998</v>
      </c>
      <c r="J3">
        <v>1.37</v>
      </c>
      <c r="K3">
        <v>95</v>
      </c>
      <c r="L3">
        <f t="shared" ref="L3:L8" si="0">$B3</f>
        <v>0.54</v>
      </c>
      <c r="M3">
        <f t="shared" ref="M3:M8" si="1">1-3/(4*($C3+$F3-2)-1)</f>
        <v>0.96551724137931039</v>
      </c>
      <c r="N3">
        <f t="shared" ref="N3:N8" si="2">$L3*$M3</f>
        <v>0.52137931034482765</v>
      </c>
      <c r="O3">
        <f t="shared" ref="O3:O8" si="3">($C3+$F3)/($C3*$F3)+$L3^2/(2*($C3+$F3))</f>
        <v>0.17750357142857143</v>
      </c>
      <c r="P3">
        <f t="shared" ref="P3:P8" si="4">SQRT($O3)</f>
        <v>0.4213117271434198</v>
      </c>
      <c r="Q3">
        <f t="shared" ref="Q3:Q8" si="5">SQRT($M3^2*$O3)</f>
        <v>0.40678373655226741</v>
      </c>
    </row>
    <row r="4" spans="1:17" x14ac:dyDescent="0.25">
      <c r="A4" t="s">
        <v>394</v>
      </c>
      <c r="B4">
        <v>-0.03</v>
      </c>
      <c r="C4">
        <v>45</v>
      </c>
      <c r="D4">
        <v>12.6</v>
      </c>
      <c r="E4">
        <v>8.3699999999999992</v>
      </c>
      <c r="F4">
        <v>19</v>
      </c>
      <c r="G4">
        <v>12.89</v>
      </c>
      <c r="H4">
        <v>8.9600000000000009</v>
      </c>
      <c r="I4">
        <v>-0.56999999999999995</v>
      </c>
      <c r="J4">
        <v>0.5</v>
      </c>
      <c r="K4">
        <v>95</v>
      </c>
      <c r="L4">
        <f t="shared" si="0"/>
        <v>-0.03</v>
      </c>
      <c r="M4">
        <f t="shared" si="1"/>
        <v>0.98785425101214575</v>
      </c>
      <c r="N4">
        <f t="shared" si="2"/>
        <v>-2.9635627530364372E-2</v>
      </c>
      <c r="O4">
        <f t="shared" si="3"/>
        <v>7.4860832419590642E-2</v>
      </c>
      <c r="P4">
        <f t="shared" si="4"/>
        <v>0.27360707669866774</v>
      </c>
      <c r="Q4">
        <f t="shared" si="5"/>
        <v>0.27028391382378514</v>
      </c>
    </row>
    <row r="5" spans="1:17" x14ac:dyDescent="0.25">
      <c r="A5" t="s">
        <v>417</v>
      </c>
      <c r="B5">
        <f>-0.25-B6-0.3</f>
        <v>-0.25</v>
      </c>
      <c r="C5">
        <v>15</v>
      </c>
      <c r="D5">
        <v>76.73</v>
      </c>
      <c r="E5">
        <v>26.19</v>
      </c>
      <c r="F5">
        <v>13</v>
      </c>
      <c r="G5">
        <v>82.6</v>
      </c>
      <c r="H5">
        <v>18.8</v>
      </c>
      <c r="I5">
        <v>-0.99</v>
      </c>
      <c r="J5">
        <v>0.5</v>
      </c>
      <c r="K5">
        <v>95</v>
      </c>
      <c r="L5">
        <f t="shared" si="0"/>
        <v>-0.25</v>
      </c>
      <c r="M5">
        <f t="shared" si="1"/>
        <v>0.970873786407767</v>
      </c>
      <c r="N5">
        <f t="shared" si="2"/>
        <v>-0.24271844660194175</v>
      </c>
      <c r="O5">
        <f t="shared" si="3"/>
        <v>0.144705815018315</v>
      </c>
      <c r="P5">
        <f t="shared" si="4"/>
        <v>0.38040217535959886</v>
      </c>
      <c r="Q5">
        <f t="shared" si="5"/>
        <v>0.36932250034912512</v>
      </c>
    </row>
    <row r="6" spans="1:17" x14ac:dyDescent="0.25">
      <c r="A6" t="s">
        <v>418</v>
      </c>
      <c r="B6">
        <v>-0.3</v>
      </c>
      <c r="C6">
        <v>57</v>
      </c>
      <c r="D6">
        <v>35.25</v>
      </c>
      <c r="E6">
        <v>28.76</v>
      </c>
      <c r="F6">
        <v>20</v>
      </c>
      <c r="G6">
        <v>43.7</v>
      </c>
      <c r="H6">
        <v>24</v>
      </c>
      <c r="I6">
        <v>-0.81</v>
      </c>
      <c r="J6">
        <v>0.21</v>
      </c>
      <c r="K6">
        <v>95</v>
      </c>
      <c r="L6">
        <f t="shared" si="0"/>
        <v>-0.3</v>
      </c>
      <c r="M6">
        <f t="shared" si="1"/>
        <v>0.98996655518394649</v>
      </c>
      <c r="N6">
        <f t="shared" si="2"/>
        <v>-0.29698996655518395</v>
      </c>
      <c r="O6">
        <f t="shared" si="3"/>
        <v>6.8128275233538399E-2</v>
      </c>
      <c r="P6">
        <f t="shared" si="4"/>
        <v>0.26101393685690116</v>
      </c>
      <c r="Q6">
        <f t="shared" si="5"/>
        <v>0.2583950679252266</v>
      </c>
    </row>
    <row r="7" spans="1:17" x14ac:dyDescent="0.25">
      <c r="A7" t="s">
        <v>419</v>
      </c>
      <c r="B7">
        <v>-0.7</v>
      </c>
      <c r="C7">
        <v>15</v>
      </c>
      <c r="D7">
        <v>25.45</v>
      </c>
      <c r="E7">
        <v>22.55</v>
      </c>
      <c r="F7">
        <v>15</v>
      </c>
      <c r="G7">
        <v>47.01</v>
      </c>
      <c r="H7">
        <v>36.22</v>
      </c>
      <c r="I7">
        <v>-1.44</v>
      </c>
      <c r="J7">
        <v>0.04</v>
      </c>
      <c r="K7">
        <v>95</v>
      </c>
      <c r="L7">
        <f t="shared" si="0"/>
        <v>-0.7</v>
      </c>
      <c r="M7">
        <f t="shared" si="1"/>
        <v>0.97297297297297303</v>
      </c>
      <c r="N7">
        <f t="shared" si="2"/>
        <v>-0.68108108108108112</v>
      </c>
      <c r="O7">
        <f t="shared" si="3"/>
        <v>0.14149999999999999</v>
      </c>
      <c r="P7">
        <f t="shared" si="4"/>
        <v>0.37616485747608053</v>
      </c>
      <c r="Q7">
        <f t="shared" si="5"/>
        <v>0.36599823970645678</v>
      </c>
    </row>
    <row r="8" spans="1:17" x14ac:dyDescent="0.25">
      <c r="A8" t="s">
        <v>403</v>
      </c>
      <c r="B8">
        <v>-0.01</v>
      </c>
      <c r="C8">
        <v>13</v>
      </c>
      <c r="D8">
        <v>23</v>
      </c>
      <c r="E8">
        <v>10.199999999999999</v>
      </c>
      <c r="F8">
        <v>11</v>
      </c>
      <c r="G8">
        <v>23.1</v>
      </c>
      <c r="H8">
        <v>12.5</v>
      </c>
      <c r="I8">
        <v>-0.81</v>
      </c>
      <c r="J8">
        <v>0.79</v>
      </c>
      <c r="K8">
        <v>95</v>
      </c>
      <c r="L8">
        <f t="shared" si="0"/>
        <v>-0.01</v>
      </c>
      <c r="M8">
        <f t="shared" si="1"/>
        <v>0.96551724137931039</v>
      </c>
      <c r="N8">
        <f t="shared" si="2"/>
        <v>-9.655172413793104E-3</v>
      </c>
      <c r="O8">
        <f t="shared" si="3"/>
        <v>0.16783425116550119</v>
      </c>
      <c r="P8">
        <f t="shared" si="4"/>
        <v>0.4096757878682864</v>
      </c>
      <c r="Q8">
        <f t="shared" si="5"/>
        <v>0.39554903656248347</v>
      </c>
    </row>
  </sheetData>
  <pageMargins left="0.7" right="0.7" top="0.78740157499999996" bottom="0.78740157499999996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K2" sqref="K2:K7"/>
    </sheetView>
  </sheetViews>
  <sheetFormatPr defaultColWidth="11.42578125" defaultRowHeight="15" x14ac:dyDescent="0.25"/>
  <cols>
    <col min="1" max="1" width="19.140625" customWidth="1"/>
  </cols>
  <sheetData>
    <row r="1" spans="1:11" x14ac:dyDescent="0.25">
      <c r="A1" t="s">
        <v>11</v>
      </c>
      <c r="B1" t="s">
        <v>43</v>
      </c>
      <c r="C1" t="s">
        <v>426</v>
      </c>
      <c r="D1" t="s">
        <v>210</v>
      </c>
      <c r="E1" t="s">
        <v>13</v>
      </c>
      <c r="F1" t="s">
        <v>14</v>
      </c>
      <c r="G1" t="s">
        <v>46</v>
      </c>
      <c r="H1" t="s">
        <v>427</v>
      </c>
      <c r="I1" t="s">
        <v>428</v>
      </c>
      <c r="J1" t="s">
        <v>368</v>
      </c>
      <c r="K1" t="s">
        <v>369</v>
      </c>
    </row>
    <row r="2" spans="1:11" x14ac:dyDescent="0.25">
      <c r="A2" t="s">
        <v>429</v>
      </c>
      <c r="B2">
        <v>-0.39200000000000002</v>
      </c>
      <c r="C2">
        <v>0.41799999999999998</v>
      </c>
      <c r="D2">
        <v>0.17499999999999999</v>
      </c>
      <c r="E2">
        <v>-1.2110000000000001</v>
      </c>
      <c r="F2">
        <v>0.42699999999999999</v>
      </c>
      <c r="G2">
        <v>95</v>
      </c>
      <c r="H2">
        <v>-0.93899999999999995</v>
      </c>
      <c r="I2">
        <v>0.34799999999999998</v>
      </c>
      <c r="J2">
        <f>$B2</f>
        <v>-0.39200000000000002</v>
      </c>
      <c r="K2">
        <f>SQRT($D2)</f>
        <v>0.41833001326703778</v>
      </c>
    </row>
    <row r="3" spans="1:11" x14ac:dyDescent="0.25">
      <c r="A3" t="s">
        <v>430</v>
      </c>
      <c r="B3">
        <v>0.154</v>
      </c>
      <c r="C3">
        <v>0.31</v>
      </c>
      <c r="D3">
        <v>9.6000000000000002E-2</v>
      </c>
      <c r="E3">
        <v>-0.45400000000000001</v>
      </c>
      <c r="F3">
        <v>0.76300000000000001</v>
      </c>
      <c r="G3">
        <v>95</v>
      </c>
      <c r="H3">
        <v>0.497</v>
      </c>
      <c r="I3">
        <v>0.61899999999999999</v>
      </c>
      <c r="J3">
        <f t="shared" ref="J3:J7" si="0">$B3</f>
        <v>0.154</v>
      </c>
      <c r="K3">
        <f t="shared" ref="K3:K7" si="1">SQRT($D3)</f>
        <v>0.30983866769659335</v>
      </c>
    </row>
    <row r="4" spans="1:11" x14ac:dyDescent="0.25">
      <c r="A4" t="s">
        <v>431</v>
      </c>
      <c r="B4">
        <v>-0.161</v>
      </c>
      <c r="C4">
        <v>0.32700000000000001</v>
      </c>
      <c r="D4">
        <v>0.107</v>
      </c>
      <c r="E4">
        <v>-0.80300000000000005</v>
      </c>
      <c r="F4">
        <v>0.48099999999999998</v>
      </c>
      <c r="G4">
        <v>95</v>
      </c>
      <c r="H4">
        <v>-0.49199999999999999</v>
      </c>
      <c r="I4">
        <v>0.622</v>
      </c>
      <c r="J4">
        <f t="shared" si="0"/>
        <v>-0.161</v>
      </c>
      <c r="K4">
        <f t="shared" si="1"/>
        <v>0.32710854467592254</v>
      </c>
    </row>
    <row r="5" spans="1:11" x14ac:dyDescent="0.25">
      <c r="A5" t="s">
        <v>424</v>
      </c>
      <c r="B5">
        <v>-0.748</v>
      </c>
      <c r="C5">
        <v>0.30099999999999999</v>
      </c>
      <c r="D5">
        <v>0.09</v>
      </c>
      <c r="E5">
        <v>-1.3380000000000001</v>
      </c>
      <c r="F5">
        <v>-0.159</v>
      </c>
      <c r="G5">
        <v>95</v>
      </c>
      <c r="H5">
        <v>-2.4870000000000001</v>
      </c>
      <c r="I5">
        <v>1.2999999999999999E-2</v>
      </c>
      <c r="J5">
        <f t="shared" si="0"/>
        <v>-0.748</v>
      </c>
      <c r="K5">
        <f t="shared" si="1"/>
        <v>0.3</v>
      </c>
    </row>
    <row r="6" spans="1:11" x14ac:dyDescent="0.25">
      <c r="A6" t="s">
        <v>432</v>
      </c>
      <c r="B6">
        <v>0.222</v>
      </c>
      <c r="C6">
        <v>0.224</v>
      </c>
      <c r="D6">
        <v>0.05</v>
      </c>
      <c r="E6">
        <v>-0.217</v>
      </c>
      <c r="F6">
        <v>0.66</v>
      </c>
      <c r="G6">
        <v>95</v>
      </c>
      <c r="H6">
        <v>0.99</v>
      </c>
      <c r="I6">
        <v>0.32200000000000001</v>
      </c>
      <c r="J6">
        <f t="shared" si="0"/>
        <v>0.222</v>
      </c>
      <c r="K6">
        <f t="shared" si="1"/>
        <v>0.22360679774997896</v>
      </c>
    </row>
    <row r="7" spans="1:11" x14ac:dyDescent="0.25">
      <c r="A7" t="s">
        <v>425</v>
      </c>
      <c r="B7">
        <v>0.49</v>
      </c>
      <c r="C7">
        <v>0.42699999999999999</v>
      </c>
      <c r="D7">
        <v>0.183</v>
      </c>
      <c r="E7">
        <v>-0.34699999999999998</v>
      </c>
      <c r="F7">
        <v>1.327</v>
      </c>
      <c r="G7">
        <v>95</v>
      </c>
      <c r="H7">
        <v>1.147</v>
      </c>
      <c r="I7">
        <v>0.251</v>
      </c>
      <c r="J7">
        <f t="shared" si="0"/>
        <v>0.49</v>
      </c>
      <c r="K7">
        <f t="shared" si="1"/>
        <v>0.42778499272414877</v>
      </c>
    </row>
  </sheetData>
  <pageMargins left="0.7" right="0.7" top="0.78740157499999996" bottom="0.78740157499999996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ColWidth="11.42578125" defaultRowHeight="15" x14ac:dyDescent="0.25"/>
  <cols>
    <col min="1" max="1" width="25.140625" customWidth="1"/>
  </cols>
  <sheetData>
    <row r="1" spans="1:5" x14ac:dyDescent="0.25">
      <c r="B1" t="s">
        <v>441</v>
      </c>
      <c r="C1" t="s">
        <v>442</v>
      </c>
      <c r="D1" t="s">
        <v>368</v>
      </c>
      <c r="E1" t="s">
        <v>369</v>
      </c>
    </row>
    <row r="2" spans="1:5" x14ac:dyDescent="0.25">
      <c r="A2" t="s">
        <v>396</v>
      </c>
      <c r="B2">
        <v>-0.88</v>
      </c>
      <c r="C2">
        <v>0.28100000000000003</v>
      </c>
      <c r="D2">
        <f>$B2</f>
        <v>-0.88</v>
      </c>
      <c r="E2">
        <f>$C2</f>
        <v>0.28100000000000003</v>
      </c>
    </row>
    <row r="3" spans="1:5" x14ac:dyDescent="0.25">
      <c r="A3" t="s">
        <v>443</v>
      </c>
      <c r="B3">
        <v>-0.45</v>
      </c>
      <c r="C3">
        <v>0.31</v>
      </c>
      <c r="D3">
        <f t="shared" ref="D3:D12" si="0">$B3</f>
        <v>-0.45</v>
      </c>
      <c r="E3">
        <f t="shared" ref="E3:E12" si="1">$C3</f>
        <v>0.31</v>
      </c>
    </row>
    <row r="4" spans="1:5" x14ac:dyDescent="0.25">
      <c r="A4" t="s">
        <v>444</v>
      </c>
      <c r="B4">
        <v>-2.23</v>
      </c>
      <c r="C4">
        <v>0.55700000000000005</v>
      </c>
      <c r="D4">
        <f t="shared" si="0"/>
        <v>-2.23</v>
      </c>
      <c r="E4">
        <f t="shared" si="1"/>
        <v>0.55700000000000005</v>
      </c>
    </row>
    <row r="5" spans="1:5" x14ac:dyDescent="0.25">
      <c r="A5" t="s">
        <v>419</v>
      </c>
      <c r="B5">
        <v>-0.85</v>
      </c>
      <c r="C5">
        <v>0.32500000000000001</v>
      </c>
      <c r="D5">
        <f t="shared" si="0"/>
        <v>-0.85</v>
      </c>
      <c r="E5">
        <f t="shared" si="1"/>
        <v>0.32500000000000001</v>
      </c>
    </row>
    <row r="6" spans="1:5" x14ac:dyDescent="0.25">
      <c r="A6" t="s">
        <v>403</v>
      </c>
      <c r="B6">
        <v>-0.99</v>
      </c>
      <c r="C6">
        <v>0.36899999999999999</v>
      </c>
      <c r="D6">
        <f t="shared" si="0"/>
        <v>-0.99</v>
      </c>
      <c r="E6">
        <f t="shared" si="1"/>
        <v>0.36899999999999999</v>
      </c>
    </row>
    <row r="7" spans="1:5" x14ac:dyDescent="0.25">
      <c r="A7" t="s">
        <v>423</v>
      </c>
      <c r="B7">
        <v>-0.46</v>
      </c>
      <c r="C7">
        <v>0.41099999999999998</v>
      </c>
      <c r="D7">
        <f t="shared" si="0"/>
        <v>-0.46</v>
      </c>
      <c r="E7">
        <f t="shared" si="1"/>
        <v>0.41099999999999998</v>
      </c>
    </row>
    <row r="8" spans="1:5" x14ac:dyDescent="0.25">
      <c r="A8" t="s">
        <v>433</v>
      </c>
      <c r="B8">
        <v>-1.38</v>
      </c>
      <c r="C8">
        <v>0.52600000000000002</v>
      </c>
      <c r="D8">
        <f t="shared" si="0"/>
        <v>-1.38</v>
      </c>
      <c r="E8">
        <f t="shared" si="1"/>
        <v>0.52600000000000002</v>
      </c>
    </row>
    <row r="9" spans="1:5" x14ac:dyDescent="0.25">
      <c r="A9" t="s">
        <v>445</v>
      </c>
      <c r="B9">
        <v>-0.12</v>
      </c>
      <c r="C9">
        <v>0.41899999999999998</v>
      </c>
      <c r="D9">
        <f t="shared" si="0"/>
        <v>-0.12</v>
      </c>
      <c r="E9">
        <f t="shared" si="1"/>
        <v>0.41899999999999998</v>
      </c>
    </row>
    <row r="10" spans="1:5" x14ac:dyDescent="0.25">
      <c r="A10" t="s">
        <v>446</v>
      </c>
      <c r="B10">
        <v>-0.05</v>
      </c>
      <c r="C10">
        <v>0.41899999999999998</v>
      </c>
      <c r="D10">
        <f t="shared" si="0"/>
        <v>-0.05</v>
      </c>
      <c r="E10">
        <f t="shared" si="1"/>
        <v>0.41899999999999998</v>
      </c>
    </row>
    <row r="11" spans="1:5" x14ac:dyDescent="0.25">
      <c r="A11" t="s">
        <v>447</v>
      </c>
      <c r="B11">
        <v>-0.75</v>
      </c>
      <c r="C11">
        <v>0.27100000000000002</v>
      </c>
      <c r="D11">
        <f t="shared" si="0"/>
        <v>-0.75</v>
      </c>
      <c r="E11">
        <f t="shared" si="1"/>
        <v>0.27100000000000002</v>
      </c>
    </row>
    <row r="12" spans="1:5" x14ac:dyDescent="0.25">
      <c r="A12" t="s">
        <v>448</v>
      </c>
      <c r="B12">
        <v>-0.28999999999999998</v>
      </c>
      <c r="C12">
        <v>0.21099999999999999</v>
      </c>
      <c r="D12">
        <f t="shared" si="0"/>
        <v>-0.28999999999999998</v>
      </c>
      <c r="E12">
        <f t="shared" si="1"/>
        <v>0.21099999999999999</v>
      </c>
    </row>
  </sheetData>
  <pageMargins left="0.7" right="0.7" top="0.78740157499999996" bottom="0.78740157499999996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K2" sqref="K2:K8"/>
    </sheetView>
  </sheetViews>
  <sheetFormatPr defaultColWidth="11.42578125" defaultRowHeight="15" x14ac:dyDescent="0.25"/>
  <sheetData>
    <row r="1" spans="1:11" x14ac:dyDescent="0.25">
      <c r="A1" t="s">
        <v>11</v>
      </c>
      <c r="B1" t="s">
        <v>434</v>
      </c>
      <c r="C1" t="s">
        <v>435</v>
      </c>
      <c r="D1" t="s">
        <v>210</v>
      </c>
      <c r="E1" t="s">
        <v>13</v>
      </c>
      <c r="F1" t="s">
        <v>14</v>
      </c>
      <c r="G1" t="s">
        <v>46</v>
      </c>
      <c r="H1" t="s">
        <v>427</v>
      </c>
      <c r="I1" t="s">
        <v>428</v>
      </c>
      <c r="J1" t="s">
        <v>368</v>
      </c>
      <c r="K1" t="s">
        <v>369</v>
      </c>
    </row>
    <row r="2" spans="1:11" x14ac:dyDescent="0.25">
      <c r="A2" t="s">
        <v>436</v>
      </c>
      <c r="B2">
        <v>1.4490000000000001</v>
      </c>
      <c r="C2">
        <v>0.30599999999999999</v>
      </c>
      <c r="D2">
        <v>9.4E-2</v>
      </c>
      <c r="E2">
        <v>0.84799999999999998</v>
      </c>
      <c r="F2">
        <v>2.0489999999999999</v>
      </c>
      <c r="G2">
        <v>95</v>
      </c>
      <c r="H2">
        <v>4.7290000000000001</v>
      </c>
      <c r="I2">
        <v>0</v>
      </c>
      <c r="J2">
        <f>$B2</f>
        <v>1.4490000000000001</v>
      </c>
      <c r="K2">
        <f>SQRT($D2)</f>
        <v>0.30659419433511781</v>
      </c>
    </row>
    <row r="3" spans="1:11" x14ac:dyDescent="0.25">
      <c r="A3" t="s">
        <v>203</v>
      </c>
      <c r="B3">
        <v>2.4620000000000002</v>
      </c>
      <c r="C3">
        <v>0.42699999999999999</v>
      </c>
      <c r="D3">
        <v>0.183</v>
      </c>
      <c r="E3">
        <v>1.625</v>
      </c>
      <c r="F3">
        <v>3.3</v>
      </c>
      <c r="G3">
        <v>95</v>
      </c>
      <c r="H3">
        <v>5.76</v>
      </c>
      <c r="I3">
        <v>0</v>
      </c>
      <c r="J3">
        <f t="shared" ref="J3:J8" si="0">$B3</f>
        <v>2.4620000000000002</v>
      </c>
      <c r="K3">
        <f t="shared" ref="K3:K8" si="1">SQRT($D3)</f>
        <v>0.42778499272414877</v>
      </c>
    </row>
    <row r="4" spans="1:11" x14ac:dyDescent="0.25">
      <c r="A4" t="s">
        <v>91</v>
      </c>
      <c r="B4">
        <v>2.5049999999999999</v>
      </c>
      <c r="C4">
        <v>0.499</v>
      </c>
      <c r="D4">
        <v>0.249</v>
      </c>
      <c r="E4">
        <v>1.5269999999999999</v>
      </c>
      <c r="F4">
        <v>3.4830000000000001</v>
      </c>
      <c r="G4">
        <v>95</v>
      </c>
      <c r="H4">
        <v>5.0209999999999999</v>
      </c>
      <c r="I4">
        <v>0</v>
      </c>
      <c r="J4">
        <f t="shared" si="0"/>
        <v>2.5049999999999999</v>
      </c>
      <c r="K4">
        <f t="shared" si="1"/>
        <v>0.49899899799498598</v>
      </c>
    </row>
    <row r="5" spans="1:11" x14ac:dyDescent="0.25">
      <c r="A5" t="s">
        <v>437</v>
      </c>
      <c r="B5">
        <v>2.0659999999999998</v>
      </c>
      <c r="C5">
        <v>0.34599999999999997</v>
      </c>
      <c r="D5">
        <v>0.12</v>
      </c>
      <c r="E5">
        <v>1.3879999999999999</v>
      </c>
      <c r="F5">
        <v>2.7440000000000002</v>
      </c>
      <c r="G5">
        <v>95</v>
      </c>
      <c r="H5">
        <v>5.9710000000000001</v>
      </c>
      <c r="I5">
        <v>0</v>
      </c>
      <c r="J5">
        <f t="shared" si="0"/>
        <v>2.0659999999999998</v>
      </c>
      <c r="K5">
        <f t="shared" si="1"/>
        <v>0.34641016151377546</v>
      </c>
    </row>
    <row r="6" spans="1:11" x14ac:dyDescent="0.25">
      <c r="A6" t="s">
        <v>438</v>
      </c>
      <c r="B6">
        <v>1.4630000000000001</v>
      </c>
      <c r="C6">
        <v>0.28599999999999998</v>
      </c>
      <c r="D6">
        <v>8.2000000000000003E-2</v>
      </c>
      <c r="E6">
        <v>0.90100000000000002</v>
      </c>
      <c r="F6">
        <v>2.024</v>
      </c>
      <c r="G6">
        <v>95</v>
      </c>
      <c r="H6">
        <v>5.1070000000000002</v>
      </c>
      <c r="I6">
        <v>0</v>
      </c>
      <c r="J6">
        <f t="shared" si="0"/>
        <v>1.4630000000000001</v>
      </c>
      <c r="K6">
        <f t="shared" si="1"/>
        <v>0.28635642126552707</v>
      </c>
    </row>
    <row r="7" spans="1:11" x14ac:dyDescent="0.25">
      <c r="A7" t="s">
        <v>439</v>
      </c>
      <c r="B7">
        <v>1.915</v>
      </c>
      <c r="C7">
        <v>0.441</v>
      </c>
      <c r="D7">
        <v>0.19500000000000001</v>
      </c>
      <c r="E7">
        <v>1.05</v>
      </c>
      <c r="F7">
        <v>2.7789999999999999</v>
      </c>
      <c r="G7">
        <v>95</v>
      </c>
      <c r="H7">
        <v>4.34</v>
      </c>
      <c r="I7">
        <v>0</v>
      </c>
      <c r="J7">
        <f t="shared" si="0"/>
        <v>1.915</v>
      </c>
      <c r="K7">
        <f t="shared" si="1"/>
        <v>0.44158804331639234</v>
      </c>
    </row>
    <row r="8" spans="1:11" x14ac:dyDescent="0.25">
      <c r="A8" t="s">
        <v>440</v>
      </c>
      <c r="B8">
        <v>1.724</v>
      </c>
      <c r="C8">
        <v>0.45800000000000002</v>
      </c>
      <c r="D8">
        <v>0.21</v>
      </c>
      <c r="E8">
        <v>0.82699999999999996</v>
      </c>
      <c r="F8">
        <v>2.621</v>
      </c>
      <c r="G8">
        <v>95</v>
      </c>
      <c r="H8">
        <v>3.7650000000000001</v>
      </c>
      <c r="I8">
        <v>0</v>
      </c>
      <c r="J8">
        <f t="shared" si="0"/>
        <v>1.724</v>
      </c>
      <c r="K8">
        <f t="shared" si="1"/>
        <v>0.45825756949558399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1 ACPMH13 TFCBT vs WL PTSD sev</vt:lpstr>
      <vt:lpstr>2 ACPMH13 TFCBT vs WL PTSD diag</vt:lpstr>
      <vt:lpstr>3 ACPMH13 TFCBT WL PTSD severIT</vt:lpstr>
      <vt:lpstr>4 ACPMH13 TFCBT vs WL depresITT</vt:lpstr>
      <vt:lpstr>5 ACPMH13 TFCBT WL anxieITT</vt:lpstr>
      <vt:lpstr>6 ACPMH13 TFCBT WL attritionITT</vt:lpstr>
      <vt:lpstr>7 ACPMH13 TFCBT WL PTSD sevMVA </vt:lpstr>
      <vt:lpstr>8 ACPMH13 TFCBT TAU PTSD sev FU</vt:lpstr>
      <vt:lpstr>9 ACPMH13 TFCBT TAU depression</vt:lpstr>
      <vt:lpstr>10 ACPMH13 TFCBT tAU attrition</vt:lpstr>
      <vt:lpstr>11 ACPMH13 TFCBT stressman depr</vt:lpstr>
      <vt:lpstr>12 ACPMH13 TFCBT stressman anxi</vt:lpstr>
      <vt:lpstr>13 ACPMH13 TFCBT stressman attr</vt:lpstr>
      <vt:lpstr>14 Bisson07 TFCBT WLTAU attriti</vt:lpstr>
      <vt:lpstr>15 Bisson07 EMDR WLTAU attritio</vt:lpstr>
      <vt:lpstr>16 Bisson07 EMDR TFCBT attritio</vt:lpstr>
      <vt:lpstr>17 Bisson13 TFCBT WL attrition</vt:lpstr>
      <vt:lpstr>18 Bisson13 TFCBT nonTFCBT attr</vt:lpstr>
      <vt:lpstr>19 Bisson13 TFCBT nonTFCBT depr</vt:lpstr>
      <vt:lpstr>20 Bisson13 TFCBT nonTFCBT PTSD</vt:lpstr>
      <vt:lpstr>21 Bisson13 TFCBT other attriti</vt:lpstr>
      <vt:lpstr>22 Bisson13 TFCBT other depres </vt:lpstr>
      <vt:lpstr>23 Bisson13 TFCBT other th PTSD</vt:lpstr>
      <vt:lpstr>24 Bisson13 EMDR WL attrition</vt:lpstr>
      <vt:lpstr>25 Bisson13 EMDR WL depression</vt:lpstr>
      <vt:lpstr>26 Bisson13 EMDR WL anxiety</vt:lpstr>
      <vt:lpstr>27 Bisson13 EMDR TFCBT attritio</vt:lpstr>
      <vt:lpstr>28 Bisson13 EMDR TFCBT PTSD</vt:lpstr>
      <vt:lpstr>29 Bisson13 groupTFCBT WL attri</vt:lpstr>
      <vt:lpstr>30 Casement12 nightmare within</vt:lpstr>
      <vt:lpstr>31 Casement12 PTSD within</vt:lpstr>
      <vt:lpstr>32 Chen14 equival entdepression</vt:lpstr>
      <vt:lpstr>33 Chen14 adult depression</vt:lpstr>
      <vt:lpstr>34 Chen14 equivalent anxiety</vt:lpstr>
      <vt:lpstr>35 Chen14 equivalent subj distr</vt:lpstr>
      <vt:lpstr>36 Chen14 less60min PTSD</vt:lpstr>
      <vt:lpstr>37 Chen14 equivalent PTSD</vt:lpstr>
      <vt:lpstr>38 Chen14 manual depression</vt:lpstr>
      <vt:lpstr>39 Chen14 less60min Depression</vt:lpstr>
      <vt:lpstr>40 Chen14 less60min anxiety</vt:lpstr>
      <vt:lpstr>41 Chen15 intrusion</vt:lpstr>
      <vt:lpstr>42 Chen15 sensitivity PTSD 3 re</vt:lpstr>
      <vt:lpstr>43 Diehle14 CR+EX EX post</vt:lpstr>
      <vt:lpstr>44 Diehle14 CR+EX EX followup</vt:lpstr>
      <vt:lpstr>45 DiMauro14 ET VRET post</vt:lpstr>
      <vt:lpstr>46 Dorrepaal14 allcond PTSD com</vt:lpstr>
      <vt:lpstr>47 Dorrepaal14 allcond PTSD ITT</vt:lpstr>
      <vt:lpstr>48 Dorrepaal14 CBT PTSD complet</vt:lpstr>
      <vt:lpstr>49 Dorrepaal14 CBT PTSD ITT</vt:lpstr>
      <vt:lpstr>50 Dorrepaal14 allcond PTSD com</vt:lpstr>
      <vt:lpstr>51 Dorrepaal14 allcond PTSD ITT</vt:lpstr>
      <vt:lpstr>52 Dorrepaal14 CBT PTSD compl c</vt:lpstr>
      <vt:lpstr>53 Dorrepaal14 CBT PTSD compl I</vt:lpstr>
      <vt:lpstr>54 Gerger14 PTSD complex</vt:lpstr>
      <vt:lpstr>55 Gerger14 PTSD noncomplex</vt:lpstr>
      <vt:lpstr>56 Gerger14 PTSD credibility</vt:lpstr>
      <vt:lpstr>57 Gerger14 PTSD equivalence</vt:lpstr>
      <vt:lpstr>58 Gerger14 PTSD equi+complex</vt:lpstr>
      <vt:lpstr>59 Gerger14 PTSD outliers exclu</vt:lpstr>
      <vt:lpstr>60 Gerger14 PTSD outl excl+comp</vt:lpstr>
      <vt:lpstr>61 Gerger14PTSD noncompl within</vt:lpstr>
      <vt:lpstr>63 Ho12 PTSD</vt:lpstr>
      <vt:lpstr>64 Hofmann08 PTSD</vt:lpstr>
      <vt:lpstr>65 Imel13 dropout PE otheractiv</vt:lpstr>
      <vt:lpstr>66 Imel13 dropout TFT neutralav</vt:lpstr>
      <vt:lpstr>67 Jonas13 Exposure WLTAU PTSD</vt:lpstr>
      <vt:lpstr>68 Jonas13 Expo WLTAU PTSD sen </vt:lpstr>
      <vt:lpstr>69 Jonas13 Expo WL PTSD sensiti</vt:lpstr>
      <vt:lpstr>70 Jonas13 Expo WLTAU CAPS sens</vt:lpstr>
      <vt:lpstr>71 Jonas13 Expo WL CAPS</vt:lpstr>
      <vt:lpstr>72 Jonas13 Expo WLTAU BDI</vt:lpstr>
      <vt:lpstr>73 Jonas13 Expo WLTAU BDIsensit</vt:lpstr>
      <vt:lpstr>74 Jonas13 Expo WL BDI sensitiv</vt:lpstr>
      <vt:lpstr>75 Jonas13 Expo WLTAUPCT BDI 1</vt:lpstr>
      <vt:lpstr>76 Jonas13 Expo WLTAUPCT BDI 2</vt:lpstr>
      <vt:lpstr>77 Kehle-Forbes13 dropout post</vt:lpstr>
      <vt:lpstr>78 Lambert14 depression</vt:lpstr>
      <vt:lpstr>79 Nenova13 intrusion</vt:lpstr>
      <vt:lpstr>80 Nenova13 avoidance</vt:lpstr>
      <vt:lpstr>81 Peleikis05 traumasymptoms</vt:lpstr>
      <vt:lpstr>82 Seidler06 depression post</vt:lpstr>
      <vt:lpstr>83 Seidler06 depression followu</vt:lpstr>
      <vt:lpstr>84 Sherman98 mixedoutcomes pos </vt:lpstr>
      <vt:lpstr>85 Sherman98 mixedoutc followu </vt:lpstr>
      <vt:lpstr>86 Sloan13 group anycontrol PTS</vt:lpstr>
      <vt:lpstr>87 Sloan13 group WL PTSD</vt:lpstr>
      <vt:lpstr>88 Sloan13 group active CG PTSD</vt:lpstr>
      <vt:lpstr>89 Taylor09 7-9sessions</vt:lpstr>
      <vt:lpstr>90 Taylor09 practitioner</vt:lpstr>
      <vt:lpstr>91 Taylor09 individual th withi</vt:lpstr>
      <vt:lpstr>92 Taylor09 maincontact within</vt:lpstr>
      <vt:lpstr>93 Tol11 PTSD</vt:lpstr>
      <vt:lpstr>94 Torchalla12</vt:lpstr>
      <vt:lpstr>97 Bisson13 TFCT anxiety post</vt:lpstr>
      <vt:lpstr>98 Bisson13 TFCBT PTSDclinic </vt:lpstr>
      <vt:lpstr>103 Powers10 PEvsActivePTSD pos</vt:lpstr>
      <vt:lpstr>105 Gerger14 structural equival</vt:lpstr>
      <vt:lpstr>106 EhringTFT PTSD symptoms FU1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Niemeyer</dc:creator>
  <cp:lastModifiedBy>R.C.M. van Aert</cp:lastModifiedBy>
  <dcterms:created xsi:type="dcterms:W3CDTF">2015-12-30T17:57:25Z</dcterms:created>
  <dcterms:modified xsi:type="dcterms:W3CDTF">2019-04-15T11:27:46Z</dcterms:modified>
</cp:coreProperties>
</file>