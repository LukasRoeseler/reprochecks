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defaultThemeVersion="166925"/>
  <mc:AlternateContent xmlns:mc="http://schemas.openxmlformats.org/markup-compatibility/2006">
    <mc:Choice Requires="x15">
      <x15ac:absPath xmlns:x15ac="http://schemas.microsoft.com/office/spreadsheetml/2010/11/ac" url="/Users/almichal/Documents/ScientificReasoning/EffectSizeStudy/"/>
    </mc:Choice>
  </mc:AlternateContent>
  <xr:revisionPtr revIDLastSave="0" documentId="8_{B44A8609-749D-5946-978C-BF5A32E67D38}" xr6:coauthVersionLast="36" xr6:coauthVersionMax="36" xr10:uidLastSave="{00000000-0000-0000-0000-000000000000}"/>
  <bookViews>
    <workbookView xWindow="1480" yWindow="460" windowWidth="24840" windowHeight="18160" activeTab="3" xr2:uid="{00000000-000D-0000-FFFF-FFFF00000000}"/>
  </bookViews>
  <sheets>
    <sheet name="Effect+Size+Snack+Bar_April+14," sheetId="1" r:id="rId1"/>
    <sheet name="Pivot" sheetId="4" r:id="rId2"/>
    <sheet name="EndorseData" sheetId="2" r:id="rId3"/>
    <sheet name="Coding" sheetId="5" r:id="rId4"/>
    <sheet name="Numeracy" sheetId="3" r:id="rId5"/>
  </sheets>
  <calcPr calcId="181029"/>
  <pivotCaches>
    <pivotCache cacheId="11" r:id="rId6"/>
  </pivotCaches>
  <fileRecoveryPr repairLoad="1"/>
</workbook>
</file>

<file path=xl/calcChain.xml><?xml version="1.0" encoding="utf-8"?>
<calcChain xmlns="http://schemas.openxmlformats.org/spreadsheetml/2006/main">
  <c r="V405" i="5" l="1"/>
  <c r="V404" i="5"/>
  <c r="S404" i="5"/>
  <c r="T404" i="5"/>
  <c r="U404" i="5"/>
  <c r="R404" i="5"/>
  <c r="H404" i="5" l="1"/>
  <c r="H403"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2" i="5"/>
  <c r="J13" i="4"/>
  <c r="J12" i="4"/>
  <c r="L406" i="2"/>
  <c r="L405" i="2"/>
  <c r="L404" i="2"/>
  <c r="L403" i="2"/>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30" i="3"/>
  <c r="R331" i="3"/>
  <c r="R332" i="3"/>
  <c r="R333" i="3"/>
  <c r="R334" i="3"/>
  <c r="R335" i="3"/>
  <c r="R336" i="3"/>
  <c r="R337" i="3"/>
  <c r="R338" i="3"/>
  <c r="R339" i="3"/>
  <c r="R340" i="3"/>
  <c r="R341" i="3"/>
  <c r="R342"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2"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7" i="3"/>
  <c r="Q8" i="3"/>
  <c r="Q9" i="3"/>
  <c r="Q10" i="3"/>
  <c r="Q11" i="3"/>
  <c r="Q12" i="3"/>
  <c r="Q13" i="3"/>
  <c r="Q6" i="3"/>
  <c r="Q3" i="3"/>
  <c r="Q4" i="3"/>
  <c r="Q5" i="3"/>
  <c r="Q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2"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115" i="3"/>
  <c r="K114" i="3"/>
  <c r="K113" i="3"/>
  <c r="K112" i="3"/>
  <c r="K111" i="3"/>
  <c r="K110" i="3"/>
  <c r="K109"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2" i="3"/>
  <c r="K116" i="3"/>
</calcChain>
</file>

<file path=xl/sharedStrings.xml><?xml version="1.0" encoding="utf-8"?>
<sst xmlns="http://schemas.openxmlformats.org/spreadsheetml/2006/main" count="7091" uniqueCount="2016">
  <si>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</si>
  <si>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</si>
  <si>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</si>
  <si>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</si>
  <si>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</si>
  <si>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</si>
  <si>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</si>
  <si>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</si>
  <si>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</si>
  <si>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</si>
  <si>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</si>
  <si>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</si>
  <si>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</si>
  <si>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</si>
  <si>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</si>
  <si>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</si>
  <si>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</si>
  <si>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Q13</t>
  </si>
  <si>
    <t>Q12</t>
  </si>
  <si>
    <t>Q1_11</t>
  </si>
  <si>
    <t>Q10</t>
  </si>
  <si>
    <t>Q26</t>
  </si>
  <si>
    <t>Q2_1</t>
  </si>
  <si>
    <t>Q14</t>
  </si>
  <si>
    <t>Q27</t>
  </si>
  <si>
    <t>Q28</t>
  </si>
  <si>
    <t>Q29</t>
  </si>
  <si>
    <t>Q30</t>
  </si>
  <si>
    <t>Q31</t>
  </si>
  <si>
    <t>Q17</t>
  </si>
  <si>
    <t>Q18</t>
  </si>
  <si>
    <t>Q19</t>
  </si>
  <si>
    <t>Q20</t>
  </si>
  <si>
    <t>Q21</t>
  </si>
  <si>
    <t>Q22</t>
  </si>
  <si>
    <t>Q23</t>
  </si>
  <si>
    <t>Q24</t>
  </si>
  <si>
    <t>PROLIFIC_PID</t>
  </si>
  <si>
    <t>FL_6_DO</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</si>
  <si>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</si>
  <si>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</si>
  <si>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</si>
  <si>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</si>
  <si>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</si>
  <si>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</si>
  <si>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</si>
  <si>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</si>
  <si>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</si>
  <si>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</si>
  <si>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</si>
  <si>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</si>
  <si>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</si>
  <si>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</si>
  <si>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What is your Prolific ID?
Please note that this response should auto-fill with the correct ID</t>
  </si>
  <si>
    <t>Please indicate whether you consent to participate in this study:</t>
  </si>
  <si>
    <t>On a scale from 0 (Not at all) to 100 (Very much), to what extent do you think the improvement in mental alertness from eating cara berry energy bars is worth the additional cost? - Response</t>
  </si>
  <si>
    <t>What amount of improvement in mental alertness from eating cara berry energy bars would make these bars worth the added cost (if any)? For example, going from an average mental alertness rating of 1.0 to 2.0 by the end of the week would be an improvement of 1 point in mental alertness.</t>
  </si>
  <si>
    <t>What amount of improvement in mental alertness from eating cara berry energy bars would make these bars NOT worth the added cost (if any)? For example, going from an average mental alertness rating of 1.0 to 2.0 by the end of the week would be an improvement of 1 point in mental alertness.</t>
  </si>
  <si>
    <t>Based on the article, on a scale from 0 (Very Unlikely) to 100 (Very Likely), what is the likelihood that you would purchase cara berry energy bars to improve your own mental alertness? - Response</t>
  </si>
  <si>
    <t>Please explain your response: why would/wouldn't you purchase cara berry energy bars to improve your own mental alertness?</t>
  </si>
  <si>
    <t>If you had to guess, how much of an improvement in overall mental alertness did the participants who ate cara berry energy bars show? For example, going from an average mental alertness rating of 1.0 to 2.0 by the end of the week would be an improvement of 1 point in mental alertness.</t>
  </si>
  <si>
    <t>1) Imagine that we roll a fair, six-sided die 1000 times. Out of 1000 rolls, how many times do you think the die would come up as an even number (2, 4 or 6)?</t>
  </si>
  <si>
    <t>2) In the BIG BUCKS LOTTERY, the chances of winning a $10.00 prize are 1%. What is your best guess about how many people would win a $10.00 prize if 1000 people each buy a single ticket from BIG BUCKS?</t>
  </si>
  <si>
    <t>3) In the ACME PUBLISHING SWEEPSTAKES, the chance of winning a car is 1 in 1,000. What percent of tickets to ACME PUBLISHING SWEEPSTAKES win a car?</t>
  </si>
  <si>
    <t>4) If the chance of getting a disease is 20 out of 100, this would be the same as having a ____% chance of getting the disease.</t>
  </si>
  <si>
    <t>5) If the chance of getting a disease is 10%, how many people would be expected to get the disease out of 1000?</t>
  </si>
  <si>
    <t>6) Suppose you have a close friend who has a lump in her breast and must have a mammogram. Of 100 women like her, 10 of them actually have a malignant tumor and 90 of them do not. Of the 10 women who actually have a tumor, the mammogram indicates correctly that 9 of them have a tumor and indicates incorrectly that 1 of them does not. Of the 90 women who do not have a tumor, the mammogram indicates correctly that 81 of them do not have a tumor and indicates incorrectly that 9 of them do have a tumor. The table below summarizes all of this information. Imagine that your friend tests positive (as if she had a tumor), what is the likelihood that she actually has a tumor?</t>
  </si>
  <si>
    <t>7) A bat and a ball cost $1.10 in total. The bat costs $1.00 more than the ball. How much does the ball cost?</t>
  </si>
  <si>
    <t>8) If it takes five machines 5 minutes to make five widgets, how long would it take 100 machines to make 100 widgets?</t>
  </si>
  <si>
    <t>FL_6 - Block Randomizer - Display Order</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</si>
  <si>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</si>
  <si>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</si>
  <si>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</si>
  <si>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</si>
  <si>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</si>
  <si>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</si>
  <si>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</si>
  <si>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</si>
  <si>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</si>
  <si>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</si>
  <si>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</si>
  <si>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</si>
  <si>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</si>
  <si>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</si>
  <si>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</si>
  <si>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</si>
  <si>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</si>
  <si>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{"ImportId":"QID17_TEXT"}</t>
  </si>
  <si>
    <t>{"ImportId":"QID16"}</t>
  </si>
  <si>
    <t>{"ImportId":"QID4_11"}</t>
  </si>
  <si>
    <t>{"ImportId":"QID14_TEXT"}</t>
  </si>
  <si>
    <t>{"ImportId":"QID30_TEXT"}</t>
  </si>
  <si>
    <t>{"ImportId":"QID5_1"}</t>
  </si>
  <si>
    <t>{"ImportId":"QID18_TEXT"}</t>
  </si>
  <si>
    <t>{"ImportId":"QID31_TEXT"}</t>
  </si>
  <si>
    <t>{"ImportId":"QID32_TEXT"}</t>
  </si>
  <si>
    <t>{"ImportId":"QID33_TEXT"}</t>
  </si>
  <si>
    <t>{"ImportId":"QID34_TEXT"}</t>
  </si>
  <si>
    <t>{"ImportId":"QID35_TEXT"}</t>
  </si>
  <si>
    <t>{"ImportId":"QID21_TEXT"}</t>
  </si>
  <si>
    <t>{"ImportId":"QID22_TEXT"}</t>
  </si>
  <si>
    <t>{"ImportId":"QID23_TEXT"}</t>
  </si>
  <si>
    <t>{"ImportId":"QID24_TEXT"}</t>
  </si>
  <si>
    <t>{"ImportId":"QID25_TEXT"}</t>
  </si>
  <si>
    <t>{"ImportId":"QID26_TEXT"}</t>
  </si>
  <si>
    <t>{"ImportId":"QID27_TEXT"}</t>
  </si>
  <si>
    <t>{"ImportId":"QID28_TEXT"}</t>
  </si>
  <si>
    <t>{"ImportId":"PROLIFIC_PID"}</t>
  </si>
  <si>
    <t>{"ImportId":"FL_6_DO"}</t>
  </si>
  <si>
    <t>131.239.168.228</t>
  </si>
  <si>
    <t>R_30tM2PF2P4gNzhf</t>
  </si>
  <si>
    <t>anonymous</t>
  </si>
  <si>
    <t>EN</t>
  </si>
  <si>
    <t>5e2a39c9eb557a09b3681869</t>
  </si>
  <si>
    <t>Yes I consent</t>
  </si>
  <si>
    <t xml:space="preserve">I would like to see an improvement in my mental health and energy. </t>
  </si>
  <si>
    <t xml:space="preserve">5 points </t>
  </si>
  <si>
    <t>NoEffectSize</t>
  </si>
  <si>
    <t>172.58.175.131</t>
  </si>
  <si>
    <t>R_1mlqnVsq4yffSpy</t>
  </si>
  <si>
    <t>5cd50ea807cf630017c91408</t>
  </si>
  <si>
    <t>There isn't enough scientific evidence or research to justify the increased price for cara berry bars.</t>
  </si>
  <si>
    <t xml:space="preserve">1 minute </t>
  </si>
  <si>
    <t>SmallEffectWithPrompt</t>
  </si>
  <si>
    <t>68.174.164.115</t>
  </si>
  <si>
    <t>R_30knLiPyczOQX4z</t>
  </si>
  <si>
    <t>59a1ddac5dfd6b000152601f</t>
  </si>
  <si>
    <t xml:space="preserve">Due to the study saying that cara bars helped people's mental alertness, I would purchase cara berry energy bars because of it. </t>
  </si>
  <si>
    <t>LargeEffectNoPrompt</t>
  </si>
  <si>
    <t>70.131.190.143</t>
  </si>
  <si>
    <t>R_8CVjcggglLfTFy9</t>
  </si>
  <si>
    <t>61002d0b8920b51da825d9d3</t>
  </si>
  <si>
    <t>The amount of energy for the cost is not worth it to me. I would continue to purchase regular energy bars for the effectiveness and cost</t>
  </si>
  <si>
    <t>doubled... so 3</t>
  </si>
  <si>
    <t>5 cents</t>
  </si>
  <si>
    <t>SmallEffectNoPrompt</t>
  </si>
  <si>
    <t>166.205.97.95</t>
  </si>
  <si>
    <t>R_3OoxpLQ4IkVDqSB</t>
  </si>
  <si>
    <t>5d69ac222b85a000015e352f</t>
  </si>
  <si>
    <t xml:space="preserve">I would try it but there wasn‚Äôt a big difference in the findings with or with out the cara berries </t>
  </si>
  <si>
    <t>68.100.12.22</t>
  </si>
  <si>
    <t>R_2WYXVimBhX8MNAx</t>
  </si>
  <si>
    <t>63efe955e83d913272b0e001</t>
  </si>
  <si>
    <t>I don't usually eat any sort of energy bars because their composition upsets my stomach. I would try it once and see how it affects me though.</t>
  </si>
  <si>
    <t>76.174.209.157</t>
  </si>
  <si>
    <t>R_1pVFrEJPDlYL0bO</t>
  </si>
  <si>
    <t>63d85a6f35b4cc68d42871ad</t>
  </si>
  <si>
    <t>If the price is unreasonable then I wouldn't purchase them even if it does help me.</t>
  </si>
  <si>
    <t xml:space="preserve">100 minutes </t>
  </si>
  <si>
    <t>67.2.24.147</t>
  </si>
  <si>
    <t>R_r71lHFHl0OqLUSB</t>
  </si>
  <si>
    <t>60fd0638ea398c6e93d6ba62</t>
  </si>
  <si>
    <t xml:space="preserve">i would bc i have no energy </t>
  </si>
  <si>
    <t>174.197.199.38</t>
  </si>
  <si>
    <t>R_1Isci8L2yDfkiD1</t>
  </si>
  <si>
    <t>5ffe0190da4de042f570af45</t>
  </si>
  <si>
    <t>If I was hungry and needed some energy as well, I might consider giving the Cara berry energy bar a shot to see how well it works. But normally when I am in need of mental alertness I would go for a cup of coffee.</t>
  </si>
  <si>
    <t>Around 500 times on average</t>
  </si>
  <si>
    <t>Ten people</t>
  </si>
  <si>
    <t>5 minutes</t>
  </si>
  <si>
    <t>172.56.113.75</t>
  </si>
  <si>
    <t>R_3MmJ6DlvM90Jt9h</t>
  </si>
  <si>
    <t>5ffff3ac6fc9001772ea3312</t>
  </si>
  <si>
    <t>Because they are more expensive and the increase was not nearly a large enough amount to warrant spending that much more in my opinion.</t>
  </si>
  <si>
    <t>100 minutes</t>
  </si>
  <si>
    <t>24.246.174.165</t>
  </si>
  <si>
    <t>R_tJKPChFKaHpxXRn</t>
  </si>
  <si>
    <t>582879857e8aef000152fba4</t>
  </si>
  <si>
    <t>The increase is not significant and should not cost more.  If they were the same price, I would go with them.</t>
  </si>
  <si>
    <t>76.21.117.137</t>
  </si>
  <si>
    <t>R_2SBHeUvNY8HBSRe</t>
  </si>
  <si>
    <t>5d5e40443394c50016d300ed</t>
  </si>
  <si>
    <t>Seems like it's very effective to increase your wellnesss being compare to the price</t>
  </si>
  <si>
    <t>1 point increase or less</t>
  </si>
  <si>
    <t>107.119.65.11</t>
  </si>
  <si>
    <t>R_xGgY19scqOL0uEF</t>
  </si>
  <si>
    <t>5c6c90bcf4dc2c0001e8d6d1</t>
  </si>
  <si>
    <t xml:space="preserve">There‚Äôs not a large enough increase </t>
  </si>
  <si>
    <t>104.189.157.235</t>
  </si>
  <si>
    <t>R_3iBTmPsXRd9iXl5</t>
  </si>
  <si>
    <t>637e4fc1594d2ded19f7e071</t>
  </si>
  <si>
    <t xml:space="preserve">Expensive and I prefer consuming few food I can identify </t>
  </si>
  <si>
    <t>67.161.111.132</t>
  </si>
  <si>
    <t>R_x93lzkQShx8tAKl</t>
  </si>
  <si>
    <t>5f42966cafb00848de3c0355</t>
  </si>
  <si>
    <t xml:space="preserve">I am very interested in the claims. The only reason I wouldn't is because of the possible price. </t>
  </si>
  <si>
    <t>68.196.139.140</t>
  </si>
  <si>
    <t>R_1oFHisYFfhyHSn6</t>
  </si>
  <si>
    <t>632d597d70fe9f84a3b3359c</t>
  </si>
  <si>
    <t>Despite the cara berry bars being significantly more expensive than the conventional ones, I believe that the value of improved mental alertness is worth it.</t>
  </si>
  <si>
    <t>74.101.35.139</t>
  </si>
  <si>
    <t>R_2PpX68nYEnENQ2C</t>
  </si>
  <si>
    <t>62a7f6e94c78acc31d199b7c</t>
  </si>
  <si>
    <t>I just don't care enough about it</t>
  </si>
  <si>
    <t>72.33.2.189</t>
  </si>
  <si>
    <t>R_Re6S5JvsMnrywy5</t>
  </si>
  <si>
    <t>5f4c4dd50a92c286c1972f06</t>
  </si>
  <si>
    <t>That difference in these studies cannot be statistically significant</t>
  </si>
  <si>
    <t>23.126.148.7</t>
  </si>
  <si>
    <t>R_837gqyHpLrwszVD</t>
  </si>
  <si>
    <t>5c7c3c7b896a0b00171c2302</t>
  </si>
  <si>
    <t>1.20 points</t>
  </si>
  <si>
    <t xml:space="preserve">I would purchase cara berry energy bars, but not if the price is outrageous compared to a conventional energy bar. </t>
  </si>
  <si>
    <t>107.127.56.44</t>
  </si>
  <si>
    <t>R_1l6vOXIrXmH0wAX</t>
  </si>
  <si>
    <t>63d469dc33d096987b0a4aa2</t>
  </si>
  <si>
    <t xml:space="preserve">I don't trust the research as it is likely biased and the sourcing of the berries would quickly become an issue </t>
  </si>
  <si>
    <t>0.1 dollars</t>
  </si>
  <si>
    <t xml:space="preserve">5 minutes </t>
  </si>
  <si>
    <t>172.56.121.152</t>
  </si>
  <si>
    <t>R_1Kdq1ZCW8K77Oaw</t>
  </si>
  <si>
    <t>5d49f195061e2a000138b69f</t>
  </si>
  <si>
    <t>The improvement from cara berries vs regular energy bars was only 0.04 which does not seem like a very large benefit.</t>
  </si>
  <si>
    <t>47.206.81.155</t>
  </si>
  <si>
    <t>R_2rARpME1xeEbOWP</t>
  </si>
  <si>
    <t>60fcd2dd707fa1b11edb5152</t>
  </si>
  <si>
    <t xml:space="preserve">There really wasn‚Äôt a significant difference between the two groups presented. It doesn‚Äôt seem like it‚Äôs worth it for the price tag. </t>
  </si>
  <si>
    <t>3 points</t>
  </si>
  <si>
    <t xml:space="preserve">I‚Äôm not sure </t>
  </si>
  <si>
    <t xml:space="preserve">5 cents </t>
  </si>
  <si>
    <t>73.190.76.126</t>
  </si>
  <si>
    <t>R_1hKlKnK12EIE1wR</t>
  </si>
  <si>
    <t>5bd6b1636546650001036115</t>
  </si>
  <si>
    <t>2 points improvement</t>
  </si>
  <si>
    <t xml:space="preserve">The improvement is not enough to purchase cara berry energy bars over regular energy bars. There wasn't even a point difference. </t>
  </si>
  <si>
    <t>47.25.108.199</t>
  </si>
  <si>
    <t>R_qxCiYhPrASWCoRr</t>
  </si>
  <si>
    <t>63e11e41aa43cc7ad9db3377</t>
  </si>
  <si>
    <t>With a previous TBI, anything that can help with mental alertness is worth a try. With study results as high as 3.5, I would take the chance to see if it helped me.</t>
  </si>
  <si>
    <t>73.179.30.97</t>
  </si>
  <si>
    <t>R_Rlyep1pmYXA8Ykp</t>
  </si>
  <si>
    <t>609f124eb9ff1c60948609b9</t>
  </si>
  <si>
    <t>I don't like berry but it is good for mental i will try</t>
  </si>
  <si>
    <t>73.224.252.53</t>
  </si>
  <si>
    <t>R_3hygAWblBj4U5S6</t>
  </si>
  <si>
    <t>62444b95055492f573b21d42</t>
  </si>
  <si>
    <t xml:space="preserve">It sounds more of a gimmick and I could get similar effects from just having caffeine </t>
  </si>
  <si>
    <t>128.54.189.220</t>
  </si>
  <si>
    <t>R_33DbnlvjwymYXTN</t>
  </si>
  <si>
    <t>63ed6748c04e76b9d2cce7cd</t>
  </si>
  <si>
    <t>Though there was an increase in the numbers, I don't think it was enough to show that 'cara berries' were a distinct contributing factor to such. It wouldn't hurt to try though.</t>
  </si>
  <si>
    <t>10 cents</t>
  </si>
  <si>
    <t>73.101.108.178</t>
  </si>
  <si>
    <t>R_3ezsJfmdvROJxmN</t>
  </si>
  <si>
    <t>602aaad0543ec50f6af5cc79</t>
  </si>
  <si>
    <t>It seems the berry bar at least in this study is much more effective at alertness than default bars.</t>
  </si>
  <si>
    <t>50 50 if she does or doesn't</t>
  </si>
  <si>
    <t>136.36.250.51</t>
  </si>
  <si>
    <t>R_3ERwSP1QhCrABli</t>
  </si>
  <si>
    <t>61088f102428b60cde829d29</t>
  </si>
  <si>
    <t>I don‚Äôt have a lot of extra $ and also I have food allergies. It‚Äôs 50/50 because it would ultimately depend on if the energy bars were good and I‚Äôd eat them (don‚Äôt want to waste) and how expensive they really are</t>
  </si>
  <si>
    <t>5¬¢</t>
  </si>
  <si>
    <t>172.58.122.121</t>
  </si>
  <si>
    <t>R_d5tfYNML1XDepA5</t>
  </si>
  <si>
    <t>594936ad4152bf0001bfd5cd</t>
  </si>
  <si>
    <t>Science behind "superfoods" or singular ingredients that claim to help overall wellbeing is dubious and there are too many unknown factors in the previous study for me to be convinced the berries are directly responsible for any kind of positive effect.</t>
  </si>
  <si>
    <t>98.151.43.253</t>
  </si>
  <si>
    <t>R_10VglROhNQUbkNS</t>
  </si>
  <si>
    <t>55c43918fdf99b080551e044</t>
  </si>
  <si>
    <t>A study has shown that energy bars with cara berries can improve mental alertness. Even though the energy bars would cost more, it might be worth it. I would like to improve my mental awareness using natural fruits, as opposed to caffeine.</t>
  </si>
  <si>
    <t>173.75.38.145</t>
  </si>
  <si>
    <t>R_1LjpxAYhjge62XD</t>
  </si>
  <si>
    <t>62c44d672834a5c5ce7362f1</t>
  </si>
  <si>
    <t>I would want to try ONE first to make sure I like the flavor. If I don't like it, I'm not going to eat it, and therefore it won't do me any good. If I like them, I would buy more.</t>
  </si>
  <si>
    <t>24.213.61.149</t>
  </si>
  <si>
    <t>R_RRJg4bS3IHnlQbv</t>
  </si>
  <si>
    <t>5cfd68599d3b5700198ab635</t>
  </si>
  <si>
    <t>I'd like to improve my mental alertness naturally!</t>
  </si>
  <si>
    <t>1 in 10</t>
  </si>
  <si>
    <t>10¬¢</t>
  </si>
  <si>
    <t>174.102.118.192</t>
  </si>
  <si>
    <t>R_OeUHULyzftzUG7n</t>
  </si>
  <si>
    <t>5ed9c285b8c16356b385a97f</t>
  </si>
  <si>
    <t>I would try them to see if it helped mental alertness for myself. I'd try them every day for a week and watch results.</t>
  </si>
  <si>
    <t>98.146.182.117</t>
  </si>
  <si>
    <t>R_2c5yhekV61M29WT</t>
  </si>
  <si>
    <t>5589ce75fdf99b18be3203d2</t>
  </si>
  <si>
    <t xml:space="preserve">I would not purchase them because of the cost. I do not think it is such a significant increase to validate the price. </t>
  </si>
  <si>
    <t>47.12.182.72</t>
  </si>
  <si>
    <t>R_SJLoKscGCogdQn7</t>
  </si>
  <si>
    <t>5f32f61bbff4620bf0794044</t>
  </si>
  <si>
    <t>I would like to see the statistical changes rather than just the broad "improved" statement. It may be fun to try if it is actually significant.</t>
  </si>
  <si>
    <t>69.72.29.1</t>
  </si>
  <si>
    <t>R_3QE1nkbHxYgxygY</t>
  </si>
  <si>
    <t>610893eb4909b7e4a90d16d9</t>
  </si>
  <si>
    <t>It didn't seem to help too much when looking at the numbers in the study. Would have to see significant improvement to seem worth while.</t>
  </si>
  <si>
    <t>172.56.217.152</t>
  </si>
  <si>
    <t>R_afSmk4cEyEavCQF</t>
  </si>
  <si>
    <t>614a1d94af01496d0e613360</t>
  </si>
  <si>
    <t>The boost of 0.04 on a 5 point scale didn't seem like it would be worth using the bar at all, much less paying twice as much for it.</t>
  </si>
  <si>
    <t>98.215.140.85</t>
  </si>
  <si>
    <t>R_12cl9M6wNdwzWNY</t>
  </si>
  <si>
    <t>59c2855d5c50560001df9858</t>
  </si>
  <si>
    <t xml:space="preserve">I don't want to pay double the price for it but i might at least try it to see if it helps. </t>
  </si>
  <si>
    <t>97.95.219.150</t>
  </si>
  <si>
    <t>R_2fpM8uiAI8r6pJP</t>
  </si>
  <si>
    <t>5cfc38f7ee119e001803dd01</t>
  </si>
  <si>
    <t>They don‚Äôt seem to really do much in improving mental alertness.</t>
  </si>
  <si>
    <t>50.88.68.105</t>
  </si>
  <si>
    <t>R_12fFQHXCLo6ETAe</t>
  </si>
  <si>
    <t>5490c822fdf99b71ba910e1a</t>
  </si>
  <si>
    <t>N/A</t>
  </si>
  <si>
    <t>I'd be fine with the mental alertness from regular energy bars. Wouldn't want to pay more for an increase.</t>
  </si>
  <si>
    <t>10 out of 90</t>
  </si>
  <si>
    <t>107.127.49.51</t>
  </si>
  <si>
    <t>R_7PcAtcacHF0UiCB</t>
  </si>
  <si>
    <t>5f9f431d6aa4f3589c783492</t>
  </si>
  <si>
    <t xml:space="preserve">It would be something I would try but probably not something I would buy on a regular basis because of the price. </t>
  </si>
  <si>
    <t>2 points</t>
  </si>
  <si>
    <t>1 in 1000</t>
  </si>
  <si>
    <t>1 in 18</t>
  </si>
  <si>
    <t>70.113.35.104</t>
  </si>
  <si>
    <t>R_s6aY4hxGMfqUeSR</t>
  </si>
  <si>
    <t>5fcaf45432c262806989840d</t>
  </si>
  <si>
    <t>I am not sure there is enough data that it's worth the added expense.</t>
  </si>
  <si>
    <t>72.227.178.169</t>
  </si>
  <si>
    <t>R_DqxW0ut275kLjyh</t>
  </si>
  <si>
    <t>5f402da30ce123154d1f3f84</t>
  </si>
  <si>
    <t>I am frugal so wouldn't want to spend the extra money, and those bars are expensive to begin with.  Also, I don't trust the science that a few berries might make me more alert.</t>
  </si>
  <si>
    <t>47.160.206.101</t>
  </si>
  <si>
    <t>R_2ZBmShFnbREKKQe</t>
  </si>
  <si>
    <t>63d40c3695dd423166c7c83d</t>
  </si>
  <si>
    <t>I think I would by them because, I think they look delicious and could be a nice side to a proper meal.</t>
  </si>
  <si>
    <t>107.77.235.109</t>
  </si>
  <si>
    <t>R_2qxY087KcuRUFm4</t>
  </si>
  <si>
    <t>616b512feecd8acc64140d9c</t>
  </si>
  <si>
    <t>I don't believe the slight boost is worth the cost</t>
  </si>
  <si>
    <t>5 or more</t>
  </si>
  <si>
    <t>0.5 percent</t>
  </si>
  <si>
    <t>90 percent</t>
  </si>
  <si>
    <t>98.161.20.132</t>
  </si>
  <si>
    <t>R_ZkI1bc7ezKhviSd</t>
  </si>
  <si>
    <t>5faebdaf3a31c6024aa9d321</t>
  </si>
  <si>
    <t>I would likely purchase the cara  berries bars to help me be more alert</t>
  </si>
  <si>
    <t>1oo</t>
  </si>
  <si>
    <t xml:space="preserve">Not  likely </t>
  </si>
  <si>
    <t>172.58.222.233</t>
  </si>
  <si>
    <t>R_2ZJJYMUij7zd4Tt</t>
  </si>
  <si>
    <t>63cbf7558fd424d98dae1ff5</t>
  </si>
  <si>
    <t>i'm not a big fan of supplements but this sounds interesting and may have positive mental benefits</t>
  </si>
  <si>
    <t>3 to 5</t>
  </si>
  <si>
    <t>172.58.175.65</t>
  </si>
  <si>
    <t>R_2ruQbEpojyaiseS</t>
  </si>
  <si>
    <t>5da651ecd24f17001539ee8a</t>
  </si>
  <si>
    <t xml:space="preserve">Aside from the additional cost, the fact that the berries are not widespread could have environmental consequences.  </t>
  </si>
  <si>
    <t>172.98.167.249</t>
  </si>
  <si>
    <t>R_331FHY4z7vDmBgD</t>
  </si>
  <si>
    <t>60cdbe2390c033540fad1177</t>
  </si>
  <si>
    <t>I think this berry energy bars will improve my wellness. It will give me energy to improve my mental alertness.</t>
  </si>
  <si>
    <t>68.53.4.231</t>
  </si>
  <si>
    <t>R_1IbnVRdiFyRWud9</t>
  </si>
  <si>
    <t>5e7247f3be8fd016888bafac</t>
  </si>
  <si>
    <t xml:space="preserve">I feel that my mental alertness is good currently. I don't, as a rule, eat energy bars in the first place. I certainly wouldn't pay twice as much for something I don't think I need. </t>
  </si>
  <si>
    <t>174.109.141.235</t>
  </si>
  <si>
    <t>R_3kgC7FjdLSgt1bY</t>
  </si>
  <si>
    <t>61194d67cf13024bcdf7c246</t>
  </si>
  <si>
    <t>I'm not really looking to improve my mental alertness right now, and being called a 'rare ingredient' often comes with a price increase</t>
  </si>
  <si>
    <t>71.206.170.196</t>
  </si>
  <si>
    <t>R_2qgXMFA8PqawDpa</t>
  </si>
  <si>
    <t>604afd0d0a2dc7908ca31948</t>
  </si>
  <si>
    <t xml:space="preserve">It is difficult to show true efficacy with food studies like these. </t>
  </si>
  <si>
    <t>No amount is worth it for me</t>
  </si>
  <si>
    <t>75.178.42.122</t>
  </si>
  <si>
    <t>R_2rvygD037DU93RN</t>
  </si>
  <si>
    <t>59a811311363d90001676ad9</t>
  </si>
  <si>
    <t>It doesn't seem like enough of a difference for the additional cost.</t>
  </si>
  <si>
    <t>24.16.233.251</t>
  </si>
  <si>
    <t>R_1QEKyeXkVI00c6l</t>
  </si>
  <si>
    <t>5f5561166d9ce792e07134e2</t>
  </si>
  <si>
    <t xml:space="preserve">I don't think there's a large enough difference in mental alertness to show any actual significant improvement. The range of improvement is negligible, at best! </t>
  </si>
  <si>
    <t>73.119.13.184</t>
  </si>
  <si>
    <t>R_3DtpezoFIve4UTF</t>
  </si>
  <si>
    <t>5f4af15a0add63150e16e55a</t>
  </si>
  <si>
    <t xml:space="preserve">I think based on the article alone, I'd look for more information to support the claim of improved alertness.  I don't know what the scale was or what other confounding factors might be that could explain the results.  </t>
  </si>
  <si>
    <t>I suppose 3, but I don't know what the scale really entails, so the figure is purely speculative</t>
  </si>
  <si>
    <t>98.171.20.163</t>
  </si>
  <si>
    <t>R_1lrD3wn3DailqLT</t>
  </si>
  <si>
    <t>5cf3733e30eedd00156bbf3e</t>
  </si>
  <si>
    <t xml:space="preserve">I would love to try them but everything is already expensive so added cost is definitely a factor. </t>
  </si>
  <si>
    <t xml:space="preserve">10 minutes </t>
  </si>
  <si>
    <t>184.58.134.195</t>
  </si>
  <si>
    <t>R_294vgWLo5imiPY3</t>
  </si>
  <si>
    <t>63d14ce599ea54cf95c4d8d6</t>
  </si>
  <si>
    <t>if they are more expensive, maybe I can find other ways to improve mental alertness that dont cost as much</t>
  </si>
  <si>
    <t>5 times the amount</t>
  </si>
  <si>
    <t>5 min</t>
  </si>
  <si>
    <t>172.56.91.107</t>
  </si>
  <si>
    <t>R_TinAK6WmSieIeeB</t>
  </si>
  <si>
    <t>631ff899c56260cb62016bca</t>
  </si>
  <si>
    <t>1 point</t>
  </si>
  <si>
    <t>Didn't seem to improve that much to justify the added cost</t>
  </si>
  <si>
    <t>107.4.161.214</t>
  </si>
  <si>
    <t>R_8ljGvB1igpRkWJz</t>
  </si>
  <si>
    <t>622e97262adc38e0cb0d670a</t>
  </si>
  <si>
    <t>the price. If cara berry is a thing, you can likely get supplement much cheaper.</t>
  </si>
  <si>
    <t>70.177.122.39</t>
  </si>
  <si>
    <t>R_2VkZHwJwtzH4KBh</t>
  </si>
  <si>
    <t>6138f7e0ad42e592ca5f2024</t>
  </si>
  <si>
    <t>My choice.</t>
  </si>
  <si>
    <t>100.6.49.29</t>
  </si>
  <si>
    <t>R_3MnDtHgRYFpanMM</t>
  </si>
  <si>
    <t>5a925ea389de8200013eb274</t>
  </si>
  <si>
    <t>I would be hesitant to spend twice as much on the bar just for the berries.</t>
  </si>
  <si>
    <t>1 point improvement</t>
  </si>
  <si>
    <t>1 minute</t>
  </si>
  <si>
    <t>73.139.223.237</t>
  </si>
  <si>
    <t>R_2e9hwDE9MSHU9a8</t>
  </si>
  <si>
    <t>5ec81f94ce3f412db210602c</t>
  </si>
  <si>
    <t>it is expensive and I am not sure about the validity of the claims</t>
  </si>
  <si>
    <t>very slim</t>
  </si>
  <si>
    <t>75.99.120.18</t>
  </si>
  <si>
    <t>R_p6HdjuHznEHd8MV</t>
  </si>
  <si>
    <t>5be10ec03e09dc00010e8ccc</t>
  </si>
  <si>
    <t>I am skeptical of the results of the study, which relies on subjective criteria (self-reported mental alertness) and participant compliance. There did not appear to be a placebo group, and we were not shown information about the statistical confidence interval or the raw data so that we could interpret the results for ourselves.</t>
  </si>
  <si>
    <t>50.205.144.162</t>
  </si>
  <si>
    <t>R_pfOGhwkpFu4M4b7</t>
  </si>
  <si>
    <t>63b6c1e570bcd4c9250d86d5</t>
  </si>
  <si>
    <t>I've never heard of cara berries. The "research" did seem sound. They're expensive. And I feel fine about my mental alertness</t>
  </si>
  <si>
    <t>159.100.171.39</t>
  </si>
  <si>
    <t>R_1Ed6xoMozARBFj5</t>
  </si>
  <si>
    <t>6123bbad652361792023f71a</t>
  </si>
  <si>
    <t>I would purchase one to at least try it out to see how I liked the benefits and the taste. With the price being more expensive I would be a little hesitant.</t>
  </si>
  <si>
    <t>73.54.88.15</t>
  </si>
  <si>
    <t>R_3pfH9aKjuYqiu7y</t>
  </si>
  <si>
    <t>60f3320a37b06dff39dd1d8c</t>
  </si>
  <si>
    <t>I would be skeptical of whether it actually works and would maybe research it more before I made a purchase.</t>
  </si>
  <si>
    <t>172.58.84.138</t>
  </si>
  <si>
    <t>R_10VL4mXDcYYrwMe</t>
  </si>
  <si>
    <t>6112529ca8d90615db392633</t>
  </si>
  <si>
    <t xml:space="preserve">Since it‚Äôs a rare and probably really expensive ingredient and the science shows very small improvements, I don‚Äôt think I could justify spending a lot of money to get a a very limited result. </t>
  </si>
  <si>
    <t>76.36.20.132</t>
  </si>
  <si>
    <t>R_55pGJGMGe606rHr</t>
  </si>
  <si>
    <t>610e6880f784d836a872a9a5</t>
  </si>
  <si>
    <t>I don't usually like energy bars and never buy them.</t>
  </si>
  <si>
    <t>172.56.81.138</t>
  </si>
  <si>
    <t>R_22K2GILRDl0J1eY</t>
  </si>
  <si>
    <t>611e91d3417faebad3101d08</t>
  </si>
  <si>
    <t>Too expensive</t>
  </si>
  <si>
    <t>75.67.65.139</t>
  </si>
  <si>
    <t>R_r0HsrjhC3Rb7RNT</t>
  </si>
  <si>
    <t>62d140d43079cdd60f42d39e</t>
  </si>
  <si>
    <t xml:space="preserve">I like the benefits, but the article mentions scarce supply so I'd be concerned about environmental impact of large numbers of people wanting them. </t>
  </si>
  <si>
    <t>100.2.114.161</t>
  </si>
  <si>
    <t>R_2uTI3YVK2kympmo</t>
  </si>
  <si>
    <t>59d662aa0c0c7100015b9af6</t>
  </si>
  <si>
    <t>Although it seems like a good product, the berries are rare which make the product likely priced at a premium.  I'm sure there are other similar products at lower cost which could work just as well.</t>
  </si>
  <si>
    <t>98.49.49.234</t>
  </si>
  <si>
    <t>R_2zT5qUCi5X5X75q</t>
  </si>
  <si>
    <t>6150c121d880e0e4a582a701</t>
  </si>
  <si>
    <t>1 or less</t>
  </si>
  <si>
    <t>I would just start buying the berries vs the bar</t>
  </si>
  <si>
    <t xml:space="preserve">Depends on how many tickets went out </t>
  </si>
  <si>
    <t xml:space="preserve">50 minutes </t>
  </si>
  <si>
    <t>172.75.239.108</t>
  </si>
  <si>
    <t>R_3P6uNnoLElRMelV</t>
  </si>
  <si>
    <t>62ede762f7dbff1461f1d432</t>
  </si>
  <si>
    <t>I would want to purchase one just out of curiosity to see if it would work for me. If it did, I would then consider purchasing more regardless of price.</t>
  </si>
  <si>
    <t>50.206.84.10</t>
  </si>
  <si>
    <t>R_1JFK4Zx9WHLa88x</t>
  </si>
  <si>
    <t>6108bae61196a3bd6fc3a24b</t>
  </si>
  <si>
    <t xml:space="preserve">I think there's other ways to improve your mental alertness that don't require extra money. I wouldn't want to pay double the cost. </t>
  </si>
  <si>
    <t>76.16.74.207</t>
  </si>
  <si>
    <t>R_33y8fDTlCNeJl8M</t>
  </si>
  <si>
    <t>640606633093306c279c0b97</t>
  </si>
  <si>
    <t>The cost increase versus the potential benefit doesn't seem to be a good trade.</t>
  </si>
  <si>
    <t>69.219.162.88</t>
  </si>
  <si>
    <t>R_31HlHh5WMmPrWRr</t>
  </si>
  <si>
    <t>5f276d8f38b9f857f5cebf21</t>
  </si>
  <si>
    <t xml:space="preserve">I would at least give the energy bar with cara berries a try to see if they make a difference for me. I would try the bar with cara berries or without to see if one does better than the other. </t>
  </si>
  <si>
    <t>74.205.133.151</t>
  </si>
  <si>
    <t>R_1H6KlqYLlc6qLSA</t>
  </si>
  <si>
    <t>5d3db5cb98775f001769ad10</t>
  </si>
  <si>
    <t>I am on social security and at home, so my income varies little and isn't huge. I rarely need my mental alertness improved at this time.</t>
  </si>
  <si>
    <t>173.79.40.180</t>
  </si>
  <si>
    <t>R_2TuxEH91fGfjhTE</t>
  </si>
  <si>
    <t>631b428359f449b8159625f8</t>
  </si>
  <si>
    <t>Cara berries were shown to increase alertness only very slightly, and potentially not at all. The cost of these energy bars may also be high and not be justified by the low quality evidence of their efficacy.</t>
  </si>
  <si>
    <t>173.77.113.178</t>
  </si>
  <si>
    <t>R_3NHPr2ruexzAxYT</t>
  </si>
  <si>
    <t>5afa5252672ea800010d97e6</t>
  </si>
  <si>
    <t xml:space="preserve">I think there are other things that I can do to improve my mental alertness that don't cost money. I try not to buy into fads thinking that it can change my life when I need a more dynamic systemic change. </t>
  </si>
  <si>
    <t>174.70.200.112</t>
  </si>
  <si>
    <t>R_2V1OHLRx87S68s3</t>
  </si>
  <si>
    <t>61043f36bc2fb31110d2067d</t>
  </si>
  <si>
    <t>I probably wouldn't purchase cara berry energy bars because money is tight right now and I wouldn't be prone to paying more for that.</t>
  </si>
  <si>
    <t>108.58.250.98</t>
  </si>
  <si>
    <t>R_SW6g9dKGuZ0Iprj</t>
  </si>
  <si>
    <t>5e16a7c34b49a1c91ef46af6</t>
  </si>
  <si>
    <t xml:space="preserve">I don‚Äôt usually buy into things marketed for specific purpose or application </t>
  </si>
  <si>
    <t>Unlikely</t>
  </si>
  <si>
    <t>75.243.88.139</t>
  </si>
  <si>
    <t>R_3ITadfNTQAYEHJ4</t>
  </si>
  <si>
    <t>5b16d24d388d8b00014fa6e6</t>
  </si>
  <si>
    <t xml:space="preserve">I do not necessarily believe that to be true at first. And just generally don't like the taste of energy bars. They always somehow feel/taste like I'm just eating a bunch of wallpaper. I highly doubt that adding berries to the mix will make them more delicious. </t>
  </si>
  <si>
    <t>172.58.107.177</t>
  </si>
  <si>
    <t>R_3k63RC6A3ehWwXc</t>
  </si>
  <si>
    <t>62d2aee15e1dc6709bdcace0</t>
  </si>
  <si>
    <t xml:space="preserve">I may not buy due to the cost </t>
  </si>
  <si>
    <t>45.16.227.100</t>
  </si>
  <si>
    <t>R_1LvRLnBNlBhqqGq</t>
  </si>
  <si>
    <t>62bdd6fe637d9a0b988a5a7c</t>
  </si>
  <si>
    <t>I would personally purchase this energy bar because since the article shows how eating the cara berry bar doubles your energy levels compared to your usual energy bar,  It convinced me of purchasing them for my own benefits.</t>
  </si>
  <si>
    <t>1.50 to 1.55</t>
  </si>
  <si>
    <t xml:space="preserve">Very likely </t>
  </si>
  <si>
    <t>71.28.196.91</t>
  </si>
  <si>
    <t>R_31Sj8oEiDnkEffm</t>
  </si>
  <si>
    <t>5f5e22abacd23c0862700be4</t>
  </si>
  <si>
    <t xml:space="preserve">It sounds like these bars really make a huge difference in mental alertness, which would help me dramatically. I would definitely look more into getting these for the benefits they have.  </t>
  </si>
  <si>
    <t>174.208.64.11</t>
  </si>
  <si>
    <t>R_30iUVG1nP9lTSC8</t>
  </si>
  <si>
    <t>614f8a70e5ea153e8f8059d4</t>
  </si>
  <si>
    <t>Well I'm so broke that I take these studies to be able to afford medications that insurance won't cover. I cant afford buying regular energy bars so I'm extremely unlikely to spend more on certain energy bars just because they might improve my mental health.</t>
  </si>
  <si>
    <t>104.52.137.152</t>
  </si>
  <si>
    <t>R_1hAK51vLFFVRTmZ</t>
  </si>
  <si>
    <t>5f46d1cd3a1ae90a1c8b199b</t>
  </si>
  <si>
    <t>After doing some research and finding that eating cara berries would improve my mental alertness I would definitely purchase the cara berry</t>
  </si>
  <si>
    <t>1 hour and forty minutes</t>
  </si>
  <si>
    <t>98.114.223.2</t>
  </si>
  <si>
    <t>R_1nOPOwt3sZznxyM</t>
  </si>
  <si>
    <t>63d162c771a468f09d91b944</t>
  </si>
  <si>
    <t>If there is a low supply, then we should not be harvesting them.</t>
  </si>
  <si>
    <t>67.44.224.193</t>
  </si>
  <si>
    <t>R_1kMMNClClNvt2WJ</t>
  </si>
  <si>
    <t>5b29528dfdb21100019163cf</t>
  </si>
  <si>
    <t>I don't feel like I have an issue with mental alertness in the first place, and certainly not enough to be worth spending extra money on.</t>
  </si>
  <si>
    <t>67.149.67.149</t>
  </si>
  <si>
    <t>R_3GoLPDjtYXQz5QP</t>
  </si>
  <si>
    <t>5834b3f1d6ed08000154eadb</t>
  </si>
  <si>
    <t>I'm just not interested in supplementing in that way.</t>
  </si>
  <si>
    <t>172.56.104.158</t>
  </si>
  <si>
    <t>R_tVSa8lqfVYpeec1</t>
  </si>
  <si>
    <t>633f78483aa54d8e822b4c21</t>
  </si>
  <si>
    <t>At least a 1.5 or 2 point improvement.</t>
  </si>
  <si>
    <t>I'm not sure if the amount of improvement is worth the extra cost, and it could also be a placebo effect.</t>
  </si>
  <si>
    <t>500 times</t>
  </si>
  <si>
    <t>10 people</t>
  </si>
  <si>
    <t>100 people</t>
  </si>
  <si>
    <t>90% chance she has a tumor</t>
  </si>
  <si>
    <t>5 minutes.</t>
  </si>
  <si>
    <t>160.2.119.138</t>
  </si>
  <si>
    <t>R_1kIkEz7bb0uEntm</t>
  </si>
  <si>
    <t>5fd244cf39e5f7082808979c</t>
  </si>
  <si>
    <t xml:space="preserve">I would try the bars with Cara Berries for a few days if the price is affordable. I would also look at the study more closely but honestly, if the price is affordable, it's worth trying for a few days. </t>
  </si>
  <si>
    <t>69.229.249.208</t>
  </si>
  <si>
    <t>R_1Y42bwDY8Z1P3vr</t>
  </si>
  <si>
    <t>5eabba07f0b5cc1b2619485d</t>
  </si>
  <si>
    <t xml:space="preserve">I would be interested in trying it to see the benefits. </t>
  </si>
  <si>
    <t>.001.</t>
  </si>
  <si>
    <t>98.223.88.121</t>
  </si>
  <si>
    <t>R_1NyNnb3Bc6AzeWb</t>
  </si>
  <si>
    <t>60e7044ddc2523fab6cbc0cd</t>
  </si>
  <si>
    <t>I don't think it would do much could because I have mental conditions. It would have to have a real impact for me to want to try that, being someone who lives low income.</t>
  </si>
  <si>
    <t>174.212.166.94</t>
  </si>
  <si>
    <t>R_3hihEQyLVSTaUZL</t>
  </si>
  <si>
    <t>5f7d026c6fd2421d2dc1af04</t>
  </si>
  <si>
    <t xml:space="preserve">I would give it a try it out of curiosity. </t>
  </si>
  <si>
    <t>.5 points</t>
  </si>
  <si>
    <t>98.223.153.181</t>
  </si>
  <si>
    <t>R_2YD0Qrma5mSu2aK</t>
  </si>
  <si>
    <t>632259eb84f23e6068fcf518</t>
  </si>
  <si>
    <t>The combination of the increased price of cara berry energy bars along with the results of the study do not make me feel that I should go out of my way to purchase these bars. The study was limited in participants and those that did eat the cara berry bar only reported 0.4 more alertness than those that ate conventional bars. It is likely difficult to find cara berry bars and they may have to be special ordered, etc. so I would personally not go out of my way to potentially increase my mental alertness by a small margin.</t>
  </si>
  <si>
    <t>Around 1.5 to 2 points increase in mental alertness. This is also very dependant on the price differntial and ease to access the product regularly as well.</t>
  </si>
  <si>
    <t>71.230.214.48</t>
  </si>
  <si>
    <t>R_vZZP0eOBlyFxq0h</t>
  </si>
  <si>
    <t>6099f441d9e8d68d4c4c17d9</t>
  </si>
  <si>
    <t>Seems like a gimmick and I'm not a fan of energy bars.</t>
  </si>
  <si>
    <t>172.56.217.209</t>
  </si>
  <si>
    <t>R_1DYgoCfYG1op53f</t>
  </si>
  <si>
    <t>62b0560cd5ce4b0cc13d2c3a</t>
  </si>
  <si>
    <t>I dont know anything about cara berries so i would have to do research to make sure im not allergic or anything</t>
  </si>
  <si>
    <t>144.121.153.122</t>
  </si>
  <si>
    <t>R_2pPn3rQENWuOKqt</t>
  </si>
  <si>
    <t>5eecec23f0bc7e0bd9684089</t>
  </si>
  <si>
    <t>I would purchase cara berry energy bars because I value mental wellness and would like to pursue any opportunities to improve my mental alertness</t>
  </si>
  <si>
    <t>About 50% of the time</t>
  </si>
  <si>
    <t>About 10 people</t>
  </si>
  <si>
    <t>90% chance</t>
  </si>
  <si>
    <t>174.197.131.171</t>
  </si>
  <si>
    <t>R_2QG7ioZ7QJlQbWR</t>
  </si>
  <si>
    <t>63f796618b151d5a56145592</t>
  </si>
  <si>
    <t>Didn‚Äôt seem like a huge jump in mental alertness and is going to cost more money to.</t>
  </si>
  <si>
    <t>76.188.87.226</t>
  </si>
  <si>
    <t>R_2Bgt5JCdhQdbVGJ</t>
  </si>
  <si>
    <t>5c4d5328889752000156a11d</t>
  </si>
  <si>
    <t xml:space="preserve">I have other dietary restrictions and preferences (vegan, prefer to avoid excess sugar and highly processed foods), so I'd have to check the full list of ingredients of the bars to see whether they otherwise seem all right for me. But barring issues there, I'd be eager to try the bars because I have issues sometimes with attention span, concentration, and fatigue, even as much of my work requires accurate, rapid responses to unpredictable stimuli. So, potential improved attentiveness via these cara energy bars sounds quite promising and useful for me.  </t>
  </si>
  <si>
    <t>50 percent</t>
  </si>
  <si>
    <t>104.174.155.238</t>
  </si>
  <si>
    <t>R_2zOLdrToI9eURzz</t>
  </si>
  <si>
    <t>608db0d33c7ffc2af3600478</t>
  </si>
  <si>
    <t>I think I would be more inclined to try the bars for gaining mental alertness. I'd want to know if there are any side effects to eating cara berries</t>
  </si>
  <si>
    <t>18 percent chance</t>
  </si>
  <si>
    <t>68.2.235.14</t>
  </si>
  <si>
    <t>R_2VCtaZ9zZPYT9hq</t>
  </si>
  <si>
    <t>5dcc5fee28e3148e8009491e</t>
  </si>
  <si>
    <t>I don‚Äôt think it‚Äôs significant enough of a jump</t>
  </si>
  <si>
    <t>204.111.132.152</t>
  </si>
  <si>
    <t>R_1Hq9nSV04eGPeuV</t>
  </si>
  <si>
    <t>63bd8d4ca46f8313570e6fa4</t>
  </si>
  <si>
    <t>Because it is not worth the extra money that I am going to pay for this item.</t>
  </si>
  <si>
    <t>172.59.217.72</t>
  </si>
  <si>
    <t>R_1mvZB2TTS28IS6R</t>
  </si>
  <si>
    <t>6079fd1b7a4fba956ebbffe7</t>
  </si>
  <si>
    <t>I'd get them to try but i don't eat energy bars that often.</t>
  </si>
  <si>
    <t>68.70.33.248</t>
  </si>
  <si>
    <t>R_2t3awuigBPoKPZV</t>
  </si>
  <si>
    <t>614f382f884d5fc70798415b</t>
  </si>
  <si>
    <t xml:space="preserve">I'm not convinced the "mental alertness" provided by  cara berries is different from, say, caffeine, raw guarana or other stimulants </t>
  </si>
  <si>
    <t>68.202.92.39</t>
  </si>
  <si>
    <t>R_R8ZhdCvpEA7ueMF</t>
  </si>
  <si>
    <t>60be09fe05b5adf03149a85f</t>
  </si>
  <si>
    <t>I think the increase is insignificant in relation to the cost</t>
  </si>
  <si>
    <t>none</t>
  </si>
  <si>
    <t>It would depend on how many were sold</t>
  </si>
  <si>
    <t>76.247.66.7</t>
  </si>
  <si>
    <t>R_3qjQtumZq3gmYyb</t>
  </si>
  <si>
    <t>5ea90125117dae3737b5e552</t>
  </si>
  <si>
    <t>It's expensive and the results from the study didn't seem to have a significant difference.</t>
  </si>
  <si>
    <t>67.9.33.185</t>
  </si>
  <si>
    <t>R_UKkD1zbZlcJpR1D</t>
  </si>
  <si>
    <t>589ce4d65e63bf00013b3175</t>
  </si>
  <si>
    <t>I would purchase them since they do help mental alertness, but wouldn't eat them regularly since the improvement isn't that much better.</t>
  </si>
  <si>
    <t>24.154.18.45</t>
  </si>
  <si>
    <t>R_82DrFfwiq4u0o9j</t>
  </si>
  <si>
    <t>5e65061173afb2277765b53b</t>
  </si>
  <si>
    <t>I would need more proof that they actually do what they say they do.  I also can get energy just from eating, so would most likely not pay more for it.</t>
  </si>
  <si>
    <t>10 percent</t>
  </si>
  <si>
    <t>174.214.50.120</t>
  </si>
  <si>
    <t>R_3G868UjW80iSyet</t>
  </si>
  <si>
    <t>61044e57d36682329f7b8df8</t>
  </si>
  <si>
    <t xml:space="preserve">I enjoy trying new things and I'm a big fan of all natural remedies. I think this would be interesting. </t>
  </si>
  <si>
    <t>74.110.212.143</t>
  </si>
  <si>
    <t>R_3kKQh17xyOkCQlu</t>
  </si>
  <si>
    <t>60d7697bf8d2dd2ce87a331e</t>
  </si>
  <si>
    <t>It sounds great to have mental alternes to increase but the cost of purchasing them and the need to eat them would be a hassle that coffee for me would do just as well</t>
  </si>
  <si>
    <t>1.50 to 6.50</t>
  </si>
  <si>
    <t>72.184.237.108</t>
  </si>
  <si>
    <t>R_XsQ3D6Ya6p6tnq1</t>
  </si>
  <si>
    <t>6029acb673830e93bcc9230f</t>
  </si>
  <si>
    <t>I do not care for energy bars, do not buy or eat them</t>
  </si>
  <si>
    <t>73.252.51.19</t>
  </si>
  <si>
    <t>R_31AgKVg7Do1VyOs</t>
  </si>
  <si>
    <t>6155d67aefa943dad800a5b4</t>
  </si>
  <si>
    <t xml:space="preserve">I don't feel like I need to improve my mental alertness too much. I would consider trying one if I was feeling a little "out of it" </t>
  </si>
  <si>
    <t>20 minutes</t>
  </si>
  <si>
    <t>73.202.123.89</t>
  </si>
  <si>
    <t>R_qF9eg100L5US4Hn</t>
  </si>
  <si>
    <t>6104c21cf7b22a3004e6f45c</t>
  </si>
  <si>
    <t>Seems like it could be a healthier alternative to energy drinks which I'd like to explore</t>
  </si>
  <si>
    <t>68.32.76.70</t>
  </si>
  <si>
    <t>R_0N8q3gpjEi5d1Xb</t>
  </si>
  <si>
    <t>63d6b8b3cc8e5c3debfd9676</t>
  </si>
  <si>
    <t xml:space="preserve">I am allergic to peanuts, and do not eat nuts, therefor the likelihood of me buying ANY energy bar is already around 40% because I'm very discerning about the ingredients. Now, reading the article, the energy bar without (1.52) to with (1.56) is such a small increase from the standard (1.50) that the additional cost would make this a hard sell for me. </t>
  </si>
  <si>
    <t xml:space="preserve">I'm not sure, but an increase of double would give me pause to consider it closer. </t>
  </si>
  <si>
    <t>174.209.33.61</t>
  </si>
  <si>
    <t>R_3iFobhQ03YcImOj</t>
  </si>
  <si>
    <t>611b09935cd6e67f2b5e9ea2</t>
  </si>
  <si>
    <t>If cara berries increase alertness I may be interested. I would check ingredients for calories, sugar, fat etc though.</t>
  </si>
  <si>
    <t>162.199.57.73</t>
  </si>
  <si>
    <t>R_2pVOInBTDduqIhs</t>
  </si>
  <si>
    <t>60f09796c2a24694ff43f6b7</t>
  </si>
  <si>
    <t>I think that if there are natural resources available to improve my mental alertness then it is worth paying a little more for my state of mental well being.</t>
  </si>
  <si>
    <t>208.196.115.31</t>
  </si>
  <si>
    <t>R_1d9P1e2RLUMPhDY</t>
  </si>
  <si>
    <t>5fd79aba1833640f79ffd07d</t>
  </si>
  <si>
    <t>it depends upon time</t>
  </si>
  <si>
    <t>71.150.139.194</t>
  </si>
  <si>
    <t>R_2CN7fOzwFTF1oCL</t>
  </si>
  <si>
    <t>60fc9ce95a59b3400b38e2a7</t>
  </si>
  <si>
    <t>The article didn't cite where the study came from and they stated the berries are expensive.</t>
  </si>
  <si>
    <t>209.122.160.79</t>
  </si>
  <si>
    <t>R_1odVFIijsNRlleJ</t>
  </si>
  <si>
    <t>63ed27a5e1566867a961b6fc</t>
  </si>
  <si>
    <t xml:space="preserve">There does not seem to be a significant difference in the energy bars that contain cara berries and those that don't and for the added cost I would want a significant increase. </t>
  </si>
  <si>
    <t>69.245.129.72</t>
  </si>
  <si>
    <t>R_2sdpTzjjtXGBucN</t>
  </si>
  <si>
    <t>64013a8e233aaa42388c821f</t>
  </si>
  <si>
    <t xml:space="preserve">The amount of alertness compared to cheaper bars was very small. </t>
  </si>
  <si>
    <t xml:space="preserve">Less than a 1/5 chance of being positive </t>
  </si>
  <si>
    <t>65.24.198.139</t>
  </si>
  <si>
    <t>R_3I9QRv25He21Png</t>
  </si>
  <si>
    <t>5fb16308dc5973607fa3041c</t>
  </si>
  <si>
    <t>I wouldn't because I'm just not into them kind of snacks</t>
  </si>
  <si>
    <t>35.130.120.117</t>
  </si>
  <si>
    <t>R_1oCopdi7Wk4NMQH</t>
  </si>
  <si>
    <t>610dd74ebf5c4e1977a3e54e</t>
  </si>
  <si>
    <t>This would be a tasty snack that would actually be good for me.</t>
  </si>
  <si>
    <t>24.243.127.123</t>
  </si>
  <si>
    <t>R_8vpIMZhJWDusNQ5</t>
  </si>
  <si>
    <t>5a233c5d7413810001521d8f</t>
  </si>
  <si>
    <t xml:space="preserve">The change was negligible. </t>
  </si>
  <si>
    <t>73.34.133.178</t>
  </si>
  <si>
    <t>R_3nkigywLEI7bAez</t>
  </si>
  <si>
    <t>5dea5ba4446c901777bde897</t>
  </si>
  <si>
    <t xml:space="preserve">I think it's just another gimmick. In six months there will be an opposing article stating how harmful these berries are. </t>
  </si>
  <si>
    <t>195.252.201.143</t>
  </si>
  <si>
    <t>R_3hyJKz6JiXVYaKf</t>
  </si>
  <si>
    <t>5d52d9233d8e6b001b0dcd7f</t>
  </si>
  <si>
    <t>I don't think I could justify spending twice as much on an energy bar especially if I don't know if it would really work or not.</t>
  </si>
  <si>
    <t>24.147.210.36</t>
  </si>
  <si>
    <t>R_3kvK6RDTPhLOzDk</t>
  </si>
  <si>
    <t>63d17939c8a4c718bf87ec60</t>
  </si>
  <si>
    <t>This seems like a typical claim of expensive food products. I have no desire to vet the study, but I don't really accept its conclusions as causal. I'll wait until cara berries enter mainstream acceptance as some kind of super food before I seek them out.</t>
  </si>
  <si>
    <t>0.02 points</t>
  </si>
  <si>
    <t>.10¬¢</t>
  </si>
  <si>
    <t>68.206.208.72</t>
  </si>
  <si>
    <t>R_3knXbo7UEz3EPwI</t>
  </si>
  <si>
    <t>595d8b55fe4a4700017a07e6</t>
  </si>
  <si>
    <t>I would purchase the bars if they improved mental alertness by a high enough amount. Recently there have been many different supplements on the market that encourages mental alertness, but they're usually high priced or don't offer much of a difference.</t>
  </si>
  <si>
    <t>73.22.20.38</t>
  </si>
  <si>
    <t>R_3Pi3ceFsbMpEph8</t>
  </si>
  <si>
    <t>62e16fb51640e18c6eae623f</t>
  </si>
  <si>
    <t>The overall change was fairly small on my opinion and could be explained by other factors, or randomness in general. I didn't think the change was significant enough to really point at a direct benefit.</t>
  </si>
  <si>
    <t>24.28.29.199</t>
  </si>
  <si>
    <t>R_2ta1nfS6n9fyJtT</t>
  </si>
  <si>
    <t>61016a44fcaae5d80977fa72</t>
  </si>
  <si>
    <t xml:space="preserve">I could use the energy but I don‚Äôt really have the extra money to spend </t>
  </si>
  <si>
    <t>1000minutes</t>
  </si>
  <si>
    <t>66.69.83.204</t>
  </si>
  <si>
    <t>R_10YSiQuYuiOdIK8</t>
  </si>
  <si>
    <t>63cf05f5fad678fe7ce3bbe9</t>
  </si>
  <si>
    <t xml:space="preserve">I would definitely purchase the bars to see how well they work. I feel like sometimes my mental alertness can be low and would like to improve it. </t>
  </si>
  <si>
    <t>71.253.146.179</t>
  </si>
  <si>
    <t>R_1mz9J2CiPCzjfRy</t>
  </si>
  <si>
    <t>558afa29fdf99b7dfdbac1c6</t>
  </si>
  <si>
    <t>It didn't seem like cara berries improved mental alertness that much. Certainly not worth paying double the price!</t>
  </si>
  <si>
    <t>165.225.56.123</t>
  </si>
  <si>
    <t>R_1Oq1GEZYWEuuwMa</t>
  </si>
  <si>
    <t>627120b98967a5dbd4922c2e</t>
  </si>
  <si>
    <t xml:space="preserve">Results and research show they are healthy for your mental health and physical health. </t>
  </si>
  <si>
    <t>If the mental health improvement was 0.3 or lower</t>
  </si>
  <si>
    <t>38.158.67.232</t>
  </si>
  <si>
    <t>R_uxMOPgan3Ffkac1</t>
  </si>
  <si>
    <t>64089f6f4f0e2f447c9de335</t>
  </si>
  <si>
    <t>I would at least want to try these energy bars.</t>
  </si>
  <si>
    <t>107.192.144.133</t>
  </si>
  <si>
    <t>R_1r32oO53s0hGfXT</t>
  </si>
  <si>
    <t>60dccc040c30eb41bf18769e</t>
  </si>
  <si>
    <t>I would like to try cara berry energy bars because it offers something that traditional energy bars don't.</t>
  </si>
  <si>
    <t>71.70.172.247</t>
  </si>
  <si>
    <t>R_2YhsFWU9G2IeqT2</t>
  </si>
  <si>
    <t>5d18ca519bd071001aaaa932</t>
  </si>
  <si>
    <t>It is always a good idea to increase your alertness. This will make problem solving and mental tasks a bit easier</t>
  </si>
  <si>
    <t>76.177.108.148</t>
  </si>
  <si>
    <t>R_1NdZWH2PV8ZBQH1</t>
  </si>
  <si>
    <t>612a5744ab67e0bc1b93dd8b</t>
  </si>
  <si>
    <t>I don't tend to trust health food fads.</t>
  </si>
  <si>
    <t>173.62.186.50</t>
  </si>
  <si>
    <t>R_UtG8WSinwcKp4m5</t>
  </si>
  <si>
    <t>62f4494cccb8d9bbf960dba0</t>
  </si>
  <si>
    <t>I am not a fan of energy bars in the first place, with or without cara berries so I would need to make a significant adjustment to my diet before the question of purchasing cara berry energy bars becomes relevant to me. As for using the cara berry energy bars specifically, I honestly see this as yet another diet fad. Just one study is not enough for me to believe that the alleged benefit really exists and even if true, the average 0.4 bump in self-reported mental alertness is not really worth the effort and the added expense to me.</t>
  </si>
  <si>
    <t>98.46.118.224</t>
  </si>
  <si>
    <t>R_1gi0pze12tcoVSh</t>
  </si>
  <si>
    <t>61562037d8d42a74687762c6</t>
  </si>
  <si>
    <t>I would get them in hopes that they worked for me. I would try to think positively as it doesn‚Äôt seem like most people experienced a very big difference. I would hope that they would help me feel better while I‚Äôm dealing with feeling drained due to migraines.</t>
  </si>
  <si>
    <t>I think that it would be tough to say but that most negative results really are negative. I would still want her to take another test by a different doctor though just to be sure that it truly is a negative.</t>
  </si>
  <si>
    <t>76.128.14.124</t>
  </si>
  <si>
    <t>R_20MzzzteKMzgLZ9</t>
  </si>
  <si>
    <t>5b60ddcc6b25590001782ce4</t>
  </si>
  <si>
    <t xml:space="preserve">I believe the cost of saving money to having maybe a slight increase in mental wellbeing is not worth it for me. I would much rather have the guaranteed increase in mental state for cheaper. </t>
  </si>
  <si>
    <t>1.0 to 1.2</t>
  </si>
  <si>
    <t>Very low. She might have a 10 percent chance but still low.</t>
  </si>
  <si>
    <t>24.7.182.163</t>
  </si>
  <si>
    <t>R_3Ezeiy5yH9flTRx</t>
  </si>
  <si>
    <t>63daed36814c21c85fd0e937</t>
  </si>
  <si>
    <t xml:space="preserve">I would not purchase cara berry energy bars because I do not feel good about consuming products that are in short supply. Increased demand could lead to endangering the plant species or worse working conditions for those that pick the berries. Further, I do not think improving my mental alertness is worth paying twice the price. </t>
  </si>
  <si>
    <t>73.147.180.157</t>
  </si>
  <si>
    <t>R_1FEP3TncdIQUsIO</t>
  </si>
  <si>
    <t>5f2ddeae9dfd7a132a7f4ae8</t>
  </si>
  <si>
    <t>anything less than a substantial improvement would make it not worth it</t>
  </si>
  <si>
    <t>it seems like its a nonsense claim.  i would have to look into more studies to see if there's any validity behind it</t>
  </si>
  <si>
    <t>146.245.134.240</t>
  </si>
  <si>
    <t>R_3O8K3ZNmz4iHo8x</t>
  </si>
  <si>
    <t>62a0e1cae57335ec1e5bea37</t>
  </si>
  <si>
    <t>The price of the cara berry energy bars may not justify it for me. If it goes for 2-3x times the price, I could also get a coffee or other caffeinated type of drink I might prefer the taste of more.</t>
  </si>
  <si>
    <t>65.60.212.40</t>
  </si>
  <si>
    <t>R_3pnUGGlUZRthsLi</t>
  </si>
  <si>
    <t>5c1c157f77936700018284b7</t>
  </si>
  <si>
    <t>2-3 points</t>
  </si>
  <si>
    <t>An improvement of .06 in mental alertness is not enough to spend extra money on.</t>
  </si>
  <si>
    <t>136.52.122.105</t>
  </si>
  <si>
    <t>R_2To8ZUvoUYu92bH</t>
  </si>
  <si>
    <t>6290d05992a97c47797f9de3</t>
  </si>
  <si>
    <t>I think I'd try it out for a week to see how my mind and body react, but the gains were not as high as I would have expected for the cost of the berries. I think I would also incorporate other things like a healthy diet, added sleep, exercise, etc, that would maybe get me the same if not more mental alertness gains.</t>
  </si>
  <si>
    <t>68.33.202.222</t>
  </si>
  <si>
    <t>R_3CDHG6ksGhlZ7jR</t>
  </si>
  <si>
    <t>5cf5d7529681010001eeaecf</t>
  </si>
  <si>
    <t xml:space="preserve">If it‚Äôs really able to do what they say it does and does provide the benefits to enrich one‚Äôs wellbeing it‚Äôs worth at least trying it. </t>
  </si>
  <si>
    <t>69.40.55.80</t>
  </si>
  <si>
    <t>R_DABFO79Z395E3Kx</t>
  </si>
  <si>
    <t>629075a83e17794e104bb46b</t>
  </si>
  <si>
    <t>The mental improvement is not enough to validate the extra money to buy them. 
I would need to see a higher degree of mental clarity to pay more.</t>
  </si>
  <si>
    <t>It is unlikely she has a tumor.</t>
  </si>
  <si>
    <t>76.174.49.43</t>
  </si>
  <si>
    <t>R_BxJK8NMMwmmbNa9</t>
  </si>
  <si>
    <t>63e6fa5a3c3e355fed075e8c</t>
  </si>
  <si>
    <t>I think that while there is data saying it does improve overall mental alertness it is not a significant enough jump to justify the price increase.</t>
  </si>
  <si>
    <t>Going from a 1 to a 3</t>
  </si>
  <si>
    <t>1/10 of a chance</t>
  </si>
  <si>
    <t>50.158.210.46</t>
  </si>
  <si>
    <t>R_2pQ7WV5OtPEFPg0</t>
  </si>
  <si>
    <t>5cfb6018bdfd56001820466f</t>
  </si>
  <si>
    <t>I would like to try them but I'm fine without them in my daily, especially because they're more expensive and I don't really consume energy bars that often.</t>
  </si>
  <si>
    <t>76.106.221.117</t>
  </si>
  <si>
    <t>R_3J8DlyriBY2B9sU</t>
  </si>
  <si>
    <t>63203d54624a0d83092c7a42</t>
  </si>
  <si>
    <t xml:space="preserve">I would very likely purchase them if I could fit them in my budget. </t>
  </si>
  <si>
    <t>172.56.93.243</t>
  </si>
  <si>
    <t>R_2TtLEmfhVyxgRED</t>
  </si>
  <si>
    <t>60b85becc8a6814025bc03f6</t>
  </si>
  <si>
    <t>It seems like little benefit for twice the cost.</t>
  </si>
  <si>
    <t>75.13.139.146</t>
  </si>
  <si>
    <t>R_1P5k8kQG5vkVel9</t>
  </si>
  <si>
    <t>55a5f1e8fdf99b28b5340d01</t>
  </si>
  <si>
    <t>I think I would most likely purchase to test it out and see for myself if it actually has any benefits or not. There's probably a lot of other factors involved, but I am willing to try something new.</t>
  </si>
  <si>
    <t>23.124.220.112</t>
  </si>
  <si>
    <t>R_3oBXz0uaOKu0dgg</t>
  </si>
  <si>
    <t>622a0d9a4f5132ad78e5f1b6</t>
  </si>
  <si>
    <t>I feel my mental alertness is quite good, and I don't feel eating one energy bar a day containing any particular ingredient would have a definite effect on improving my mental alertness</t>
  </si>
  <si>
    <t>15 minutes</t>
  </si>
  <si>
    <t>63.231.42.30</t>
  </si>
  <si>
    <t>R_2bNu9J0qj1gfJGv</t>
  </si>
  <si>
    <t>5d9401eb13cb9d001c3deaf9</t>
  </si>
  <si>
    <t>Since they have a limited stock and are seen as more expensive, I would rather just eat regular bars. Plus if its so limited the popularity may eliminate the berry in nature causing undue environmental damage</t>
  </si>
  <si>
    <t>very likely</t>
  </si>
  <si>
    <t>73.34.208.208</t>
  </si>
  <si>
    <t>R_3PoeeEksfljvH4q</t>
  </si>
  <si>
    <t>61329758a6a8f07ab3d640cf</t>
  </si>
  <si>
    <t>Cara Berry energy bars may contain various ingredients, such as caffeine, vitamins, and minerals, that are believed to promote mental alertness and improve cognitive function. However, the effectiveness of these ingredients and their dosage may vary from product to product. Additionally, individual tolerance and sensitivity to certain ingredients can also influence the extent to which they affect mental alertness.</t>
  </si>
  <si>
    <t>Assuming the die is fair and has an equal chance of landing on each of its six sides, the probability of rolling an even number (2, 4, or 6) on any given roll is 3/6 or 1/2. Therefore, we can expect that on average, we would get an even number half of the time.
If we roll the die 1000 times, we can expect to get an even number approximately 500 times. However, it's important to note that this is just an average and the actual number of times the die lands on an even number may vary from the expected value due to random chance.</t>
  </si>
  <si>
    <t xml:space="preserve">We can estimate that approximately 10 people out of the 1000 who bought a ticket will win a $10.00 prize in the BIG BUCKS LOTTERY. </t>
  </si>
  <si>
    <t>Only 0.1% of tickets to the ACME PUBLISHING SWEEPSTAKES win a car.</t>
  </si>
  <si>
    <t>It would take 100 machines 5 minutes to make 100 widgets.</t>
  </si>
  <si>
    <t>108.84.184.21</t>
  </si>
  <si>
    <t>R_31EhRvaEUaSyQHn</t>
  </si>
  <si>
    <t>5dbe5b68e5f6c8353f140585</t>
  </si>
  <si>
    <t>I would be interested in trying them because of the benefits, but I'm on a very tight budget, so if they cost twice as much as other types of energy bars, I probably would only buy them once.</t>
  </si>
  <si>
    <t>73.21.245.246</t>
  </si>
  <si>
    <t>R_2DP0sQft6r3WuVi</t>
  </si>
  <si>
    <t>5c83092faec9cb0011f3c905</t>
  </si>
  <si>
    <t>Going from 1.50 to 1.56 while eating these bars isn't significant enough to justify the increase in cost.</t>
  </si>
  <si>
    <t xml:space="preserve"> 1.0 to 4.0</t>
  </si>
  <si>
    <t>74.71.112.214</t>
  </si>
  <si>
    <t>R_1FzUH3ET6Q1Ip8D</t>
  </si>
  <si>
    <t>5c5c8a688089970001788f30</t>
  </si>
  <si>
    <t xml:space="preserve">I am trying to keep spending limited right now, but if there is something this inexpensive that can boost brain function, I would gladly pay for the higher priced bar. </t>
  </si>
  <si>
    <t>0.1 to 1.0 would not be enough for me to spend extra money -- the difference would have to be more substantial for me to justify extra spending</t>
  </si>
  <si>
    <t>74.104.162.50</t>
  </si>
  <si>
    <t>R_3EjclBFFr0ZW628</t>
  </si>
  <si>
    <t>5f52afc954863a5bd06a1665</t>
  </si>
  <si>
    <t>The improvement seems extremely small and the study was also small and short term, so I would need to see more proof for it to be worth the cost.</t>
  </si>
  <si>
    <t>24.145.55.0</t>
  </si>
  <si>
    <t>R_29ppRPxLgYiihQC</t>
  </si>
  <si>
    <t>63e54edceb0c90c38065e819</t>
  </si>
  <si>
    <t>I would want to have better mental alertness.</t>
  </si>
  <si>
    <t>1 in 1,000</t>
  </si>
  <si>
    <t>75.168.223.60</t>
  </si>
  <si>
    <t>R_3e4ZS99rnIE8uKf</t>
  </si>
  <si>
    <t>60ff9a4e2344f776fc62a5a6</t>
  </si>
  <si>
    <t>The improvement is insignificant</t>
  </si>
  <si>
    <t>174.210.6.5</t>
  </si>
  <si>
    <t>R_1pyzV822Npttss8</t>
  </si>
  <si>
    <t>6413992859f462e750f8f162</t>
  </si>
  <si>
    <t xml:space="preserve">The difference was extremely small between people who ate Cara berries and those who didn't.  Didn't seem worth the extra cost. </t>
  </si>
  <si>
    <t>47.5.132.191</t>
  </si>
  <si>
    <t>R_2y1HH9EtCm2sxjd</t>
  </si>
  <si>
    <t>5c753cfc25c76b00017068ab</t>
  </si>
  <si>
    <t>They work better than regular energy bars so I would prefer them more</t>
  </si>
  <si>
    <t>134.197.0.17</t>
  </si>
  <si>
    <t>R_2Bbnc82ZfuLLJG4</t>
  </si>
  <si>
    <t>6400d8ebdb56820b08cfdfd3</t>
  </si>
  <si>
    <t>Certainly there are other options (like sleep, ever heard of it?) to increase alertness that does not involve overpriced bars.</t>
  </si>
  <si>
    <t>68.205.225.50</t>
  </si>
  <si>
    <t>R_3qCoS4QkKOSd5qr</t>
  </si>
  <si>
    <t>60ea0984f30f7e0a9b839e3b</t>
  </si>
  <si>
    <t xml:space="preserve">I would need to read more about the study. We are often told that a berry or nut, one we've known about for ages, gives all of these benefits. People use a lot of it, and then it fizzles out. </t>
  </si>
  <si>
    <t>107.77.231.83</t>
  </si>
  <si>
    <t>R_2Sjkn0JqYmbmd6K</t>
  </si>
  <si>
    <t>616202f3ca5b3ab47923ee80</t>
  </si>
  <si>
    <t xml:space="preserve">I dont think it is worth the cost for me right now in this stage of life </t>
  </si>
  <si>
    <t>68.205.133.83</t>
  </si>
  <si>
    <t>R_agxOeP6UQc2Bv2h</t>
  </si>
  <si>
    <t>6286e56db20530b65816d1d7</t>
  </si>
  <si>
    <t>They quoted as saying they were expensive.  They did not say how expensive or how much they cost.  I wouldn't know  if I wanted them until I saw a price.</t>
  </si>
  <si>
    <t>47.229.86.176</t>
  </si>
  <si>
    <t>R_3IbDOFz0lqXW4zn</t>
  </si>
  <si>
    <t>6108e0b9b254d1ce92a37b95</t>
  </si>
  <si>
    <t>I'm not really a fan of energy bars in the first place, so I wouldn't be very motivated to spend more money than usual on them. There are other ways to raise my mental alertness that I'd prefer and are probably cheaper</t>
  </si>
  <si>
    <t>98.37.143.129</t>
  </si>
  <si>
    <t>R_1OZvY9gMObpqabi</t>
  </si>
  <si>
    <t>63d0eab45141dac9b787c959</t>
  </si>
  <si>
    <t>There are some factors of the study that make me hesitant in thinking cara berries do improve mental alertness (self-report, no indication of participants were aware that they were getting the bars w/ cara berries or not). I also think the difference b/t the cara berry energy bars versus the ones without is not that great.</t>
  </si>
  <si>
    <t xml:space="preserve">500 times </t>
  </si>
  <si>
    <t>24.14.199.184</t>
  </si>
  <si>
    <t>R_BWEWfJ23dQWf0xr</t>
  </si>
  <si>
    <t>5ce2f6723f8060000109feab</t>
  </si>
  <si>
    <t>I don't think the difference in energy ratings was a lot considering the extra price of the bar</t>
  </si>
  <si>
    <t>76.213.126.82</t>
  </si>
  <si>
    <t>R_3MmaxGrGyaMzcQT</t>
  </si>
  <si>
    <t>5f129c59bf131c205dfb8e5c</t>
  </si>
  <si>
    <t>It's fairly tempting, but they're more expensive than general energy bars, which are already sometimes seemingly overpriced. That is also only data from one study.</t>
  </si>
  <si>
    <t>40% chance</t>
  </si>
  <si>
    <t>174.231.83.12</t>
  </si>
  <si>
    <t>R_3nJbXesETnZ7b3I</t>
  </si>
  <si>
    <t>5c4e3977c0783c00016936f9</t>
  </si>
  <si>
    <t xml:space="preserve">I'd probably just want to buy them to try them and see how they are but don't have too much of an interest in them. </t>
  </si>
  <si>
    <t>47.233.100.23</t>
  </si>
  <si>
    <t>R_3mkmCvOYzoCK1zy</t>
  </si>
  <si>
    <t>5ec67c1f9d0f0906b783865f</t>
  </si>
  <si>
    <t xml:space="preserve">Given that the berries are described as quite a bit more expensive than other ingredients, there needs to be a very good reason to seek them out for this one purported purpose. There are bits of information given (340 participants, range of resulting scores at around 1.5 for both groups) and there may well be potential, but I would need to see a much more thorough statistical analysis to determine whether the results are even significant. Only at that point could I even begin to weigh their effectiveness against other choices that may not cost nearly so much to achieve the same (or even better) results, particularly if there is more research available on the efficacy of alternatives. 
It's not to say that I would avoid eating or even buying them. Perhaps I really like the taste. It's the predication of this choice on this one supposed medical benefit which is simply not going to happen given available information. </t>
  </si>
  <si>
    <t xml:space="preserve">I recall the cost was double, so I'd want double the improvement, i.e. 3.0. </t>
  </si>
  <si>
    <t>98.161.21.51</t>
  </si>
  <si>
    <t>R_3oHkcBQQIdmd1xE</t>
  </si>
  <si>
    <t>63d96d5957cdd8a417721253</t>
  </si>
  <si>
    <t>I would like to use the bars to increase my mental alertness, but they are more expensive so I may only purchase them if I have some extra money available to spend.</t>
  </si>
  <si>
    <t>172.56.105.104</t>
  </si>
  <si>
    <t>R_2pW8E9ACl5yUTjs</t>
  </si>
  <si>
    <t>5fc5c8d74ac28216359a94f2</t>
  </si>
  <si>
    <t>I think it‚Äôd be nice to have and be helpful for mental health and awareness for me..</t>
  </si>
  <si>
    <t>1 percent.</t>
  </si>
  <si>
    <t>There is a low likelyhoid that shed haves a tumor 10 percent.</t>
  </si>
  <si>
    <t>73.234.2.117</t>
  </si>
  <si>
    <t>R_3ELxgqEO7j0TbKT</t>
  </si>
  <si>
    <t>62e027478bb6dca099c2e207</t>
  </si>
  <si>
    <t>I would want to try it and see what I thought.  However it would depend on the price.</t>
  </si>
  <si>
    <t>96.11.26.26</t>
  </si>
  <si>
    <t>R_3MS8bFxY6ifs2wU</t>
  </si>
  <si>
    <t>610d7f845082b557c0ca5b25</t>
  </si>
  <si>
    <t xml:space="preserve">The study wasn't very long nor had enough participants to be very accurate. Plus with the added expense, I just don't think it would be worth it. </t>
  </si>
  <si>
    <t>75.186.106.35</t>
  </si>
  <si>
    <t>R_3sho6jOfNKMVJXP</t>
  </si>
  <si>
    <t>5e230311699ac45b327786dc</t>
  </si>
  <si>
    <t>Just another overpriced ridiculous health fad (which I doubt is a real plant anyway). If you want to be healthy, eat real food, not processed garbage.</t>
  </si>
  <si>
    <t>50% chance she actually has a tumor 9/18. (Stopped getting mammograms years ago once I learned about false positives and absolute vs relative risk)</t>
  </si>
  <si>
    <t>5 minutes
Please be aware that I am familiar with these logic questions. Lots of Prolific researchers use them, so the responses you get may not mean anything.</t>
  </si>
  <si>
    <t>73.43.12.44</t>
  </si>
  <si>
    <t>R_25scClf3yCjGpWz</t>
  </si>
  <si>
    <t>631797089a0a1ee579573eb9</t>
  </si>
  <si>
    <t>probably would, but they seem expensive</t>
  </si>
  <si>
    <t>162.218.217.50</t>
  </si>
  <si>
    <t>R_3RkDv6cEvOHM1gU</t>
  </si>
  <si>
    <t>64010f32f8dee9772983c7cd</t>
  </si>
  <si>
    <t>I don't want to improve my mental alertness, caffeine is already an affordable option for me if I did want to improve my mental alertness.</t>
  </si>
  <si>
    <t>24.229.165.136</t>
  </si>
  <si>
    <t>R_1jZJAkPcpFu6vnE</t>
  </si>
  <si>
    <t>56169e435c62cf000f822c76</t>
  </si>
  <si>
    <t>I can't afford them and I rarely eat energy bars.</t>
  </si>
  <si>
    <t>73.124.129.229</t>
  </si>
  <si>
    <t>R_1hSWq7FA7y6GuYQ</t>
  </si>
  <si>
    <t>614f64af286f5a5cc8fa849d</t>
  </si>
  <si>
    <t>I would purchase them to determine for myself whether they increase alertness.</t>
  </si>
  <si>
    <t>&lt;.05</t>
  </si>
  <si>
    <t>172.56.216.126</t>
  </si>
  <si>
    <t>R_268Ue2loPZ0ywai</t>
  </si>
  <si>
    <t>60fd05d893767fcb40666fc7</t>
  </si>
  <si>
    <t>They provide only a small increase in alertness but are double the price</t>
  </si>
  <si>
    <t>174.249.177.165</t>
  </si>
  <si>
    <t>R_2WMXvf71HjYScYQ</t>
  </si>
  <si>
    <t>5c2f7160968cf40001a39596</t>
  </si>
  <si>
    <t>They seem to be able to help and it something that be worth a sample of.</t>
  </si>
  <si>
    <t>.01 percent</t>
  </si>
  <si>
    <t>68.189.48.8</t>
  </si>
  <si>
    <t>R_25Gcn6VEOmQBT6f</t>
  </si>
  <si>
    <t>5adeb4e9f6b58c0001fa70aa</t>
  </si>
  <si>
    <t>It was barely a change at all. I believe it was 1.54 to 1.56.</t>
  </si>
  <si>
    <t>107.210.170.163</t>
  </si>
  <si>
    <t>R_1IB0dF1AMwt7PzM</t>
  </si>
  <si>
    <t>607dd6f5c5c64b4c2fb5609f</t>
  </si>
  <si>
    <t>The results of the study speak for themselves. The regular energy bars only had a minimal increase but the Cara Berry bar results were staggering.</t>
  </si>
  <si>
    <t>76.25.208.134</t>
  </si>
  <si>
    <t>R_29oU4we3frGWhkN</t>
  </si>
  <si>
    <t>5b7ba10e4ba9cd0001e66fb4</t>
  </si>
  <si>
    <t>The results don't seem to be overwhelming, I don't generally eat energy bars at all, there are other ways to improve mental alertness.</t>
  </si>
  <si>
    <t>.1 percent</t>
  </si>
  <si>
    <t>174.215.160.148</t>
  </si>
  <si>
    <t>R_2dLpuHVRSwsbnmv</t>
  </si>
  <si>
    <t>5a443703daea400001ac2859</t>
  </si>
  <si>
    <t>The cost would be prohibitive</t>
  </si>
  <si>
    <t>75.178.124.40</t>
  </si>
  <si>
    <t>R_3QJl3Qk23xzne3t</t>
  </si>
  <si>
    <t>63ed41743848042f0261bc1f</t>
  </si>
  <si>
    <t>I would because, if it was something I thought I may need. Also, It sounds interesting to me.</t>
  </si>
  <si>
    <t>20 points.</t>
  </si>
  <si>
    <t>50 times.</t>
  </si>
  <si>
    <t>10 People.</t>
  </si>
  <si>
    <t>She is likely to not have it.</t>
  </si>
  <si>
    <t>.10 cents</t>
  </si>
  <si>
    <t>1 minute.</t>
  </si>
  <si>
    <t>73.41.212.11</t>
  </si>
  <si>
    <t>R_2D2hbMQMCVu8QJC</t>
  </si>
  <si>
    <t>5b07b71c68eff50001d1c859</t>
  </si>
  <si>
    <t>it was shown to help with alertness</t>
  </si>
  <si>
    <t>69.254.1.118</t>
  </si>
  <si>
    <t>R_33dVKVc6vwQH4JC</t>
  </si>
  <si>
    <t>60fe0b73bbb479e45039b320</t>
  </si>
  <si>
    <t>I would not due to the cost. It's not enough of a difference to make the cost make sense to me.</t>
  </si>
  <si>
    <t>24.60.160.190</t>
  </si>
  <si>
    <t>R_1dyNZfqRnSaO30U</t>
  </si>
  <si>
    <t>63d15f735cecfd9bb3c118e1</t>
  </si>
  <si>
    <t>Honestly would depends on what i would be doing that day or week, if i knew i was going to have a stressfull week, i would likely try them out.</t>
  </si>
  <si>
    <t>.10$</t>
  </si>
  <si>
    <t>23.115.28.121</t>
  </si>
  <si>
    <t>R_3nj6AxPKiLfWMnc</t>
  </si>
  <si>
    <t>61016fba26e42d1d449f890d</t>
  </si>
  <si>
    <t>I don't think I would want to spend the extra money, when the increase in mental alertness didn't seem high enough.</t>
  </si>
  <si>
    <t>98.61.178.213</t>
  </si>
  <si>
    <t>R_pAk588tTtyGAc5r</t>
  </si>
  <si>
    <t>604682ba80d421045184668a</t>
  </si>
  <si>
    <t xml:space="preserve">The increase was small and could have been the result of other factors </t>
  </si>
  <si>
    <t>98.220.53.234</t>
  </si>
  <si>
    <t>R_2A08EU9knl1BpbW</t>
  </si>
  <si>
    <t>5dd59e901986eb55f1e2cb22</t>
  </si>
  <si>
    <t>I have been struggling with mental alertness for the past few things and this might be the thing I need. I'm not fully on board because of the price.</t>
  </si>
  <si>
    <t>172.58.19.214</t>
  </si>
  <si>
    <t>R_3PNyNsYulLkbVE0</t>
  </si>
  <si>
    <t>5e976f67be609822f1146463</t>
  </si>
  <si>
    <t>I really find the energy bars very appealing and Original and natural and the claims are very beneficial.</t>
  </si>
  <si>
    <t>I think at least 550 times.</t>
  </si>
  <si>
    <t>One person out of the thousand.</t>
  </si>
  <si>
    <t xml:space="preserve">10 percent </t>
  </si>
  <si>
    <t xml:space="preserve">10 people </t>
  </si>
  <si>
    <t xml:space="preserve">12 people </t>
  </si>
  <si>
    <t xml:space="preserve">10 cents </t>
  </si>
  <si>
    <t>47.42.65.228</t>
  </si>
  <si>
    <t>R_1mn1zHDBVNTWW1A</t>
  </si>
  <si>
    <t>6101b2a04f101c97afb35034</t>
  </si>
  <si>
    <t>Not too convinced</t>
  </si>
  <si>
    <t>73.237.143.21</t>
  </si>
  <si>
    <t>R_bsl7UkZ5tpGE65P</t>
  </si>
  <si>
    <t>626976d0dfd20d6832fc92aa</t>
  </si>
  <si>
    <t>They are more expensive and I don't think it would be worth the cost.</t>
  </si>
  <si>
    <t>50.83.125.44</t>
  </si>
  <si>
    <t>R_OrN8JPYzOYu26xr</t>
  </si>
  <si>
    <t>603a68aad98e955cdccb9aec</t>
  </si>
  <si>
    <t>I would be curious to see how much they improve my focus.</t>
  </si>
  <si>
    <t>97.118.90.69</t>
  </si>
  <si>
    <t>R_3ly1bMYtqX93eqU</t>
  </si>
  <si>
    <t>612d227e68d8bf942e6091da</t>
  </si>
  <si>
    <t xml:space="preserve">The statistic provided in the report of how much the participant‚Äôs mental alertness increased in comparison to with conventional energy bars was not substantial; and if the cara berry bars are twice as expensive it does not seem worth it. </t>
  </si>
  <si>
    <t xml:space="preserve">At least 1 point. </t>
  </si>
  <si>
    <t>1 person</t>
  </si>
  <si>
    <t xml:space="preserve">20 minutes </t>
  </si>
  <si>
    <t>98.204.56.31</t>
  </si>
  <si>
    <t>R_33vytAnE8VMpKi3</t>
  </si>
  <si>
    <t>60a6b846413f32d3cfa0aa06</t>
  </si>
  <si>
    <t>I would purchase to try them, but I am always skepticle of claims like theses</t>
  </si>
  <si>
    <t>1 percent</t>
  </si>
  <si>
    <t>172.100.12.126</t>
  </si>
  <si>
    <t>R_DSKO1xFGtDfze0h</t>
  </si>
  <si>
    <t>5c4eb384c9c8550001720152</t>
  </si>
  <si>
    <t>Thats not a high enough number to have me continously eating the same thing repeatedly</t>
  </si>
  <si>
    <t>9/100</t>
  </si>
  <si>
    <t>35.141.144.141</t>
  </si>
  <si>
    <t>R_cILpzt6ISUuJAch</t>
  </si>
  <si>
    <t>5dd2c9f2c925a82e5167ef8b</t>
  </si>
  <si>
    <t xml:space="preserve">I would be willing to try anything natural to improve it. </t>
  </si>
  <si>
    <t>24.127.235.3</t>
  </si>
  <si>
    <t>R_3oI7BMwxqpLGkN5</t>
  </si>
  <si>
    <t>63dac3039dddeaa909a790fb</t>
  </si>
  <si>
    <t xml:space="preserve">I guess I just don't really think the article was all that convincing in actually making the case the the "cara berry energy bars" were as effective as it claimed. The article mentions a study but without more information about the methodology of the study, how can one attribute the claims of increased mental alertness to the presence of the berries when there could just as likely be other factors at play? I just don't think there's enough there to make any meaningful claim about the bars effectiveness based on this one "study". </t>
  </si>
  <si>
    <t>172.59.128.255</t>
  </si>
  <si>
    <t>R_1gUQ9SANBjCXT1J</t>
  </si>
  <si>
    <t>5f910e8e53814b228b0dad03</t>
  </si>
  <si>
    <t xml:space="preserve">The increase in the study was exciting </t>
  </si>
  <si>
    <t>73.97.77.150</t>
  </si>
  <si>
    <t>R_BsToVyWxyPm07mh</t>
  </si>
  <si>
    <t>62eed9e3e4c704bcef237b74</t>
  </si>
  <si>
    <t>I don't have such a demanding life that I require a higher mental alertness</t>
  </si>
  <si>
    <t>73.77.230.94</t>
  </si>
  <si>
    <t>R_3EinGeqew5cWvKd</t>
  </si>
  <si>
    <t>5daf758895628c0017e6e1f9</t>
  </si>
  <si>
    <t>I would  definitely try and purchase Cara berry energy for a week to test if the bars are actually effective in improving my mental alertness.</t>
  </si>
  <si>
    <t xml:space="preserve">10
</t>
  </si>
  <si>
    <t>96.90.118.201</t>
  </si>
  <si>
    <t>R_1lt03lACy0slsJ7</t>
  </si>
  <si>
    <t>5b214ff965753400017af117</t>
  </si>
  <si>
    <t>Mental alertness is alluring and desirable, I'm swayed by anything that says it can improve my energy or focus due to ADD and other mental illnesses.</t>
  </si>
  <si>
    <t>8 points</t>
  </si>
  <si>
    <t>73.239.230.182</t>
  </si>
  <si>
    <t>R_1GTykl4YugCqnGI</t>
  </si>
  <si>
    <t>60bf80b5a9eb4e026caae402</t>
  </si>
  <si>
    <t>I generally don't buy energy bars or priducts. Beyond that, the description left out many key pieces of information that would help me understand how (if at all) effective the berries are. it says the average energy level increased but doesn't say by how much and there was no information about if they corrected for other factors that may affect the results. They also didn't tell us the sample size.</t>
  </si>
  <si>
    <t>166.198.28.67</t>
  </si>
  <si>
    <t>R_31T7ZtGeXtlWzhL</t>
  </si>
  <si>
    <t>5f98c3f8f2d9be1e75e21709</t>
  </si>
  <si>
    <t>It's very hard for me to really try to test for things like this if it actually did work that's one thing but I would have to know through first one you said it were</t>
  </si>
  <si>
    <t>75.170.25.14</t>
  </si>
  <si>
    <t>R_ufQtIHM9fmivlzb</t>
  </si>
  <si>
    <t>5a8ee1a5ae9a0b0001aa4776</t>
  </si>
  <si>
    <t>its a great product and i would want to have mental alertness</t>
  </si>
  <si>
    <t>its a 9% chance</t>
  </si>
  <si>
    <t>47.187.141.37</t>
  </si>
  <si>
    <t>R_6lJiEpBrkHO1Afn</t>
  </si>
  <si>
    <t>637e4167f257ac9ea04f3435</t>
  </si>
  <si>
    <t>because it will improve my immune and nervous system improving my nervous system</t>
  </si>
  <si>
    <t>going from an average mental alertness rating of 1 to 3by the end of the week would be an improvement of 1 point in mental alertness</t>
  </si>
  <si>
    <t>tested positive</t>
  </si>
  <si>
    <t>172.58.149.145</t>
  </si>
  <si>
    <t>R_x2Td8jELXCD1lGp</t>
  </si>
  <si>
    <t>62ce35b697d7d717edaeee58</t>
  </si>
  <si>
    <t>I have a limited grocery budget, and they are expensive.</t>
  </si>
  <si>
    <t>68.110.76.165</t>
  </si>
  <si>
    <t>R_1pFH7PxziGz2dYU</t>
  </si>
  <si>
    <t>5f48dab70aa4ce3aa1914003</t>
  </si>
  <si>
    <t>The premium cost, on top of the already relatively high price of healthy energy bars, makes me doubt that this is the most cost-effective way of improving my mental alertness.</t>
  </si>
  <si>
    <t>76.217.189.63</t>
  </si>
  <si>
    <t>R_1KwDoW5NgOnEGam</t>
  </si>
  <si>
    <t>60c18d0606115c8eecb6091b</t>
  </si>
  <si>
    <t>I might or might not buy cara berry energy bars to improve my mental alertness because of the price. I might buy some every now and then to use when I felt I needed them but because of the price I dont think it would be completly necessary to make them a daily habit to eat.</t>
  </si>
  <si>
    <t>1% of tickets</t>
  </si>
  <si>
    <t>80 percent</t>
  </si>
  <si>
    <t>47.232.162.242</t>
  </si>
  <si>
    <t>R_dcZfN7tPxBMcLoR</t>
  </si>
  <si>
    <t>5b8e9747a862a6000120a050</t>
  </si>
  <si>
    <t xml:space="preserve">I would be intrigued to give it a try. Obviously the sample size is super small. </t>
  </si>
  <si>
    <t>12.50.38.226</t>
  </si>
  <si>
    <t>R_9BjEX3KNkuXwjIt</t>
  </si>
  <si>
    <t>5e9c4666d28cb0023c8d43a5</t>
  </si>
  <si>
    <t>I don't have any focus/attention problems, and I don't know what the other ingredients are.</t>
  </si>
  <si>
    <t>35.140.196.150</t>
  </si>
  <si>
    <t>R_OD5zh7gqWQRBKaR</t>
  </si>
  <si>
    <t>588908498fd7f00001d735f8</t>
  </si>
  <si>
    <t>I would want to know by how much it improved the mental alertness, and whether I think that's worth it.  I don't consider myself lacking in that area, so buying something that is supported by a study that is probably put on by the manufacturer, might not be in my best interest.</t>
  </si>
  <si>
    <t>68.43.36.91</t>
  </si>
  <si>
    <t>R_2QAEZeXQDlRnd89</t>
  </si>
  <si>
    <t>5e71538a5a6f13000be49db8</t>
  </si>
  <si>
    <t>I would want to learn more about the taste, the cost and the overall benefits by doing additional research.</t>
  </si>
  <si>
    <t>75.136.13.125</t>
  </si>
  <si>
    <t>R_1LOMs8GuTLxsAki</t>
  </si>
  <si>
    <t>6287748198aa98c765deff27</t>
  </si>
  <si>
    <t>I would purchase the bar hoping it would help me, although the numbers in my opinion weren't that convincing.</t>
  </si>
  <si>
    <t>0.10 improvement would not be enough for me.</t>
  </si>
  <si>
    <t>72.234.195.104</t>
  </si>
  <si>
    <t>R_2E7e25y0fKVmMyx</t>
  </si>
  <si>
    <t>5d5d431608a4b10016285091</t>
  </si>
  <si>
    <t>An improvement in alertness from 1.0 to 2.0 would make it worth it.</t>
  </si>
  <si>
    <t>The claimed improvement is negligible, so I wouldn't waste my money on this product. It would be more effective and cheaper to just drink some tea or coffee.</t>
  </si>
  <si>
    <t>50.36.1.119</t>
  </si>
  <si>
    <t>R_1lhJVxaOrtbsV20</t>
  </si>
  <si>
    <t>61008b51b1e208bdb18bf635</t>
  </si>
  <si>
    <t xml:space="preserve">I would probably look into them a bit more, but if there are now negative effects then I would probably give it a try. I could always use more mental alertness </t>
  </si>
  <si>
    <t>76.183.86.123</t>
  </si>
  <si>
    <t>R_DGF7d5GnE78D7ix</t>
  </si>
  <si>
    <t>6409f226765c80e737f20aca</t>
  </si>
  <si>
    <t xml:space="preserve">If i was going to purchase energy bars, I would wanted to select a brand that provides the most benefit possible. Cara berries would need to be included, according to the article. </t>
  </si>
  <si>
    <t>23.240.0.21</t>
  </si>
  <si>
    <t>R_10TxqzfF7ekIz6W</t>
  </si>
  <si>
    <t>56f2319af2df32000d8fb1a4</t>
  </si>
  <si>
    <t>I would want the associated benefits for eating cara berry energy bars but I don't know that I would pay for the premium if the price was multiplicative compared to standard energy bar prices</t>
  </si>
  <si>
    <t>107.127.4.33</t>
  </si>
  <si>
    <t>R_29tPADppyVwzyVh</t>
  </si>
  <si>
    <t>63fe1b6e946bd85eb4a68860</t>
  </si>
  <si>
    <t xml:space="preserve">I am in a food budget and can not afford to stray to far off </t>
  </si>
  <si>
    <t>It would depend on how much it would be per bad and how many bars it would be before the improvement is acheived</t>
  </si>
  <si>
    <t xml:space="preserve">I have no idea </t>
  </si>
  <si>
    <t xml:space="preserve">10 to 1 she has a tumor </t>
  </si>
  <si>
    <t>96.33.208.22</t>
  </si>
  <si>
    <t>R_yDgnUkEuuTWmuHf</t>
  </si>
  <si>
    <t>63f82b77d4dd198de500f6d1</t>
  </si>
  <si>
    <t>Double improvement</t>
  </si>
  <si>
    <t>I would want to try a sample or read some studies about it. It sounds like just another fad food with hyped benefits that I wouldn't really expect much of.</t>
  </si>
  <si>
    <t>69.120.90.12</t>
  </si>
  <si>
    <t>R_1DNh87XqvpycCLE</t>
  </si>
  <si>
    <t>5bfc3bf2f553fa0001fee8f4</t>
  </si>
  <si>
    <t>I do not know enough about it.</t>
  </si>
  <si>
    <t>0.001 times 100 --&gt; 0.1%</t>
  </si>
  <si>
    <t>9 out of 10</t>
  </si>
  <si>
    <t>38.70.240.54</t>
  </si>
  <si>
    <t>R_3L71dwk5ZB0Y6pI</t>
  </si>
  <si>
    <t>5eac65aec4ed450f4df4868f</t>
  </si>
  <si>
    <t>The improvement amount was not large enough (and the way it was presented was confusing). There was an improvement with regular bars and that would be sufficient for me.</t>
  </si>
  <si>
    <t>75.173.29.91</t>
  </si>
  <si>
    <t>R_3oKQ3xPxrHNOAKj</t>
  </si>
  <si>
    <t>640210bb55fd0331ef4ee25c</t>
  </si>
  <si>
    <t xml:space="preserve">The difference between the control and the cara berry's isn't high enough for me to really consider buying a higher priced item. </t>
  </si>
  <si>
    <t>1.5 points</t>
  </si>
  <si>
    <t>69.254.148.243</t>
  </si>
  <si>
    <t>R_3nixiDXICIlaBKJ</t>
  </si>
  <si>
    <t>62b8a08a9ff4c7c019c33208</t>
  </si>
  <si>
    <t>The improvement is minimal and the cost is 2x.  I would spend the money on a supplement to improve mental alertness that has more significant improvement and would be less expensive, such as ginseng and ginkgo</t>
  </si>
  <si>
    <t>172.58.122.200</t>
  </si>
  <si>
    <t>R_1DwDJ4BvQvN2Bg2</t>
  </si>
  <si>
    <t>5e42e99a423d0b0526ec6592</t>
  </si>
  <si>
    <t>going up by 1.0</t>
  </si>
  <si>
    <t>The subjects only had a potential increase of 0.04</t>
  </si>
  <si>
    <t>174.49.109.3</t>
  </si>
  <si>
    <t>R_2uBBzOeN9y0atmT</t>
  </si>
  <si>
    <t>5ba19bdfa896050001d51f18</t>
  </si>
  <si>
    <t>The amount of improvement is not enough to justify the added cost.</t>
  </si>
  <si>
    <t>174.160.181.50</t>
  </si>
  <si>
    <t>R_11gyygOjDOS5Iik</t>
  </si>
  <si>
    <t>63f7aadebcea99433fa62ca9</t>
  </si>
  <si>
    <t>I'd try it if its at a good price</t>
  </si>
  <si>
    <t>172.59.187.8</t>
  </si>
  <si>
    <t>R_3Pi8jkHMRZGHa3z</t>
  </si>
  <si>
    <t>6267c3d17f88988d0d787c7f</t>
  </si>
  <si>
    <t>Price is the main factor. They started at a high price already on the basis of a study that I won‚Äôt even consider scientifically proven.</t>
  </si>
  <si>
    <t>73.85.99.148</t>
  </si>
  <si>
    <t>R_vPmnpLpI8zPML61</t>
  </si>
  <si>
    <t>60e9e8092cfc1f464753dd71</t>
  </si>
  <si>
    <t>i would purchase because i want to stay mentally focused</t>
  </si>
  <si>
    <t>24.160.91.10</t>
  </si>
  <si>
    <t>R_1BSnZrIZWaHlLk5</t>
  </si>
  <si>
    <t>5cfe0c0b09897800014ff31b</t>
  </si>
  <si>
    <t>I personally don't have any issues concerning my mental alertness so I wouldn't go out of my way to spend more money on that.</t>
  </si>
  <si>
    <t>24.247.229.133</t>
  </si>
  <si>
    <t>R_2WGagTU96RPijp7</t>
  </si>
  <si>
    <t>610825130bf4669d1b167efe</t>
  </si>
  <si>
    <t>There was not a big difference between the group who had conventional energy bars versus energy bars with cara berries.</t>
  </si>
  <si>
    <t>70.120.0.168</t>
  </si>
  <si>
    <t>R_1BQMqmJZ1W4qV3t</t>
  </si>
  <si>
    <t>5f48e3d7f998433ac6356ad4</t>
  </si>
  <si>
    <t>I did not see the details of the study, that is the sample size, the context, the confounding factors. In short, I am not convinced this was a valid scientific study.</t>
  </si>
  <si>
    <t>24.17.159.162</t>
  </si>
  <si>
    <t>R_2B5UVuex0sNYi0i</t>
  </si>
  <si>
    <t>6278700097208c3f1b717481</t>
  </si>
  <si>
    <t>The cost for either bar are relatively high so I would look to the ingredients for the difference. I only eat energy bars when I'm exercising and would appreciate the extra energy so I would pay the extra money for the cara bars.</t>
  </si>
  <si>
    <t>73.187.178.17</t>
  </si>
  <si>
    <t>R_1lmll9P9vCdgb75</t>
  </si>
  <si>
    <t>60b38213928fdb2d6d9d8c9c</t>
  </si>
  <si>
    <t>I would definitely give them a try</t>
  </si>
  <si>
    <t>71.82.216.165</t>
  </si>
  <si>
    <t>R_1pKzWZdylzYpU4A</t>
  </si>
  <si>
    <t>5f274c39822ae8000b19b2d9</t>
  </si>
  <si>
    <t>Increased cost. Not entirely convinced the study accounted for other factors that may have influenced a person's perception of their mental alertness. I rarely eat energy bars every day, and would would not to eat them daily to increase my alertness.</t>
  </si>
  <si>
    <t>174.243.148.113</t>
  </si>
  <si>
    <t>R_2XohLBJ7anX2UFJ</t>
  </si>
  <si>
    <t>6346a1e0ac2f099c5c7a8f93</t>
  </si>
  <si>
    <t xml:space="preserve">The improvement to alertness seems minimal, and the price doesn't make it worth it </t>
  </si>
  <si>
    <t>67.135.240.115</t>
  </si>
  <si>
    <t>R_en58S7cE2fznxRf</t>
  </si>
  <si>
    <t>612e9fb57400639a88cfae33</t>
  </si>
  <si>
    <t>I would rather try and get the benefits from a full meal.</t>
  </si>
  <si>
    <t>107.2.109.3</t>
  </si>
  <si>
    <t>R_V2x3Hvz6VRgllKh</t>
  </si>
  <si>
    <t>600604af2e88fb932d0b7aec</t>
  </si>
  <si>
    <t>it would have to go up at least a few points.. so maybe 4+ points would be worth it.</t>
  </si>
  <si>
    <t>I would purchase cara berry energy bars because I struggle with Fibromyalgia and ADHD, both of which affect my cognitive performance. Having these berry's extra "oomph" would likely be life-changing for someone like me.</t>
  </si>
  <si>
    <t>1 person?</t>
  </si>
  <si>
    <t>96.90.106.185</t>
  </si>
  <si>
    <t>R_2TRcSFzpu6IjQtP</t>
  </si>
  <si>
    <t>61095a37fbf7b13d6f7f2f5b</t>
  </si>
  <si>
    <t>It is not a big difference and I could not afford them.</t>
  </si>
  <si>
    <t>76.124.110.247</t>
  </si>
  <si>
    <t>R_1l4WAmpET5amm1K</t>
  </si>
  <si>
    <t>63d95e28db064f0e76ce0d23</t>
  </si>
  <si>
    <t>It wasn't that big of a difference, not even a full percent. And theyre expensive</t>
  </si>
  <si>
    <t>20 points</t>
  </si>
  <si>
    <t>139.102.188.226</t>
  </si>
  <si>
    <t>R_3D6Iz1TiMkkgswy</t>
  </si>
  <si>
    <t>63e51bca9f87294437c3cbb8</t>
  </si>
  <si>
    <t>Well it it helps my personal wellness It seemed all positive and that it would actually make me feel more energy</t>
  </si>
  <si>
    <t>76.113.112.174</t>
  </si>
  <si>
    <t>R_XMN0HpX6mh5SkBX</t>
  </si>
  <si>
    <t>5acba4a15cd10500016280ca</t>
  </si>
  <si>
    <t>If the study is factual and cara berries do increase mental alertness, I would likely look for them in stores--I tend to eat a variety of bars as they are a simple snack; so depending on price, yes I would.</t>
  </si>
  <si>
    <t>173.235.125.14</t>
  </si>
  <si>
    <t>R_1oA3dsqWhuikjiQ</t>
  </si>
  <si>
    <t>60ff33eea57872b7188f12e2</t>
  </si>
  <si>
    <t>Because I can't afford an extra expense for such a small increase in alertness. I'll just drink a lot of caffeine.</t>
  </si>
  <si>
    <t>99.53.203.214</t>
  </si>
  <si>
    <t>R_1K1oCs2L6mgi8gb</t>
  </si>
  <si>
    <t>60fab1b96bd45f60d1b053dc</t>
  </si>
  <si>
    <t>they don't sound good and probably don't do anything.</t>
  </si>
  <si>
    <t>67.241.176.172</t>
  </si>
  <si>
    <t>R_2YVchAGorr8MY9s</t>
  </si>
  <si>
    <t>594859c6bee3110001b1b092</t>
  </si>
  <si>
    <t>I probably would just to have a bar to try it and see if it works.</t>
  </si>
  <si>
    <t>99.113.207.100</t>
  </si>
  <si>
    <t>R_2XdLkxeCS1kGlQB</t>
  </si>
  <si>
    <t>56b10ae86399f9000ad8d987</t>
  </si>
  <si>
    <t>It seems like the cara berry bar didn't improve the mind very much more than the other bar. I'm not convinced it's effective. I don't think it would be worth it for that reason.</t>
  </si>
  <si>
    <t>172.59.76.128</t>
  </si>
  <si>
    <t>R_3MilatGTyoJLcfT</t>
  </si>
  <si>
    <t>641360128819aafb7156e25e</t>
  </si>
  <si>
    <t>It would be interesting to try the bars but there are other ways to improve your mental alertness and focus without spending the extra money for the berry bars. For someone who is financially limited, that would have an impact on the decision to purchase.</t>
  </si>
  <si>
    <t xml:space="preserve">Improved by 2 mental points, such as going from 1 to 3. </t>
  </si>
  <si>
    <t>174.209.176.116</t>
  </si>
  <si>
    <t>R_31FsZgvrsMyZkOI</t>
  </si>
  <si>
    <t>5e9e0798c8df731ba79182f1</t>
  </si>
  <si>
    <t xml:space="preserve">The improvement is so minimal that I wouldn't want to pay the extra cost. </t>
  </si>
  <si>
    <t>99.104.175.210</t>
  </si>
  <si>
    <t>R_1i8aOvVQ30smcqc</t>
  </si>
  <si>
    <t>5fd7f08920e71c0f734ee097</t>
  </si>
  <si>
    <t>I'm interested, but don't know what they taste like, nor how expensive these energy bars would be.</t>
  </si>
  <si>
    <t>166.196.68.142</t>
  </si>
  <si>
    <t>R_4OcLwIWKNIysPId</t>
  </si>
  <si>
    <t>63eac01fdd7ce6b0923a36e2</t>
  </si>
  <si>
    <t>I just feel like a 0.06 percent isn‚Äôt enough of a increase to justify a almost double price</t>
  </si>
  <si>
    <t xml:space="preserve">Going from 1-2 would be really good but 1.5 to 1.56 isn‚Äôt enough to justify a doubled priced </t>
  </si>
  <si>
    <t xml:space="preserve">100 minute </t>
  </si>
  <si>
    <t>216.80.42.242</t>
  </si>
  <si>
    <t>R_2wQqniL9APjw8JI</t>
  </si>
  <si>
    <t>61031cd5bd9b63f1cc2edd7e</t>
  </si>
  <si>
    <t xml:space="preserve">I would give it a try and see if it worked for me </t>
  </si>
  <si>
    <t>98.100.244.38</t>
  </si>
  <si>
    <t>R_3JXjvC3dcrkd7qx</t>
  </si>
  <si>
    <t>63615888b5606b24a845f73e</t>
  </si>
  <si>
    <t>To increase my mental alertness</t>
  </si>
  <si>
    <t>76.80.31.253</t>
  </si>
  <si>
    <t>R_3O1uIoXV0oQ54dU</t>
  </si>
  <si>
    <t>5fca97a4b105427256733533</t>
  </si>
  <si>
    <t>I don't know enough about this energy bars to make a real definitive decision. I need to do more research</t>
  </si>
  <si>
    <t>174.247.144.89</t>
  </si>
  <si>
    <t>R_2s4nNMoapdNPQT6</t>
  </si>
  <si>
    <t>6310c363c480d51b773c57e6</t>
  </si>
  <si>
    <t xml:space="preserve">I‚Äôd be willing to try it just to see if I felt it was beneficial but if I didn‚Äôt feel the expensive of them was worth whatever improvement I may or may not have felt, I would‚Äôt spend the extra money on an already very tight budget. </t>
  </si>
  <si>
    <t>104.9.161.74</t>
  </si>
  <si>
    <t>R_3HAgefQoNxW0bah</t>
  </si>
  <si>
    <t>63d228d74dc841d4559ad87d</t>
  </si>
  <si>
    <t>I think I would purchase it once just to try, and if I do see a noticeable difference, then I might continue to purchase.</t>
  </si>
  <si>
    <t>Anything less than a 2.0 point swing</t>
  </si>
  <si>
    <t>172.59.189.219</t>
  </si>
  <si>
    <t>R_W268gfaxYrnhDZn</t>
  </si>
  <si>
    <t>61036b50ca5be39e19acdc3d</t>
  </si>
  <si>
    <t xml:space="preserve">I just don‚Äôt care enough right now </t>
  </si>
  <si>
    <t xml:space="preserve">It‚Äôs possible </t>
  </si>
  <si>
    <t>99.99.207.251</t>
  </si>
  <si>
    <t>R_2VwlYUfQFGNFn7n</t>
  </si>
  <si>
    <t>5dd3d566e05cad3b130de19a</t>
  </si>
  <si>
    <t>I don't think the improvement (if any) is worth the price of the bars.  I would guess the improvement is likely due to other reasons as well.</t>
  </si>
  <si>
    <t>136.49.50.176</t>
  </si>
  <si>
    <t>R_30oywDhJWUhkqwY</t>
  </si>
  <si>
    <t>60fdbb289d3a6f27ebd32f67</t>
  </si>
  <si>
    <t>The study was for one week. I don‚Äôt think that‚Äôs long enough to prove Cara Berrys have any long term lasting affect.</t>
  </si>
  <si>
    <t>172.1.155.165</t>
  </si>
  <si>
    <t>R_ywk1rF4hQ9rrkgp</t>
  </si>
  <si>
    <t>56bae08f30d6b30005f8537a</t>
  </si>
  <si>
    <t xml:space="preserve">I'm skeptical if there are any downsides but I'd be willing to try it once. </t>
  </si>
  <si>
    <t>9 percent chance</t>
  </si>
  <si>
    <t>172.4.34.83</t>
  </si>
  <si>
    <t>R_p5EUBbEZjW8eYLv</t>
  </si>
  <si>
    <t>5ee142b292607215593aa9af</t>
  </si>
  <si>
    <t>I would need to better understand the results of the study to believe them.</t>
  </si>
  <si>
    <t>143.215.106.79</t>
  </si>
  <si>
    <t>R_2tEDPEwKaWmCgrL</t>
  </si>
  <si>
    <t>5e0c664d78322543b1fea686</t>
  </si>
  <si>
    <t>I'd purchase a cara berry energy bar because sometimes I feel like I am not mentally present in the moment and I would like to see if these supposed energy bars differ from conventional energy bars in any type of manner.</t>
  </si>
  <si>
    <t>F</t>
  </si>
  <si>
    <t>162.224.207.188</t>
  </si>
  <si>
    <t>R_2pXd78KQTnl1nBg</t>
  </si>
  <si>
    <t>629531cb501e6d23d9797050</t>
  </si>
  <si>
    <t>I would be interested in trying it, maybe it works and maybe it doesnt but as long as its safe and there is no risk then what is the harm?</t>
  </si>
  <si>
    <t>174.197.68.255</t>
  </si>
  <si>
    <t>R_3EirP1T8OJyomHc</t>
  </si>
  <si>
    <t>63e55808e2a9efc0cd65e879</t>
  </si>
  <si>
    <t>I don't eat energy bars</t>
  </si>
  <si>
    <t>68.48.235.238</t>
  </si>
  <si>
    <t>R_2tfdiqBwNUx4NNa</t>
  </si>
  <si>
    <t>64060f1213c5c70c63c18b96</t>
  </si>
  <si>
    <t>I Really struggle with mental alertness during the day, so I would be willing to pay a bit more for something that helps me.</t>
  </si>
  <si>
    <t>172.250.114.42</t>
  </si>
  <si>
    <t>R_3EOPhb90a84etEd</t>
  </si>
  <si>
    <t>5c873649fff8430016e9aa7a</t>
  </si>
  <si>
    <t>I don't think I would be willing to pay more money.</t>
  </si>
  <si>
    <t>136.55.29.180</t>
  </si>
  <si>
    <t>R_STPnp5wslWgmWhH</t>
  </si>
  <si>
    <t>63e54fcecdb4c6a676593d42</t>
  </si>
  <si>
    <t>I think I would like to improve my mental alertness especially as the week goes on. It would also be cool to just try a new energy bar.</t>
  </si>
  <si>
    <t>73.78.142.108</t>
  </si>
  <si>
    <t>R_2afXj7sEifrNdnl</t>
  </si>
  <si>
    <t>63d3f97ef50ccec299f4042f</t>
  </si>
  <si>
    <t>It seems like there might be a correlation and I'd like to try it</t>
  </si>
  <si>
    <t>216.126.212.173</t>
  </si>
  <si>
    <t>R_3hrnauWDwxA6Ydc</t>
  </si>
  <si>
    <t>614f39b82ccdbdd51c76cc50</t>
  </si>
  <si>
    <t>It's fine to say the berry does a thing.  But without explaining why, it's just marketing.</t>
  </si>
  <si>
    <t xml:space="preserve">1
</t>
  </si>
  <si>
    <t>5 Mins</t>
  </si>
  <si>
    <t>76.156.82.124</t>
  </si>
  <si>
    <t>R_2rZcSkJ3Eq9HoW1</t>
  </si>
  <si>
    <t>5a708ef2f1530b000103bfab</t>
  </si>
  <si>
    <t>The numbers given by the study suggested that cara berries don't make a big difference, and I don't want to buy expensive products if I don't have to.</t>
  </si>
  <si>
    <t>1.5 to 2.25</t>
  </si>
  <si>
    <t>98.27.25.165</t>
  </si>
  <si>
    <t>R_TgPltSW5vLz3Aad</t>
  </si>
  <si>
    <t>5a3c1a7f6d85f80001c22eef</t>
  </si>
  <si>
    <t xml:space="preserve">Because even though they are more expensive making money is one of the things we need our mental alter ness for. Since it's proven to make you more alert I would spend the money buying them to increase my mental energy and output at work and therefore be able to hopefully make more money as a result. </t>
  </si>
  <si>
    <t>68.199.10.210</t>
  </si>
  <si>
    <t>R_1jIp7BcA4Hgd0tP</t>
  </si>
  <si>
    <t>5966886dee2508000108b02c</t>
  </si>
  <si>
    <t xml:space="preserve">It sounds like something that would be worth a try. </t>
  </si>
  <si>
    <t>172.56.104.235</t>
  </si>
  <si>
    <t>R_1DCI564Km9W7870</t>
  </si>
  <si>
    <t>5ccb55d3ce1ed50016360b57</t>
  </si>
  <si>
    <t xml:space="preserve">My ass be broke! But I might get them every so often as a personal treat, if I enjoy them. </t>
  </si>
  <si>
    <t xml:space="preserve">This is difficult to answer without a quantative baseline to measure against. Just seems like arbitrary numbers to me. I would like to see improvement an alertness level from -3.66542/53‚Å∏ to 5.328/2‚Å∑. </t>
  </si>
  <si>
    <t>Roughly 500 tomes</t>
  </si>
  <si>
    <t xml:space="preserve">0. The ball was included for free with the bat. 
Sales tax is 9.7% where it was purchased. </t>
  </si>
  <si>
    <t>75.223.95.123</t>
  </si>
  <si>
    <t>R_2i8txjrWsJD9fvX</t>
  </si>
  <si>
    <t>5a8b1ee2000dab00018cc7cd</t>
  </si>
  <si>
    <t>The evidence that it really makes a difference to improve mental awareness isn't strong enough for me to want to spend the extra money.</t>
  </si>
  <si>
    <t>96.92.242.25</t>
  </si>
  <si>
    <t>R_2EbCTfkJiX7Dwgg</t>
  </si>
  <si>
    <t>5ff24a558422b425e7beb597</t>
  </si>
  <si>
    <t>There wasnt a huge difference in imorovdmnt in mental alerntess. Also I dont think it 
stated if the pariticpants were told or not about the benefits of cara berries, and if they were it could be a placebo.</t>
  </si>
  <si>
    <t>Less likely than having one. I do not know how to do the math on this.</t>
  </si>
  <si>
    <t>107.77.207.68</t>
  </si>
  <si>
    <t>R_prqK7q6pA9vz5Sx</t>
  </si>
  <si>
    <t>5849751351f36f0001df75e5</t>
  </si>
  <si>
    <t>I would assume that they will be very expensive.</t>
  </si>
  <si>
    <t>1 to 2 would be a good staring point</t>
  </si>
  <si>
    <t>24.52.30.63</t>
  </si>
  <si>
    <t>R_1KyeU82noFU08t8</t>
  </si>
  <si>
    <t>612053690485b0b2420a03fd</t>
  </si>
  <si>
    <t xml:space="preserve">I have fibromyalgia and often have the symptom of fibrofog, resulting in decreased alertness. This would be a good product for days my symptoms are bad &amp; the price would be negligible compared to the benefits. </t>
  </si>
  <si>
    <t>134.6.230.30</t>
  </si>
  <si>
    <t>R_2VgsS4ofMNRUxjg</t>
  </si>
  <si>
    <t>636578c6aa1228f8b15ee701</t>
  </si>
  <si>
    <t>I would try it out to see for myself but I would not buy them all the time if I could not afford them.</t>
  </si>
  <si>
    <t>172.79.73.112</t>
  </si>
  <si>
    <t>R_XEUH7A3HdvKdBU5</t>
  </si>
  <si>
    <t>614f23fabc0fcaa3cdfb9e05</t>
  </si>
  <si>
    <t>I think I have enough mental alertness and don't need to improve it</t>
  </si>
  <si>
    <t>double mental alertness</t>
  </si>
  <si>
    <t>71.221.88.226</t>
  </si>
  <si>
    <t>R_vjyM7t2wOyEgSqt</t>
  </si>
  <si>
    <t>60a9b8f7b9748b9999090dd8</t>
  </si>
  <si>
    <t xml:space="preserve">I might purchase them because I really care about my cognition and would do a lot to improve it as much as possible. </t>
  </si>
  <si>
    <t>73.41.149.250</t>
  </si>
  <si>
    <t>R_1HjV0HtIWB9scnM</t>
  </si>
  <si>
    <t>628409abe8772d1f138b7f14</t>
  </si>
  <si>
    <t>I don't feel that I am lacking in mental alertness so I don't really see a reason to pay extra for an energy bar to do so. Also, I tend to not eat energy bars anyway.</t>
  </si>
  <si>
    <t>76.176.50.162</t>
  </si>
  <si>
    <t>R_3q9XmK8pgUrOHWW</t>
  </si>
  <si>
    <t>5fa4f94e535f3b1aa628e0ab</t>
  </si>
  <si>
    <t>The increase seems too minor to justify the cost.</t>
  </si>
  <si>
    <t>172.58.61.249</t>
  </si>
  <si>
    <t>R_2rNsYtD42I4sx01</t>
  </si>
  <si>
    <t>63d3fd0eaacb48923fa38191</t>
  </si>
  <si>
    <t>The results compared to the cost doesn't make sense</t>
  </si>
  <si>
    <t>1.0 to 3.0</t>
  </si>
  <si>
    <t>136.32.31.146</t>
  </si>
  <si>
    <t>R_tGP9vrt28pKFXxv</t>
  </si>
  <si>
    <t>63d13e3cd9d8e382a7e7e005</t>
  </si>
  <si>
    <t>I would need to do more research on the Cara Berry before I made a decision.     I would want to see the side effects first</t>
  </si>
  <si>
    <t>70.142.212.113</t>
  </si>
  <si>
    <t>R_2BljqocZdZqOnrx</t>
  </si>
  <si>
    <t>5e64ef1a247a9d2561f47509</t>
  </si>
  <si>
    <t>It is seems to be organic. So I purchase caraberry energy bars</t>
  </si>
  <si>
    <t>75.68.214.21</t>
  </si>
  <si>
    <t>R_sMxM5eSKM8IUDbX</t>
  </si>
  <si>
    <t>59c65eb83306be000195bb01</t>
  </si>
  <si>
    <t>I would be very interested to see if the berries work. I would check other sources to verify that the article was accurate. You can't always believe what you read on the internet, even on Prolific or the University of Michigan.</t>
  </si>
  <si>
    <t>less than 1 point</t>
  </si>
  <si>
    <t>73.123.226.32</t>
  </si>
  <si>
    <t>R_3FJMHtPlSliLn30</t>
  </si>
  <si>
    <t>6401fab47eb81e7326152d8e</t>
  </si>
  <si>
    <t>1-1.5</t>
  </si>
  <si>
    <t>I do not know anything about these berries, but the picture shown looks similar to holly berries which I know some varieties contain caffeine and other xanthine alkaloids. Knowing this, I would be interested in the actual effects of this energy bar.</t>
  </si>
  <si>
    <t>107.77.226.77</t>
  </si>
  <si>
    <t>R_3kHzIoZzp4UhKYH</t>
  </si>
  <si>
    <t>64057114a10b6be25b9f3008</t>
  </si>
  <si>
    <t>The difference is too small for such an increase of price.</t>
  </si>
  <si>
    <t>174.231.211.2</t>
  </si>
  <si>
    <t>R_2eRuvA2BUAr8kma</t>
  </si>
  <si>
    <t>5f1bf8c6fe7ca34249b7c334</t>
  </si>
  <si>
    <t>5 points</t>
  </si>
  <si>
    <t xml:space="preserve">It didn't increase mental alertness much more than a conventional bar, and the cost would be more expensive. </t>
  </si>
  <si>
    <t>unsure</t>
  </si>
  <si>
    <t>24.9.164.208</t>
  </si>
  <si>
    <t>R_3hnFtHTIPphqB3G</t>
  </si>
  <si>
    <t>62e2f07641ec065b97e4fcd3</t>
  </si>
  <si>
    <t>If the information was true and just eating this bar could help me this much I am more than willing to try it.  It would be worth cost to have that much more mental alertness on a daily basis.</t>
  </si>
  <si>
    <t>195.252.213.183</t>
  </si>
  <si>
    <t>R_vUK5XhYUVeGJrdT</t>
  </si>
  <si>
    <t>5c26b50d1fc74500017cc346</t>
  </si>
  <si>
    <t>I think I would like to try them at least once to see what they are like and if they actually work or not!</t>
  </si>
  <si>
    <t>100.0.11.244</t>
  </si>
  <si>
    <t>R_RlYpBaXX5oHKZPP</t>
  </si>
  <si>
    <t>6015fe4f86fe247906d2fb4c</t>
  </si>
  <si>
    <t>I am not sure I would like it</t>
  </si>
  <si>
    <t>172.58.176.11</t>
  </si>
  <si>
    <t>R_3qPOxaKhxeM2p1O</t>
  </si>
  <si>
    <t>6400f34a0d001f6bd0faadaa</t>
  </si>
  <si>
    <t xml:space="preserve">The expense of them is less appealing considering it doesn't boost focus much more than a standard bar </t>
  </si>
  <si>
    <t>Five</t>
  </si>
  <si>
    <t>174.238.32.210</t>
  </si>
  <si>
    <t>R_2aFG8ymDS9aOCpK</t>
  </si>
  <si>
    <t>5e94fc39cc318836529fd876</t>
  </si>
  <si>
    <t>I'm not convinced that they would be effective enough to justify the extra cost.</t>
  </si>
  <si>
    <t>184.88.63.148</t>
  </si>
  <si>
    <t>R_3IWdpMKMePPTIdZ</t>
  </si>
  <si>
    <t>5ae3223938df950001455e66</t>
  </si>
  <si>
    <t>I do not think the change in alertness shown is significant and not worth the added cost.</t>
  </si>
  <si>
    <t>18 percent</t>
  </si>
  <si>
    <t>132.147.45.10</t>
  </si>
  <si>
    <t>R_32QSQrIS7c8bUtQ</t>
  </si>
  <si>
    <t>5b5c8d4e10aec90001ed4bee</t>
  </si>
  <si>
    <t>I don't normally eat energy bars and the increase in mental alertness is very low</t>
  </si>
  <si>
    <t>174.78.224.246</t>
  </si>
  <si>
    <t>R_1pG9MjCupVMsZnT</t>
  </si>
  <si>
    <t>5e28e8819061a50beacc52c5</t>
  </si>
  <si>
    <t xml:space="preserve">It they were too expensive I would not buy them. </t>
  </si>
  <si>
    <t xml:space="preserve">1 point </t>
  </si>
  <si>
    <t>174.85.246.186</t>
  </si>
  <si>
    <t>R_3I4NJRASrvEiHBN</t>
  </si>
  <si>
    <t>5bcc1fce4249b20001bc99f1</t>
  </si>
  <si>
    <t>I might purchase them depending on how expensive they were. But I lean more towards purchasing them than not purchasing them because it can't hurt to try them out.</t>
  </si>
  <si>
    <t>148.59.44.2</t>
  </si>
  <si>
    <t>R_1nVAxwMgQhdUtdp</t>
  </si>
  <si>
    <t>60fd6a2e013bff4b729c6dec</t>
  </si>
  <si>
    <t>I am interested in the mental focus.  However, the increased cost may be a deterrent.</t>
  </si>
  <si>
    <t>50% 9/18</t>
  </si>
  <si>
    <t>73.252.147.66</t>
  </si>
  <si>
    <t>R_1occxAaID9MW9sN</t>
  </si>
  <si>
    <t>55afe01bfdf99b4ba8045bea</t>
  </si>
  <si>
    <t>I don't think its worth costing twice as much for such a small improvement that might be based on other factors such as food intake, sleep, ect. unless the study has been proving multiple times over without variations</t>
  </si>
  <si>
    <t>174.242.209.57</t>
  </si>
  <si>
    <t>R_1dM480ml7jOWtmu</t>
  </si>
  <si>
    <t>63d13e8a790d868737b2e3c7</t>
  </si>
  <si>
    <t xml:space="preserve">I would be willing to purchase I do see that with the trials that were observed that there were a big increase seen I would be willing to try for myself </t>
  </si>
  <si>
    <t>45.31.103.6</t>
  </si>
  <si>
    <t>R_SAJAeuD39UYUFBD</t>
  </si>
  <si>
    <t>5ea63ad9c8854764e110b128</t>
  </si>
  <si>
    <t>There are times it would be beneficial to improve my alertness.</t>
  </si>
  <si>
    <t>half the time</t>
  </si>
  <si>
    <t>1 hour 40 minutes</t>
  </si>
  <si>
    <t>152.7.255.200</t>
  </si>
  <si>
    <t>R_3hGVdODEQ1XRRvz</t>
  </si>
  <si>
    <t>6316c38449466a362ee07be9</t>
  </si>
  <si>
    <t xml:space="preserve">I felt that although there are benefits with the cara berry energy bars, the price of the item outweighs the benefits. I also believe that the normal energy bars will be almost as beneficial as the cara berry ones. </t>
  </si>
  <si>
    <t xml:space="preserve">Going from 1.5 to 3.0 would make it worth it. </t>
  </si>
  <si>
    <t>135.180.191.227</t>
  </si>
  <si>
    <t>R_1i4gVbNZAfvbA2R</t>
  </si>
  <si>
    <t>62fee4976ce0883ebbc86e20</t>
  </si>
  <si>
    <t>I would like to improve my mental alertness,so I would try these energy bars to see if it works.</t>
  </si>
  <si>
    <t>108.183.189.210</t>
  </si>
  <si>
    <t>R_33whZpMsz0pkboo</t>
  </si>
  <si>
    <t>5e4aa3729d301e000cf8ced9</t>
  </si>
  <si>
    <t xml:space="preserve">I would purchase these bars because I am a bipolar person and desperate for any assistance I can get with improving my mental function. I would not buy these however, if the price was too high. I would also not buy them if I noticed that they weren't making any changes after a while of using them. </t>
  </si>
  <si>
    <t>67.171.117.253</t>
  </si>
  <si>
    <t>R_24CQRlpHqlTaIL0</t>
  </si>
  <si>
    <t>5f11e883afd70a0d94572e6a</t>
  </si>
  <si>
    <t>IT seems like it would be worth trying out</t>
  </si>
  <si>
    <t>I would think it would be very slight improvement</t>
  </si>
  <si>
    <t>75.204.192.228</t>
  </si>
  <si>
    <t>R_wY7D3m52IglwlZn</t>
  </si>
  <si>
    <t>5df27b81acd5ce18b4bd225c</t>
  </si>
  <si>
    <t>I have never been interested in energy bars. I find them overpriced and do not satisfy hunger for me. I would crave eating more than one at a time to satisfy hunger. I also think that there is probably something more readily available than the Cara berries at a more reasonable price.</t>
  </si>
  <si>
    <t>Depends on the person.</t>
  </si>
  <si>
    <t>45.36.117.142</t>
  </si>
  <si>
    <t>R_2uwcv9pkzvl4Kck</t>
  </si>
  <si>
    <t>60fd115f00f1920bc06e5740</t>
  </si>
  <si>
    <t xml:space="preserve">I don't like the flavor of berries but i am always interested in finding ways to increase my alertness. </t>
  </si>
  <si>
    <t>149.75.166.143</t>
  </si>
  <si>
    <t>R_3pawEsrqOwbhaSy</t>
  </si>
  <si>
    <t>55a430ddfdf99b02ff6caf22</t>
  </si>
  <si>
    <t>While there was a link, it was very small from and the alertness was still quite low. I don't think it's worthwhile for the price.</t>
  </si>
  <si>
    <t>159.250.74.110</t>
  </si>
  <si>
    <t>R_1Csa3ooEEblhyHf</t>
  </si>
  <si>
    <t>62977ce96efd80b585b2d75d</t>
  </si>
  <si>
    <t>I am a mom and often struggle with mental alertness since sleep can be limited and the house can be chaotic. I drink a lot of coffee but would love an alternate option and these energy bars seem to offer good results.</t>
  </si>
  <si>
    <t>any improvement would make them worthwhile as long as the cost difference isn't astronomical</t>
  </si>
  <si>
    <t>174.192.64.133</t>
  </si>
  <si>
    <t>R_O0vfGHL9gj617AR</t>
  </si>
  <si>
    <t>57ad04adddc11d00015bb1c3</t>
  </si>
  <si>
    <t xml:space="preserve">I want to improve my mental health </t>
  </si>
  <si>
    <t>76.149.66.123</t>
  </si>
  <si>
    <t>R_3k0QP6zIKaUKtin</t>
  </si>
  <si>
    <t>5e546613e6f136471dfeb829</t>
  </si>
  <si>
    <t>There are a lot of healthy options for energy that I enjoy more (coffee)</t>
  </si>
  <si>
    <t>136.36.192.202</t>
  </si>
  <si>
    <t>R_3KH4jcRtYx94cwJ</t>
  </si>
  <si>
    <t>6108a16de042d53ddc7407b8</t>
  </si>
  <si>
    <t>There are not a lot of studies done on these berries, so I dont know what the long term effects would be from them. However, I would be willing to try them for a bit and see if they would help improve my mental alertness</t>
  </si>
  <si>
    <t>i would want at least 2.5 points of mental alertness</t>
  </si>
  <si>
    <t>24.93.151.229</t>
  </si>
  <si>
    <t>R_50jG7zyqoKB0fzX</t>
  </si>
  <si>
    <t>641be1c8572bb1a8dc26c801</t>
  </si>
  <si>
    <t>I don‚Äôt currently eat energy bars and I am very cost conscious. Also, I would want to analyze the data and interpretations of the study prior to purchasing. Self reported increases are potentially meaningful, but having some sort of task/activity comparison would be more convincing.</t>
  </si>
  <si>
    <t>I have no concept of a mental alertness scale or how changes in this unknown metric affects anything. That said, I cannot give any reasonable answer here.</t>
  </si>
  <si>
    <t>516 (I‚Äôd love to say 500, but it wouldn‚Äôt work out perfectly like that)</t>
  </si>
  <si>
    <t>9 (10 if it worked out perfectly as discussed above)</t>
  </si>
  <si>
    <t>68.226.250.102</t>
  </si>
  <si>
    <t>R_UPYxyAYtoTrUgrD</t>
  </si>
  <si>
    <t>6266d7c7bfe6d9d74ff4e76f</t>
  </si>
  <si>
    <t>I would purchase them depending on the price and if I could afford to spend extra on the bars.</t>
  </si>
  <si>
    <t>I think half of the time would be the correct answer.</t>
  </si>
  <si>
    <t>Well 10 is 1% so I would say 10 people.</t>
  </si>
  <si>
    <t>The percentage is 0.1%</t>
  </si>
  <si>
    <t>71.233.202.106</t>
  </si>
  <si>
    <t>R_231u7kl2COyWM3J</t>
  </si>
  <si>
    <t>5d26222d2cbf2c00170c5ff9</t>
  </si>
  <si>
    <t xml:space="preserve">to make it so I don't feel impacted when I do not get as much sleep as I may need </t>
  </si>
  <si>
    <t>18/100</t>
  </si>
  <si>
    <t>73.44.88.215</t>
  </si>
  <si>
    <t>R_eFqfW1X6qZM0amB</t>
  </si>
  <si>
    <t>60fd80b85dd6b22f66d16822</t>
  </si>
  <si>
    <t>There was no study done on any long term affects or if people eat more than one a day. Plus the price being too high.</t>
  </si>
  <si>
    <t xml:space="preserve">My issue wasn‚Äôt the mental alertness but with long term affects </t>
  </si>
  <si>
    <t>67.182.30.166</t>
  </si>
  <si>
    <t>R_33anCrL5D6vYQO6</t>
  </si>
  <si>
    <t>5efc24acc8e96b1e45596223</t>
  </si>
  <si>
    <t>I thought the mental depression is completely satisfied and waiting the work and getting more knowledge in the improve .</t>
  </si>
  <si>
    <t>I thought the value from the person should be corrected by the supporting staff</t>
  </si>
  <si>
    <t>24.142.66.174</t>
  </si>
  <si>
    <t>R_RlBwyxRZcbmTmXn</t>
  </si>
  <si>
    <t>5ca88c7900dbf0000127c5d5</t>
  </si>
  <si>
    <t>In this metaphorical situation I would absolutely buy these bars to increase my mental alertness as it would be beneficial to me and I don't have to worry about all that extra money I'm spending.</t>
  </si>
  <si>
    <t>75.188.81.3</t>
  </si>
  <si>
    <t>R_3JelwImSwIXGiH0</t>
  </si>
  <si>
    <t>5aebb10baa05510001ff6500</t>
  </si>
  <si>
    <t>I would not purchase them because the results are not very convincing, at least to justify the price increase.</t>
  </si>
  <si>
    <t>174.194.104.75</t>
  </si>
  <si>
    <t>R_8q45VXpliLUsw5b</t>
  </si>
  <si>
    <t>5f8b90a4b237f91824a88aeb</t>
  </si>
  <si>
    <t>I only eat energy bars occasionally and I don‚Äôt think I want the added expense because I am not worried about my mental alertness.  These sound expensive.</t>
  </si>
  <si>
    <t>198.137.18.153</t>
  </si>
  <si>
    <t>R_29cSyD744CHort9</t>
  </si>
  <si>
    <t>61097498fb9e97e8a701c33f</t>
  </si>
  <si>
    <t xml:space="preserve">I would buy them if I needed them for a specific phase of life, like needing to study for finals, but due to the price I couldn't always do it </t>
  </si>
  <si>
    <t xml:space="preserve">1/3 of the time </t>
  </si>
  <si>
    <t>10 minutes</t>
  </si>
  <si>
    <t>72.192.133.98</t>
  </si>
  <si>
    <t>R_RelvJkojkShTDAl</t>
  </si>
  <si>
    <t>62e151e072a7512b2a596883</t>
  </si>
  <si>
    <t>Because I don't believe the sample used in the experiment is large enough and checked out against a placebo group as well. I believe this is an attempt from the Cara berry manufacturer to sell more units.</t>
  </si>
  <si>
    <t>47.221.5.71</t>
  </si>
  <si>
    <t>R_3HjdlLfOojz0dPI</t>
  </si>
  <si>
    <t>5e12b8f31e2e589287ce63ae</t>
  </si>
  <si>
    <t>The nominal difference (1.56 versus 1.52) is so negligible as to be useless and attributable to other factors.</t>
  </si>
  <si>
    <t>at least a full point</t>
  </si>
  <si>
    <t>172.59.128.171</t>
  </si>
  <si>
    <t>R_20UwJv0kT8TKkmK</t>
  </si>
  <si>
    <t>60c2dde65a63ca7ad434f658</t>
  </si>
  <si>
    <t>I don't buy expensive bars but I would want to try one.. I would possibly be interested in growing this berry myself..</t>
  </si>
  <si>
    <t>From 7.0 to 9.0 (on a scale of 10)</t>
  </si>
  <si>
    <t>100 minutes.</t>
  </si>
  <si>
    <t>172.250.80.22</t>
  </si>
  <si>
    <t>R_XBLn4sa0x1kt9bX</t>
  </si>
  <si>
    <t>62b14dff6abbc73f0f5f090c</t>
  </si>
  <si>
    <t>As long as they actually worked for me, I wouldn't mind spending more on a bar that had some real benefit to me.</t>
  </si>
  <si>
    <t>174.27.205.109</t>
  </si>
  <si>
    <t>R_yjrnTw1gWTpLcU9</t>
  </si>
  <si>
    <t>5d94f4279758430015312abf</t>
  </si>
  <si>
    <t xml:space="preserve">The study doesn't seem sufficient enough to prove that the berries are actually effective. Based on the price, I would need ore evidence that this would actually help me. </t>
  </si>
  <si>
    <t>47.197.144.53</t>
  </si>
  <si>
    <t>R_2VEiA3dwzk98Azp</t>
  </si>
  <si>
    <t>5d0c565f7374b40001cef0f8</t>
  </si>
  <si>
    <t>I don't think a few fractions of a point are worth the extra cost. Frankly, I don't think the mental alertness improvement of any energy bar given this scenario is worth the extra calories,</t>
  </si>
  <si>
    <t>67.1.167.79</t>
  </si>
  <si>
    <t>R_1mgeySWO9LhRTlX</t>
  </si>
  <si>
    <t>62db005bae68d37fe24b50da</t>
  </si>
  <si>
    <t xml:space="preserve">I haven't had much luck in the past with energy bars either for giving me energy or just the taste. If something doesn't taste good, then I just can't eat it to be honest. </t>
  </si>
  <si>
    <t>76.154.95.1</t>
  </si>
  <si>
    <t>R_1EZCPSGtaLmDZDC</t>
  </si>
  <si>
    <t>639e0331bc3cc615f5a3dd89</t>
  </si>
  <si>
    <t>I don't entirely trust that they would work. But it is worth a try as an experiment.</t>
  </si>
  <si>
    <t>184.166.42.244</t>
  </si>
  <si>
    <t>R_XmR5dGz0VJuS9r3</t>
  </si>
  <si>
    <t>63d87654c14b742db0fba872</t>
  </si>
  <si>
    <t>I'm always skeptical about new "superfoods" because of the overly lofty claims made about them, and they usually seem to be fads that come and go quickly (they're pretty much gone within a year or two).</t>
  </si>
  <si>
    <t>I wouldn't be interested in trying cara berry bars at any price.</t>
  </si>
  <si>
    <t>20 percent</t>
  </si>
  <si>
    <t>24.9.144.196</t>
  </si>
  <si>
    <t>R_1CduDnxJf2EV0gz</t>
  </si>
  <si>
    <t>57309f6b30a556000fecdd47</t>
  </si>
  <si>
    <t>i would spare the expense if it made me more mentally aware. i love berry bars anyway</t>
  </si>
  <si>
    <t>70.44.160.82</t>
  </si>
  <si>
    <t>R_1hNeMqCPLg1f9EM</t>
  </si>
  <si>
    <t>6100904f5ea462cf2de87dfe</t>
  </si>
  <si>
    <t>I would like to try to see if it works</t>
  </si>
  <si>
    <t>107.116.79.40</t>
  </si>
  <si>
    <t>R_10GYMRD7rAoJwmV</t>
  </si>
  <si>
    <t>5dd2f0818950ba2f90b01bc1</t>
  </si>
  <si>
    <t>The study has a small sample size and no real control. Also, the recorded increase is basically negligible. There's not enough information for me.</t>
  </si>
  <si>
    <t>I have no idea. What does a mental point even mean in practical use?</t>
  </si>
  <si>
    <t>73.2.50.71</t>
  </si>
  <si>
    <t>R_1IhYyAHU13sc3bE</t>
  </si>
  <si>
    <t>63d4409d5b0e57d3d3a3819d</t>
  </si>
  <si>
    <t>I would love to try it to see if it actually works but price is a factor I would take into deciding to try them</t>
  </si>
  <si>
    <t xml:space="preserve">20 percent </t>
  </si>
  <si>
    <t>She has a less than 10 percent chance of having one.</t>
  </si>
  <si>
    <t>97.120.110.43</t>
  </si>
  <si>
    <t>R_2ZIHOliyxn9oYrh</t>
  </si>
  <si>
    <t>5c28a7d31c8e4c0001b2e0a4</t>
  </si>
  <si>
    <t>I most likely wouldn‚Äôt purchase the bars because I don‚Äôt really have a need for increased alertness. Also the results of the study weren‚Äôt impressive enough for me.</t>
  </si>
  <si>
    <t>73.88.19.48</t>
  </si>
  <si>
    <t>R_120ac0FYQ0DPAah</t>
  </si>
  <si>
    <t>5ec75f359b46961bb628c457</t>
  </si>
  <si>
    <t>I don‚Äôt want to spend too much money but I would be curious about the benefits of cara beery energy bars</t>
  </si>
  <si>
    <t>I can‚Äôt imagine the improvement would be huge- so maybe one point</t>
  </si>
  <si>
    <t>Half of the time since half of the possible outcomes are even</t>
  </si>
  <si>
    <t xml:space="preserve">Ten people </t>
  </si>
  <si>
    <t>Five minutes</t>
  </si>
  <si>
    <t>76.184.163.205</t>
  </si>
  <si>
    <t>R_2SlB1C7PkS0fOEB</t>
  </si>
  <si>
    <t>628d114b1acd87ea1b37874e</t>
  </si>
  <si>
    <t xml:space="preserve">I would not believe in the test results because it takes a lot more than an energy bar to gain mental alertness. So no matter what researchers said I still would not purchase the bar. </t>
  </si>
  <si>
    <t xml:space="preserve">I do not know what they taste like and would rather eat protein bars. </t>
  </si>
  <si>
    <t>1/10 chance</t>
  </si>
  <si>
    <t>35.147.71.128</t>
  </si>
  <si>
    <t>R_DwopVSXXN1Oq3PH</t>
  </si>
  <si>
    <t>60383995960cdb1d96d9f511</t>
  </si>
  <si>
    <t>I would purchase these bars because I feel they would allow me to focus on more tasks at once more than I already do at the current moment.</t>
  </si>
  <si>
    <t>75.0.207.244</t>
  </si>
  <si>
    <t>R_3mgcymHJvRtt8E0</t>
  </si>
  <si>
    <t>5d909be93113b700156fcaeb</t>
  </si>
  <si>
    <t>It is almost exactly the same results as the normal, cheaper energy bars. The cost to improvement ration is just not worth it. If it had a marked increase over the cheaper variety, it would make sense to pay more. As it stands, it is basically throwing money away for no real difference .</t>
  </si>
  <si>
    <t>8 percent chance</t>
  </si>
  <si>
    <t>73.99.64.111</t>
  </si>
  <si>
    <t>R_1LNK3tyFczbiBT1</t>
  </si>
  <si>
    <t>5dd9923922749791b319fc19</t>
  </si>
  <si>
    <t>I would try them because I usually drink coffee or tea to help with my mental alertness, but given I suffer from anxiety and coffee sometimes gets me on the verge of a panic attack, I would like to try these natural energy bars to see how they affect me and my anxiety.</t>
  </si>
  <si>
    <t>I'd say she's less likely given the amounts of negative testing, so she'd be in the 82 out of 100 range for people who tested negative.</t>
  </si>
  <si>
    <t>10 cents.</t>
  </si>
  <si>
    <t>73.240.172.161</t>
  </si>
  <si>
    <t>R_1EhtVqDPpI3EhqR</t>
  </si>
  <si>
    <t>6108738a8c5cb5596971f78d</t>
  </si>
  <si>
    <t>the improvement seemed marginal - not worth the higher cost</t>
  </si>
  <si>
    <t>136.37.234.43</t>
  </si>
  <si>
    <t>R_1H5knSqtzG2V3wA</t>
  </si>
  <si>
    <t>63bf6105f71f720415f0198b</t>
  </si>
  <si>
    <t>I generally take study data like this with a grain of salt. Any dataset can be manipulated to provide the desired results. This is especially true when a company is using the previously mentioned data to sell me something.</t>
  </si>
  <si>
    <t>98.45.216.5</t>
  </si>
  <si>
    <t>R_3syRhqkha8EJiJa</t>
  </si>
  <si>
    <t>6100d4108e61dace24b7fd6a</t>
  </si>
  <si>
    <t>The improvement was very minimal, not worth it</t>
  </si>
  <si>
    <t>156.65.251.201</t>
  </si>
  <si>
    <t>R_1BXICV0e79jHf1s</t>
  </si>
  <si>
    <t>62e42b7d3f1250f392bbb13e</t>
  </si>
  <si>
    <t xml:space="preserve">I would purchase the cara berry energy bars to improve my own mental alertness for 2 reasons - the cost is not that much more expensive and the improvement was scientifically shown to be significant. </t>
  </si>
  <si>
    <t>66.67.122.108</t>
  </si>
  <si>
    <t>R_26lIPjZPeHwrEYm</t>
  </si>
  <si>
    <t>5e59d06dba01301e73cba7d6</t>
  </si>
  <si>
    <t>It doesn't seem like they will hurt at all just cost extra money</t>
  </si>
  <si>
    <t>From 1 to 1.8</t>
  </si>
  <si>
    <t>70.160.170.7</t>
  </si>
  <si>
    <t>R_abNeAAQO5SdDDMJ</t>
  </si>
  <si>
    <t>5ecbecaf5d5a2e797beced09</t>
  </si>
  <si>
    <t>I have to like the taste and if its more expensive im more likely not to try it</t>
  </si>
  <si>
    <t>.10%?</t>
  </si>
  <si>
    <t>10 cent</t>
  </si>
  <si>
    <t>47.40.245.50</t>
  </si>
  <si>
    <t>R_efimcOjTWmdLl2p</t>
  </si>
  <si>
    <t>6434c75c8978410ba24c61ab</t>
  </si>
  <si>
    <t>Most likely something that is very noticable, such as a leap from 1-2 points. In the study, the jump was merely from 0.0_ points, which is not substantial but shows some opportunity for more. If it was by several points, 3-5, then it would be extremely worth it.</t>
  </si>
  <si>
    <t>The main reasons are current cost, assuming they are expensive, and the fact that the results are just not very tangible at the moment.</t>
  </si>
  <si>
    <t>500 times.</t>
  </si>
  <si>
    <t>10 people.</t>
  </si>
  <si>
    <t>Very unlikely that she has it.</t>
  </si>
  <si>
    <t>100 minutes total.</t>
  </si>
  <si>
    <t>97.83.235.168</t>
  </si>
  <si>
    <t>R_WBsz3iAClcM5Sp3</t>
  </si>
  <si>
    <t>57b560e4a18afd00013e0579</t>
  </si>
  <si>
    <t>They are expensive.</t>
  </si>
  <si>
    <t>I need it to be a major improvement like triple the amount for me to consider them worth the cost.</t>
  </si>
  <si>
    <t>98.60.173.128</t>
  </si>
  <si>
    <t>R_3PbGSWEpQjX3q6v</t>
  </si>
  <si>
    <t>5dd3eaabfef7c23d3f95d252</t>
  </si>
  <si>
    <t>I would purchase some to try initially to see if they help.  If they do, I'd keep buying them.  It'd be worth the cost to continue to feel more alert.</t>
  </si>
  <si>
    <t>174.192.129.8</t>
  </si>
  <si>
    <t>R_2CZp3UkZxCQKD8C</t>
  </si>
  <si>
    <t>57298879dfbb55000903bbbe</t>
  </si>
  <si>
    <t>The increases in mental alertness were very small, so much so that they could have been negligible or due to something else.</t>
  </si>
  <si>
    <t>Going from 1 to 2.5 or 3 range</t>
  </si>
  <si>
    <t>172.58.187.114</t>
  </si>
  <si>
    <t>R_1daSThrFQexTHrY</t>
  </si>
  <si>
    <t>615239af65358edf57e7a095</t>
  </si>
  <si>
    <t xml:space="preserve">I wouldn't purchase cara berry energy bars to improve my own mental alertness because they're more expensive than regular energy bars. Cara berries are seen as a rarer fruit. </t>
  </si>
  <si>
    <t xml:space="preserve">I guess participants who ate cara berry energy bars went from 2.0 to 3.0 within a week of consumption. </t>
  </si>
  <si>
    <t>9 percent</t>
  </si>
  <si>
    <t>104.10.217.193</t>
  </si>
  <si>
    <t>R_129MgmFdqMLkrTg</t>
  </si>
  <si>
    <t>601cbb3526aa517be4a924ce</t>
  </si>
  <si>
    <t>I wouldn't purchase these because the rate of improvement was unbelievably small. SO small, in fact, that it seems deceptive for this company to make such claims. It makes me doubt the ingredient and not trust the study and the company selling this product.</t>
  </si>
  <si>
    <t>O.10%?</t>
  </si>
  <si>
    <t>I don't know. Math isn't my strong suit and I find questions like these impossible (dyscalculia that made math class torture). I'm sorry.</t>
  </si>
  <si>
    <t>99.148.97.75</t>
  </si>
  <si>
    <t>R_2tlo3q9tpNFQx82</t>
  </si>
  <si>
    <t>60fccc55d3d53b24bb3c8379</t>
  </si>
  <si>
    <t xml:space="preserve">I don't have an issue with mental alertness, and it wouldn't be worth it for me to pay twice as much for alertness improvement by such a small margin
</t>
  </si>
  <si>
    <t>173.92.118.139</t>
  </si>
  <si>
    <t>R_OAUe9NKfYVJFmhz</t>
  </si>
  <si>
    <t>63bd8be8f8c532da7bb5431e</t>
  </si>
  <si>
    <t xml:space="preserve">Cost is a huge factor for me with the price of everything around me going up. Paying twice as much for something like an energy bar does is not a feasible thing at this time. </t>
  </si>
  <si>
    <t>90 percent chance</t>
  </si>
  <si>
    <t>173.20.98.54</t>
  </si>
  <si>
    <t>R_0f9QK5dPULrF5e1</t>
  </si>
  <si>
    <t>616c5468a67584b6f6f57443</t>
  </si>
  <si>
    <t xml:space="preserve">I have a chronic illness that diminishes my mental alertness. I could really benefit from trying these berries. </t>
  </si>
  <si>
    <t>4 points</t>
  </si>
  <si>
    <t>98.166.186.249</t>
  </si>
  <si>
    <t>R_2pKLDL2xyBT21SK</t>
  </si>
  <si>
    <t>612d435206d267d587b12789</t>
  </si>
  <si>
    <t>I would try the bar with cara berries to see the effect. There doesn‚Äôt appear to be a downside to experimenting.</t>
  </si>
  <si>
    <t>24.242.49.193</t>
  </si>
  <si>
    <t>R_2y8jlp9GqYyVDWu</t>
  </si>
  <si>
    <t>63d3f99e6aab19fe9a92028e</t>
  </si>
  <si>
    <t xml:space="preserve">I dont believe in these gimic items </t>
  </si>
  <si>
    <t xml:space="preserve">not likely </t>
  </si>
  <si>
    <t>172.58.122.73</t>
  </si>
  <si>
    <t>R_1gjba5komZFLQXl</t>
  </si>
  <si>
    <t>63d4383288ccc0d875a381e4</t>
  </si>
  <si>
    <t>I would purchase it just to see if it actually works for me.</t>
  </si>
  <si>
    <t>24.187.80.192</t>
  </si>
  <si>
    <t>R_1dtOWKhwYfE8B6y</t>
  </si>
  <si>
    <t>628de7e8ff1744a9717d7883</t>
  </si>
  <si>
    <t>Due to the experiment participants before and after had an overall increase in alertness and mental clarity when eating energy bars containing cara berries</t>
  </si>
  <si>
    <t>24.199.43.133</t>
  </si>
  <si>
    <t>R_00r02xh1gAC8r85</t>
  </si>
  <si>
    <t>61523f5edff0567aa388e752</t>
  </si>
  <si>
    <t>I'd do more research and very possibly give cara berry bars a shot. I like being mentally alert...</t>
  </si>
  <si>
    <t>Interesting. I don't have a quantified amount of increase in mind. I'd try it and see what the effects were and decide if it felt worth it.</t>
  </si>
  <si>
    <t>174.209.108.245</t>
  </si>
  <si>
    <t>R_WD8BritZCoT2Tu1</t>
  </si>
  <si>
    <t>5f831c425ca1f40800de0cd4</t>
  </si>
  <si>
    <t xml:space="preserve">Informative article and intriguing. </t>
  </si>
  <si>
    <t>If its a 1 and goes past 3. Anything less would have seemed small to me.</t>
  </si>
  <si>
    <t>70.177.133.88</t>
  </si>
  <si>
    <t>R_1r0rdRTqLAVwqhb</t>
  </si>
  <si>
    <t>5f2f4ff00f10d533f6f57cc7</t>
  </si>
  <si>
    <t xml:space="preserve">I am an avid breakfast bar eater, I like to try new things, especially as a person with ADHD I always like to try and find things that can naturally help me over medications </t>
  </si>
  <si>
    <t>172.58.231.103</t>
  </si>
  <si>
    <t>R_12SGgGonSZj7mbM</t>
  </si>
  <si>
    <t>5cdae588cc071e001a1cbbf0</t>
  </si>
  <si>
    <t>I wouldn‚Äôt purchase cara berry energy bars to improve my mental alertness because in the study they performed, there was a very minimal improvement between the cara berry energy bars, and the conventional energy bars. This minimal improvement is not worth the added cost to purchase the cara berry energy bars.</t>
  </si>
  <si>
    <t>0.10% of tickets</t>
  </si>
  <si>
    <t>209.30.112.253</t>
  </si>
  <si>
    <t>R_1BRC8M1LglP3NXx</t>
  </si>
  <si>
    <t>5d4345e9be616d0001f786cd</t>
  </si>
  <si>
    <t xml:space="preserve">The fact that they're twice as expensive as a regular energy bar gives me pause. If I find them on sale, I might grab one or two to try. </t>
  </si>
  <si>
    <t>2 points in mental alertness</t>
  </si>
  <si>
    <t>107.77.208.145</t>
  </si>
  <si>
    <t>R_3mmZhd4UZWHKUD8</t>
  </si>
  <si>
    <t>5e83fab3555210152b82004f</t>
  </si>
  <si>
    <t>The price to effeteness ratio is to much</t>
  </si>
  <si>
    <t>76.116.237.38</t>
  </si>
  <si>
    <t>R_vYMBRliQCjwQDi9</t>
  </si>
  <si>
    <t>5a198755f2e3460001edc5c9</t>
  </si>
  <si>
    <t xml:space="preserve">The difference from 1.50 to 1.52 and the other improvement noted from the bars does not seem significant to me to warrant paying for energy bars when I can get energy from black tea or caffeine. </t>
  </si>
  <si>
    <t>172.58.141.170</t>
  </si>
  <si>
    <t>R_1ezrbdmIE57nJnI</t>
  </si>
  <si>
    <t>5cfb5233df7d70001619ca90</t>
  </si>
  <si>
    <t xml:space="preserve">Mental alertness is very important to me. I would not mind spending few extra bucks to have heightened mental alertness. </t>
  </si>
  <si>
    <t>I think improvement of just 0.3 point in mental alertness would not worth the added cost.</t>
  </si>
  <si>
    <t>68.116.228.148</t>
  </si>
  <si>
    <t>R_VU56aDexawJ38nn</t>
  </si>
  <si>
    <t>5fc27b5a13285c0008cc71ab</t>
  </si>
  <si>
    <t>I would probably try out the cara berry energy bars to see if it helped with alertness.  However, I probably wouldn't buy them often because of the cost.</t>
  </si>
  <si>
    <t>Average of three points in mental alertness.</t>
  </si>
  <si>
    <t>68.97.172.136</t>
  </si>
  <si>
    <t>R_1nPGJdyTe7LAIFJ</t>
  </si>
  <si>
    <t>6372a4ce725e6bb64a863e72</t>
  </si>
  <si>
    <t>It sounds like something I would like to try for a week even if it was expensive.</t>
  </si>
  <si>
    <t>166.198.161.4</t>
  </si>
  <si>
    <t>R_2e5aQlcZi4ZZhfH</t>
  </si>
  <si>
    <t>622a2074fe80192aa7a0212a</t>
  </si>
  <si>
    <t>Not enough of an improvement</t>
  </si>
  <si>
    <t>69.247.195.105</t>
  </si>
  <si>
    <t>R_2Vw2OWW0vV2utSG</t>
  </si>
  <si>
    <t>63ea6344bf5cfafd40b0dce2</t>
  </si>
  <si>
    <t>I would love to give them a try but the cost factor may stop me depending on the price.</t>
  </si>
  <si>
    <t>1.0 - 1.5</t>
  </si>
  <si>
    <t>73.15.86.20</t>
  </si>
  <si>
    <t>R_bC2NEXMUx4qR62R</t>
  </si>
  <si>
    <t>6150ea0af545fdfbb4b6e25f</t>
  </si>
  <si>
    <t>I would wait till they came to my Grocery Outlet to give them a try.</t>
  </si>
  <si>
    <t>172.83.7.66</t>
  </si>
  <si>
    <t>R_cTIGAuRWSyXoRLr</t>
  </si>
  <si>
    <t>634f29a90d8ff679aa934ab1</t>
  </si>
  <si>
    <t xml:space="preserve">I don't buy a lot of energy bars as is, and price is currently a huge factor contributing to all my food purchasing decisions. The bars seem a bit like a luxury. In addition, I am skeptical of supplements and so-called superfoods. I would want to read more information/research about the supposed benefits of these berries before buying in. </t>
  </si>
  <si>
    <t>I think it would be worth trying for a two point difference or more.</t>
  </si>
  <si>
    <t>23.124.90.188</t>
  </si>
  <si>
    <t>R_Xu39MT8x5mcPCQF</t>
  </si>
  <si>
    <t>5f0a7dec44c42c19a6c9f6d9</t>
  </si>
  <si>
    <t>I feel that they will most likely be too expensive and claims of mental alertness increase was not significant enough for me. I'll stick with coffee.</t>
  </si>
  <si>
    <t>5.0 to 10.0</t>
  </si>
  <si>
    <t>73.252.150.33</t>
  </si>
  <si>
    <t>R_21unGBRWwpLrRx2</t>
  </si>
  <si>
    <t>5d4bed118cbe900016c1f6d0</t>
  </si>
  <si>
    <t>I wouldnt want to purchase the energy bars because I dont think the improvement in mental alertness is significant enough to justify the cost.</t>
  </si>
  <si>
    <t>32.214.245.213</t>
  </si>
  <si>
    <t>R_2Xp9U2XnlvsbSZw</t>
  </si>
  <si>
    <t>637d69bd2bc2aeda148b4d83</t>
  </si>
  <si>
    <t>The 1.56 increase was not a significant amount from the 1.52 eating regular bars. It is not impressive, and the cost is high. I would stick with the normal bars.</t>
  </si>
  <si>
    <t>0.10.2</t>
  </si>
  <si>
    <t>73.157.89.102</t>
  </si>
  <si>
    <t>R_2VflOuUPIsQXObQ</t>
  </si>
  <si>
    <t>63f93d2de413ad49cf0dbff1</t>
  </si>
  <si>
    <t>There was hardly a change between the control and the cara berry group. That combined with the price makes it seem like it is not worth it.</t>
  </si>
  <si>
    <t>71.71.54.17</t>
  </si>
  <si>
    <t>R_3ph8LlR1lMjKwiC</t>
  </si>
  <si>
    <t>5ddd1dd2b48da3c63a3ccdbb</t>
  </si>
  <si>
    <t>I would possibly buy it as it would be very healthy.</t>
  </si>
  <si>
    <t>98.230.17.89</t>
  </si>
  <si>
    <t>R_2QVS4LC7DlDsY0f</t>
  </si>
  <si>
    <t>5b9c2c816f92f30001ecce7a</t>
  </si>
  <si>
    <t>I think they provide better benefits and are worth more money, have higher value, than regular bars. Even if the difference is low, the chance of better alertness would be an added bonus if actually experienced with these bars.</t>
  </si>
  <si>
    <t>73.180.149.208</t>
  </si>
  <si>
    <t>R_6PbF4jECpvFrX69</t>
  </si>
  <si>
    <t>6400c6ad53d8017284e939e5</t>
  </si>
  <si>
    <t>I don't really eat energy bars to begin with and I'm in a good place mentally already.</t>
  </si>
  <si>
    <t>1 or more points</t>
  </si>
  <si>
    <t>47.4.204.217</t>
  </si>
  <si>
    <t>R_ugCuT6OpFahcWTn</t>
  </si>
  <si>
    <t>5f3847dff97940117558fe41</t>
  </si>
  <si>
    <t>The results aren't terribly convincing that cara berry bars have a significant impact on mental alertness. Even if they are influencing this aspect of the mind, it appears to be negligible and simply not worth an extra cost for consumers.</t>
  </si>
  <si>
    <t>47.157.33.72</t>
  </si>
  <si>
    <t>R_d0AOgQErW3EnhjX</t>
  </si>
  <si>
    <t>5e38e79295ff561112eae457</t>
  </si>
  <si>
    <t>If there are no side effects of eating the cara berry energy bars they would be great for increasing my well-being. The improvement in mental alertness seems to be worth the extra cost.</t>
  </si>
  <si>
    <t>174.247.13.177</t>
  </si>
  <si>
    <t>R_6fDoeaobyFUNnKF</t>
  </si>
  <si>
    <t>64356b82a52bbb174ee669a8</t>
  </si>
  <si>
    <t>Based on the scale of 1-5, the overall increase didn't seem very high. So I would not pay more money for that slight difference.</t>
  </si>
  <si>
    <t>1.0 to 3.5 would make a difference to me.</t>
  </si>
  <si>
    <t>96.245.183.99</t>
  </si>
  <si>
    <t>R_bD94WjSJH93XCqB</t>
  </si>
  <si>
    <t>5fec060b5ce3ae867e64cfb3</t>
  </si>
  <si>
    <t xml:space="preserve">I'm not too sure how mental rating is scaled but an fractional increase doesn't seem worth the extra cost. But I would be willing to try anything that would improve mental health </t>
  </si>
  <si>
    <t>67.20.139.245</t>
  </si>
  <si>
    <t>R_23gBW3lTl1tTPFV</t>
  </si>
  <si>
    <t>632455db996b9d9f99cb0f44</t>
  </si>
  <si>
    <t>Energy bars, like the Cara Berry Energy Bars, may contain caffeine or other stimulants that can help improve mental alertness and focus in some people. However, the effects may vary depending on the individual's sensitivity to these ingredients and other factors such as diet and lifestyle.</t>
  </si>
  <si>
    <t>Out of these six possible outcomes, three are even numbers (2, 4, and 6), and the other three are odd numbers (1, 3, and 5). Therefore, we can expect that approximately half of the rolls would result in an even number, which would be 500 times out of 1000 rolls.</t>
  </si>
  <si>
    <t>It's important to note that this is just an estimate, and the actual number of winning tickets could be slightly more or less than 10 due to the random nature of the lottery.</t>
  </si>
  <si>
    <t xml:space="preserve">0.001 x 100 = 0.1%
</t>
  </si>
  <si>
    <t>70.92.135.172</t>
  </si>
  <si>
    <t>R_C8FIeT58lEyr87D</t>
  </si>
  <si>
    <t>636182d3f52ff78fc3f7de50</t>
  </si>
  <si>
    <t xml:space="preserve">I would purchase the cara berry bars because they improve mental alertness. </t>
  </si>
  <si>
    <t xml:space="preserve">If there was absolutely no improvement mentally than I wouldn‚Äôt buy.  At least a 1.0 improvement rating. </t>
  </si>
  <si>
    <t>10 people would win.</t>
  </si>
  <si>
    <t xml:space="preserve">The percent of tickets is 0.1 percent. </t>
  </si>
  <si>
    <t xml:space="preserve">twenty </t>
  </si>
  <si>
    <t xml:space="preserve">100 people. </t>
  </si>
  <si>
    <t xml:space="preserve">There is a 50 percent likelihood. </t>
  </si>
  <si>
    <t>The ball costs $0.05.</t>
  </si>
  <si>
    <t xml:space="preserve">It would take 5 minutes. </t>
  </si>
  <si>
    <t>174.232.184.2</t>
  </si>
  <si>
    <t>R_1k0N4ZQF0vvcwu1</t>
  </si>
  <si>
    <t>5781c15381f331000139a89e</t>
  </si>
  <si>
    <t>Well, I would try them out of curiosity</t>
  </si>
  <si>
    <t>99.64.130.221</t>
  </si>
  <si>
    <t>R_2wnNksKjwK1h1TK</t>
  </si>
  <si>
    <t>6139aed4f23d087290d96200</t>
  </si>
  <si>
    <t>a noticeable improvement</t>
  </si>
  <si>
    <t xml:space="preserve">im sensitive to caffeine this seems like an awesome alternative </t>
  </si>
  <si>
    <t>108.238.29.79</t>
  </si>
  <si>
    <t>R_2rqlmFGWNScbNdQ</t>
  </si>
  <si>
    <t>5b066e00f58f8400018b0906</t>
  </si>
  <si>
    <t>I would be interested in trying the cara berry because I would like to see if it works for me, and increases my mental alertness.</t>
  </si>
  <si>
    <t>50.84.204.206</t>
  </si>
  <si>
    <t>R_ey6TGDVd8OS8e7T</t>
  </si>
  <si>
    <t>64012ef400259d6b9f41d17e</t>
  </si>
  <si>
    <t>I would likely buy the cara berry energy bars  to take when I was  working on something that required me to focused or when i felt like I didn't have enough energy to do something and needed to be mentally alert</t>
  </si>
  <si>
    <t>Participants showed a great improvement after eating the cara berry energy bars</t>
  </si>
  <si>
    <t>67.245.217.72</t>
  </si>
  <si>
    <t>R_1DJ62tYN6CHeWi8</t>
  </si>
  <si>
    <t>6294c9a9c673efce2f6528dc</t>
  </si>
  <si>
    <t>Studies seem to show they do work to improve mental alertness</t>
  </si>
  <si>
    <t>50.194.86.246</t>
  </si>
  <si>
    <t>R_3nIvpqzIjWGcpDl</t>
  </si>
  <si>
    <t>63ed1a2c8c27c4099b576701</t>
  </si>
  <si>
    <t>If cara berries had an effective component in their molecular makeup it would've been isolated, synthesized, and concentrated as a medication to be used across the planet. This product comes off as a health food fad like acai berries. Extraordinary claims should require extraordinary evidence, The research of benefits wasn't convincing at all. I'd rather buy and eat literal poison over funding dishonest organizations.</t>
  </si>
  <si>
    <t>'-1. I'd literally only buy them if they were guaranteed to kill me. If cara berries were actually this effective, every government would have nationalized their cara berry production lines and made humankind quantifiably more alert.</t>
  </si>
  <si>
    <t>It depends on if the machine can only make them in batches or if they can output one per minute. My answer is 5 minutes, because I believe the individual widgets take 5 minutes to be machined anywaysso they produce them in bulk instead.</t>
  </si>
  <si>
    <t>Prompt Rating</t>
  </si>
  <si>
    <t>BoundaryHigh_SmallEffWithPrompt</t>
  </si>
  <si>
    <t>BoundaryLow_SmallEffWithPrompt</t>
  </si>
  <si>
    <t>Endorsement Rating</t>
  </si>
  <si>
    <t>Endorsement Explanation</t>
  </si>
  <si>
    <t>ImprovementGuess_NoEffSize</t>
  </si>
  <si>
    <t>BoundaryLow_LargeEff</t>
  </si>
  <si>
    <t>BoundaryHigh_LargeEff</t>
  </si>
  <si>
    <t>BoundaryLow_SmallEffNoPrompt</t>
  </si>
  <si>
    <t>BoundaryHigh_SmallEffNoPrompt</t>
  </si>
  <si>
    <t>Condition</t>
  </si>
  <si>
    <t>Subject</t>
  </si>
  <si>
    <t>Column Labels</t>
  </si>
  <si>
    <t>(blank)</t>
  </si>
  <si>
    <t>Grand Total</t>
  </si>
  <si>
    <t>Average of BoundaryHigh_SmallEffWithPrompt</t>
  </si>
  <si>
    <t>(Multiple Items)</t>
  </si>
  <si>
    <t>Average of BoundaryLow_SmallEffWithPrompt</t>
  </si>
  <si>
    <t>Average of BoundaryLow_SmallEffNoPrompt</t>
  </si>
  <si>
    <t>Average of BoundaryHigh_SmallEffNoPrompt</t>
  </si>
  <si>
    <t>Average of BoundaryLow_LargeEff</t>
  </si>
  <si>
    <t>Average of BoundaryHigh_LargeEff</t>
  </si>
  <si>
    <t>Q1_Acc</t>
  </si>
  <si>
    <t>Q2_Acc</t>
  </si>
  <si>
    <t>Q3_Acc</t>
  </si>
  <si>
    <t>Q4_Acc</t>
  </si>
  <si>
    <t>Q5_Acc</t>
  </si>
  <si>
    <t>Q6_Acc</t>
  </si>
  <si>
    <t>Q7_Acc</t>
  </si>
  <si>
    <t>Q8_Acc</t>
  </si>
  <si>
    <t>TotalScore</t>
  </si>
  <si>
    <t>Avg Endorsement</t>
  </si>
  <si>
    <t>Average of ImprovementGuess_NoEffSize</t>
  </si>
  <si>
    <t>Meanigful(Large) Effect</t>
  </si>
  <si>
    <t>Not Meaningful (Small Effect)</t>
  </si>
  <si>
    <t>Too Costly</t>
  </si>
  <si>
    <t>Evidence Quality</t>
  </si>
  <si>
    <t>No Stats Effect Mentioned</t>
  </si>
  <si>
    <t>Small Eff With Prompt N</t>
  </si>
  <si>
    <t>Small Eff No Prompt N</t>
  </si>
  <si>
    <t>Large Effect N</t>
  </si>
  <si>
    <t>No Effect N</t>
  </si>
  <si>
    <t>Boundary Values</t>
  </si>
  <si>
    <t>SD</t>
  </si>
  <si>
    <t>avg High</t>
  </si>
  <si>
    <t>avg Low</t>
  </si>
  <si>
    <t>Evidence Quality/More Research</t>
  </si>
  <si>
    <t>Anusha_Meaningful/Large Effect</t>
  </si>
  <si>
    <t>Anusha_ Not Meaningful/ Small Effect</t>
  </si>
  <si>
    <t>Anusha_Too Costly</t>
  </si>
  <si>
    <t>Anusha_No Effect Mentioned</t>
  </si>
  <si>
    <t>Final Large</t>
  </si>
  <si>
    <t>Final Small</t>
  </si>
  <si>
    <t>Final Costly</t>
  </si>
  <si>
    <t>Final No Effect</t>
  </si>
  <si>
    <t>Disagree</t>
  </si>
  <si>
    <t>Disagree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</si>
</sst>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Calibri"/>
      <family val="2"/>
    </font>
    <font>
      <sz val="10"/>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wrapText="1"/>
    </xf>
    <xf numFmtId="22" fontId="0" fillId="0" borderId="0" xfId="0" applyNumberFormat="1"/>
    <xf numFmtId="9" fontId="0" fillId="0" borderId="0" xfId="0" applyNumberFormat="1"/>
    <xf numFmtId="10" fontId="0" fillId="0" borderId="0" xfId="0" applyNumberFormat="1"/>
    <xf numFmtId="8" fontId="0" fillId="0" borderId="0" xfId="0" applyNumberFormat="1"/>
    <xf numFmtId="11" fontId="0" fillId="0" borderId="0" xfId="0" applyNumberFormat="1"/>
    <xf numFmtId="16" fontId="0" fillId="0" borderId="0" xfId="0" applyNumberFormat="1"/>
    <xf numFmtId="0" fontId="0" fillId="0" borderId="0" xfId="0" applyNumberFormat="1"/>
    <xf numFmtId="0" fontId="16" fillId="33" borderId="10" xfId="0" applyFont="1" applyFill="1" applyBorder="1"/>
    <xf numFmtId="0" fontId="0" fillId="0" borderId="0" xfId="0" pivotButton="1"/>
    <xf numFmtId="0" fontId="16" fillId="33" borderId="11" xfId="0" applyNumberFormat="1" applyFont="1" applyFill="1" applyBorder="1"/>
    <xf numFmtId="2" fontId="0" fillId="0" borderId="0" xfId="0" applyNumberFormat="1"/>
    <xf numFmtId="0" fontId="0" fillId="0" borderId="0" xfId="0" applyFont="1"/>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033.508200810182" createdVersion="6" refreshedVersion="6" minRefreshableVersion="3" recordCount="401" xr:uid="{00000000-000A-0000-FFFF-FFFF2B000000}">
  <cacheSource type="worksheet">
    <worksheetSource ref="A1:L1048576" sheet="EndorseData"/>
  </cacheSource>
  <cacheFields count="12">
    <cacheField name="Subject" numFmtId="0">
      <sharedItems containsString="0" containsBlank="1" containsNumber="1" containsInteger="1" minValue="1" maxValue="400"/>
    </cacheField>
    <cacheField name="Prompt Rating" numFmtId="0">
      <sharedItems containsString="0" containsBlank="1" containsNumber="1" containsInteger="1" minValue="0" maxValue="100"/>
    </cacheField>
    <cacheField name="BoundaryHigh_SmallEffWithPrompt" numFmtId="0">
      <sharedItems containsBlank="1" containsMixedTypes="1" containsNumber="1" minValue="0.2" maxValue="99999" count="19">
        <m/>
        <n v="4"/>
        <n v="2"/>
        <n v="1"/>
        <n v="1.5"/>
        <n v="3"/>
        <s v="N/A"/>
        <n v="5"/>
        <n v="99999"/>
        <n v="7"/>
        <n v="1000"/>
        <n v="5.9"/>
        <n v="2.5"/>
        <n v="1.2"/>
        <s v="I would not believe in the test results because it takes a lot more than an energy bar to gain mental alertness. So no matter what researchers said I still would not purchase the bar. "/>
        <n v="1.75"/>
        <n v="0.75"/>
        <n v="0.2"/>
        <n v="1.9"/>
      </sharedItems>
    </cacheField>
    <cacheField name="BoundaryLow_SmallEffWithPrompt" numFmtId="0">
      <sharedItems containsBlank="1" containsMixedTypes="1" containsNumber="1" minValue="0.02" maxValue="30" count="17">
        <m/>
        <n v="1"/>
        <n v="1.2"/>
        <n v="4"/>
        <n v="0.2"/>
        <n v="0.5"/>
        <n v="0.02"/>
        <n v="2"/>
        <s v="anything less than a substantial improvement would make it not worth it"/>
        <n v="3"/>
        <n v="0.1"/>
        <n v="9"/>
        <n v="0.25"/>
        <n v="30"/>
        <n v="3.9"/>
        <n v="5"/>
        <s v="a noticeable improvement"/>
      </sharedItems>
    </cacheField>
    <cacheField name="Endorsement Rating" numFmtId="0">
      <sharedItems containsString="0" containsBlank="1" containsNumber="1" containsInteger="1" minValue="0" maxValue="100" count="86">
        <n v="100"/>
        <n v="0"/>
        <n v="81"/>
        <n v="18"/>
        <n v="58"/>
        <n v="10"/>
        <n v="41"/>
        <n v="70"/>
        <n v="40"/>
        <n v="5"/>
        <n v="23"/>
        <n v="66"/>
        <n v="32"/>
        <n v="12"/>
        <n v="88"/>
        <n v="63"/>
        <n v="16"/>
        <n v="65"/>
        <n v="19"/>
        <n v="17"/>
        <n v="20"/>
        <n v="95"/>
        <n v="50"/>
        <n v="83"/>
        <n v="90"/>
        <n v="71"/>
        <n v="76"/>
        <n v="30"/>
        <n v="67"/>
        <n v="35"/>
        <n v="8"/>
        <n v="31"/>
        <n v="24"/>
        <n v="7"/>
        <n v="34"/>
        <n v="3"/>
        <n v="62"/>
        <n v="80"/>
        <n v="51"/>
        <n v="75"/>
        <n v="15"/>
        <n v="26"/>
        <n v="21"/>
        <n v="86"/>
        <n v="55"/>
        <n v="78"/>
        <n v="69"/>
        <n v="42"/>
        <n v="84"/>
        <n v="73"/>
        <n v="60"/>
        <n v="22"/>
        <n v="37"/>
        <n v="9"/>
        <n v="91"/>
        <n v="82"/>
        <n v="45"/>
        <n v="39"/>
        <n v="27"/>
        <n v="1"/>
        <n v="29"/>
        <n v="61"/>
        <n v="72"/>
        <n v="87"/>
        <n v="2"/>
        <n v="77"/>
        <n v="43"/>
        <n v="98"/>
        <n v="53"/>
        <n v="38"/>
        <n v="49"/>
        <n v="25"/>
        <n v="89"/>
        <n v="56"/>
        <n v="68"/>
        <n v="85"/>
        <n v="57"/>
        <n v="28"/>
        <n v="74"/>
        <n v="4"/>
        <n v="11"/>
        <n v="99"/>
        <n v="59"/>
        <n v="36"/>
        <n v="97"/>
        <m/>
      </sharedItems>
    </cacheField>
    <cacheField name="Endorsement Explanation" numFmtId="0">
      <sharedItems containsBlank="1" longText="1"/>
    </cacheField>
    <cacheField name="ImprovementGuess_NoEffSize" numFmtId="0">
      <sharedItems containsBlank="1" containsMixedTypes="1" containsNumber="1" minValue="1.4999999999999999E-2" maxValue="20" count="24">
        <n v="5"/>
        <m/>
        <n v="4"/>
        <n v="1"/>
        <n v="1.5"/>
        <n v="2"/>
        <n v="3"/>
        <n v="0.5"/>
        <n v="2.2999999999999998"/>
        <n v="2.5"/>
        <n v="0.3"/>
        <n v="0.15"/>
        <n v="0.02"/>
        <n v="0.7"/>
        <n v="9"/>
        <n v="20"/>
        <n v="8"/>
        <n v="0.1"/>
        <n v="1.45"/>
        <s v="I would think it would be very slight improvement"/>
        <n v="0.33"/>
        <n v="7"/>
        <n v="1.4999999999999999E-2"/>
        <s v="Participants showed a great improvement after eating the cara berry energy bars"/>
      </sharedItems>
    </cacheField>
    <cacheField name="BoundaryLow_LargeEff" numFmtId="0">
      <sharedItems containsBlank="1" containsMixedTypes="1" containsNumber="1" minValue="0" maxValue="5" count="22">
        <m/>
        <n v="0.5"/>
        <n v="1"/>
        <n v="3"/>
        <n v="1.5"/>
        <n v="1.6"/>
        <n v="2"/>
        <n v="5"/>
        <n v="0"/>
        <n v="0.3"/>
        <n v="0.9"/>
        <s v="going from an average mental alertness rating of 1 to 3by the end of the week would be an improvement of 1 point in mental alertness"/>
        <s v="It would depend on how much it would be per bad and how many bars it would be before the improvement is acheived"/>
        <n v="0.25"/>
        <n v="1.9"/>
        <s v="any improvement would make them worthwhile as long as the cost difference isn't astronomical"/>
        <n v="2.4900000000000002"/>
        <s v="I have no concept of a mental alertness scale or how changes in this unknown metric affects anything. That said, I cannot give any reasonable answer here."/>
        <n v="1.2"/>
        <s v="From 1 to 1.8"/>
        <n v="2.9"/>
        <s v="Interesting. I don't have a quantified amount of increase in mind. I'd try it and see what the effects were and decide if it felt worth it."/>
      </sharedItems>
    </cacheField>
    <cacheField name="BoundaryHigh_LargeEff" numFmtId="0">
      <sharedItems containsBlank="1" containsMixedTypes="1" containsNumber="1" minValue="0" maxValue="100" count="14">
        <m/>
        <n v="3"/>
        <n v="4"/>
        <n v="1.5"/>
        <s v="No amount is worth it for me"/>
        <n v="5"/>
        <n v="0.5"/>
        <n v="100"/>
        <n v="1"/>
        <s v="Depends on the person."/>
        <s v="My issue wasn‚Äôt the mental alertness but with long term affects "/>
        <n v="0"/>
        <s v="I wouldn't be interested in trying cara berry bars at any price."/>
        <s v="'-1. I'd literally only buy them if they were guaranteed to kill me. If cara berries were actually this effective, every government would have nationalized their cara berry production lines and made humankind quantifiably more alert."/>
      </sharedItems>
    </cacheField>
    <cacheField name="BoundaryLow_SmallEffNoPrompt" numFmtId="0">
      <sharedItems containsString="0" containsBlank="1" containsNumber="1" minValue="0.02" maxValue="10" count="16">
        <m/>
        <n v="1.5"/>
        <n v="1"/>
        <n v="0.1"/>
        <n v="0.4"/>
        <n v="3"/>
        <n v="2"/>
        <n v="0.5"/>
        <n v="0.02"/>
        <n v="5"/>
        <n v="0.05"/>
        <n v="7.4999999999999997E-2"/>
        <n v="1.2"/>
        <n v="10"/>
        <n v="1.1499999999999999"/>
        <n v="0.2"/>
      </sharedItems>
    </cacheField>
    <cacheField name="BoundaryHigh_SmallEffNoPrompt" numFmtId="0">
      <sharedItems containsBlank="1" containsMixedTypes="1" containsNumber="1" minValue="0" maxValue="90" count="20">
        <m/>
        <n v="3"/>
        <n v="25"/>
        <n v="90"/>
        <n v="1"/>
        <n v="0"/>
        <n v="2"/>
        <n v="5"/>
        <n v="1.2"/>
        <n v="1.5"/>
        <s v="none"/>
        <n v="4"/>
        <n v="2.5"/>
        <n v="20"/>
        <n v="0.75"/>
        <s v="This is difficult to answer without a quantative baseline to measure against. Just seems like arbitrary numbers to me. I would like to see improvement an alertness level from -3.66542/53‚Å∏ to 5.328/2‚Å∑. "/>
        <n v="0.5"/>
        <s v="I have no idea. What does a mental point even mean in practical use?"/>
        <n v="0.06"/>
        <n v="50"/>
      </sharedItems>
    </cacheField>
    <cacheField name="Condition" numFmtId="0">
      <sharedItems containsBlank="1" count="5">
        <s v="NoEffectSize"/>
        <s v="SmallEffectWithPrompt"/>
        <s v="LargeEffectNoPrompt"/>
        <s v="SmallEffectNoPrompt"/>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
  <r>
    <n v="1"/>
    <m/>
    <x v="0"/>
    <x v="0"/>
    <x v="0"/>
    <s v="I would like to see an improvement in my mental health and energy. "/>
    <x v="0"/>
    <x v="0"/>
    <x v="0"/>
    <x v="0"/>
    <x v="0"/>
    <x v="0"/>
  </r>
  <r>
    <n v="2"/>
    <n v="5"/>
    <x v="1"/>
    <x v="0"/>
    <x v="1"/>
    <s v="There isn't enough scientific evidence or research to justify the increased price for cara berry bars."/>
    <x v="1"/>
    <x v="0"/>
    <x v="0"/>
    <x v="0"/>
    <x v="0"/>
    <x v="1"/>
  </r>
  <r>
    <n v="3"/>
    <m/>
    <x v="0"/>
    <x v="0"/>
    <x v="2"/>
    <s v="Due to the study saying that cara bars helped people's mental alertness, I would purchase cara berry energy bars because of it. "/>
    <x v="1"/>
    <x v="1"/>
    <x v="0"/>
    <x v="0"/>
    <x v="0"/>
    <x v="2"/>
  </r>
  <r>
    <n v="4"/>
    <m/>
    <x v="0"/>
    <x v="0"/>
    <x v="3"/>
    <s v="The amount of energy for the cost is not worth it to me. I would continue to purchase regular energy bars for the effectiveness and cost"/>
    <x v="1"/>
    <x v="0"/>
    <x v="0"/>
    <x v="0"/>
    <x v="1"/>
    <x v="3"/>
  </r>
  <r>
    <n v="5"/>
    <m/>
    <x v="0"/>
    <x v="0"/>
    <x v="4"/>
    <s v="I would try it but there wasn‚Äôt a big difference in the findings with or with out the cara berries "/>
    <x v="1"/>
    <x v="0"/>
    <x v="0"/>
    <x v="1"/>
    <x v="0"/>
    <x v="3"/>
  </r>
  <r>
    <n v="6"/>
    <m/>
    <x v="0"/>
    <x v="0"/>
    <x v="5"/>
    <s v="I don't usually eat any sort of energy bars because their composition upsets my stomach. I would try it once and see how it affects me though."/>
    <x v="1"/>
    <x v="0"/>
    <x v="1"/>
    <x v="0"/>
    <x v="0"/>
    <x v="2"/>
  </r>
  <r>
    <n v="7"/>
    <m/>
    <x v="0"/>
    <x v="0"/>
    <x v="6"/>
    <s v="If the price is unreasonable then I wouldn't purchase them even if it does help me."/>
    <x v="2"/>
    <x v="0"/>
    <x v="0"/>
    <x v="0"/>
    <x v="0"/>
    <x v="0"/>
  </r>
  <r>
    <n v="8"/>
    <n v="71"/>
    <x v="0"/>
    <x v="1"/>
    <x v="7"/>
    <s v="i would bc i have no energy "/>
    <x v="1"/>
    <x v="0"/>
    <x v="0"/>
    <x v="0"/>
    <x v="0"/>
    <x v="1"/>
  </r>
  <r>
    <n v="9"/>
    <m/>
    <x v="0"/>
    <x v="0"/>
    <x v="8"/>
    <s v="If I was hungry and needed some energy as well, I might consider giving the Cara berry energy bar a shot to see how well it works. But normally when I am in need of mental alertness I would go for a cup of coffee."/>
    <x v="3"/>
    <x v="0"/>
    <x v="0"/>
    <x v="0"/>
    <x v="0"/>
    <x v="0"/>
  </r>
  <r>
    <n v="10"/>
    <m/>
    <x v="0"/>
    <x v="0"/>
    <x v="9"/>
    <s v="Because they are more expensive and the increase was not nearly a large enough amount to warrant spending that much more in my opinion."/>
    <x v="1"/>
    <x v="0"/>
    <x v="0"/>
    <x v="0"/>
    <x v="2"/>
    <x v="3"/>
  </r>
  <r>
    <n v="11"/>
    <n v="46"/>
    <x v="2"/>
    <x v="0"/>
    <x v="10"/>
    <s v="The increase is not significant and should not cost more.  If they were the same price, I would go with them."/>
    <x v="1"/>
    <x v="0"/>
    <x v="0"/>
    <x v="0"/>
    <x v="0"/>
    <x v="1"/>
  </r>
  <r>
    <n v="12"/>
    <m/>
    <x v="0"/>
    <x v="0"/>
    <x v="11"/>
    <s v="Seems like it's very effective to increase your wellnesss being compare to the price"/>
    <x v="1"/>
    <x v="2"/>
    <x v="0"/>
    <x v="0"/>
    <x v="0"/>
    <x v="2"/>
  </r>
  <r>
    <n v="13"/>
    <m/>
    <x v="0"/>
    <x v="0"/>
    <x v="12"/>
    <s v="There‚Äôs not a large enough increase "/>
    <x v="1"/>
    <x v="0"/>
    <x v="0"/>
    <x v="0"/>
    <x v="3"/>
    <x v="3"/>
  </r>
  <r>
    <n v="14"/>
    <m/>
    <x v="0"/>
    <x v="0"/>
    <x v="13"/>
    <s v="Expensive and I prefer consuming few food I can identify "/>
    <x v="0"/>
    <x v="0"/>
    <x v="0"/>
    <x v="0"/>
    <x v="0"/>
    <x v="0"/>
  </r>
  <r>
    <n v="15"/>
    <m/>
    <x v="0"/>
    <x v="0"/>
    <x v="2"/>
    <s v="I am very interested in the claims. The only reason I wouldn't is because of the possible price. "/>
    <x v="1"/>
    <x v="0"/>
    <x v="0"/>
    <x v="2"/>
    <x v="0"/>
    <x v="3"/>
  </r>
  <r>
    <n v="16"/>
    <m/>
    <x v="0"/>
    <x v="0"/>
    <x v="14"/>
    <s v="Despite the cara berry bars being significantly more expensive than the conventional ones, I believe that the value of improved mental alertness is worth it."/>
    <x v="1"/>
    <x v="2"/>
    <x v="0"/>
    <x v="0"/>
    <x v="0"/>
    <x v="2"/>
  </r>
  <r>
    <n v="17"/>
    <n v="73"/>
    <x v="0"/>
    <x v="1"/>
    <x v="15"/>
    <s v="I just don't care enough about it"/>
    <x v="1"/>
    <x v="0"/>
    <x v="0"/>
    <x v="0"/>
    <x v="0"/>
    <x v="1"/>
  </r>
  <r>
    <n v="18"/>
    <m/>
    <x v="0"/>
    <x v="0"/>
    <x v="16"/>
    <s v="That difference in these studies cannot be statistically significant"/>
    <x v="1"/>
    <x v="0"/>
    <x v="0"/>
    <x v="0"/>
    <x v="4"/>
    <x v="3"/>
  </r>
  <r>
    <n v="19"/>
    <n v="60"/>
    <x v="0"/>
    <x v="2"/>
    <x v="17"/>
    <s v="I would purchase cara berry energy bars, but not if the price is outrageous compared to a conventional energy bar. "/>
    <x v="1"/>
    <x v="0"/>
    <x v="0"/>
    <x v="0"/>
    <x v="0"/>
    <x v="1"/>
  </r>
  <r>
    <n v="20"/>
    <m/>
    <x v="0"/>
    <x v="0"/>
    <x v="18"/>
    <s v="I don't trust the research as it is likely biased and the sourcing of the berries would quickly become an issue "/>
    <x v="1"/>
    <x v="0"/>
    <x v="2"/>
    <x v="0"/>
    <x v="0"/>
    <x v="2"/>
  </r>
  <r>
    <n v="21"/>
    <n v="15"/>
    <x v="3"/>
    <x v="0"/>
    <x v="5"/>
    <s v="The improvement from cara berries vs regular energy bars was only 0.04 which does not seem like a very large benefit."/>
    <x v="1"/>
    <x v="0"/>
    <x v="0"/>
    <x v="0"/>
    <x v="0"/>
    <x v="1"/>
  </r>
  <r>
    <n v="22"/>
    <m/>
    <x v="0"/>
    <x v="0"/>
    <x v="19"/>
    <s v="There really wasn‚Äôt a significant difference between the two groups presented. It doesn‚Äôt seem like it‚Äôs worth it for the price tag. "/>
    <x v="1"/>
    <x v="0"/>
    <x v="0"/>
    <x v="0"/>
    <x v="1"/>
    <x v="3"/>
  </r>
  <r>
    <n v="23"/>
    <n v="24"/>
    <x v="2"/>
    <x v="0"/>
    <x v="20"/>
    <s v="The improvement is not enough to purchase cara berry energy bars over regular energy bars. There wasn't even a point difference. "/>
    <x v="1"/>
    <x v="0"/>
    <x v="0"/>
    <x v="0"/>
    <x v="0"/>
    <x v="1"/>
  </r>
  <r>
    <n v="24"/>
    <m/>
    <x v="0"/>
    <x v="0"/>
    <x v="21"/>
    <s v="With a previous TBI, anything that can help with mental alertness is worth a try. With study results as high as 3.5, I would take the chance to see if it helped me."/>
    <x v="1"/>
    <x v="3"/>
    <x v="0"/>
    <x v="0"/>
    <x v="0"/>
    <x v="2"/>
  </r>
  <r>
    <n v="25"/>
    <m/>
    <x v="0"/>
    <x v="0"/>
    <x v="22"/>
    <s v="I don't like berry but it is good for mental i will try"/>
    <x v="1"/>
    <x v="4"/>
    <x v="0"/>
    <x v="0"/>
    <x v="0"/>
    <x v="2"/>
  </r>
  <r>
    <n v="26"/>
    <m/>
    <x v="0"/>
    <x v="0"/>
    <x v="12"/>
    <s v="It sounds more of a gimmick and I could get similar effects from just having caffeine "/>
    <x v="4"/>
    <x v="0"/>
    <x v="0"/>
    <x v="0"/>
    <x v="0"/>
    <x v="0"/>
  </r>
  <r>
    <n v="27"/>
    <m/>
    <x v="0"/>
    <x v="0"/>
    <x v="20"/>
    <s v="Though there was an increase in the numbers, I don't think it was enough to show that 'cara berries' were a distinct contributing factor to such. It wouldn't hurt to try though."/>
    <x v="1"/>
    <x v="0"/>
    <x v="0"/>
    <x v="0"/>
    <x v="4"/>
    <x v="3"/>
  </r>
  <r>
    <n v="28"/>
    <m/>
    <x v="0"/>
    <x v="0"/>
    <x v="23"/>
    <s v="It seems the berry bar at least in this study is much more effective at alertness than default bars."/>
    <x v="1"/>
    <x v="2"/>
    <x v="0"/>
    <x v="0"/>
    <x v="0"/>
    <x v="2"/>
  </r>
  <r>
    <n v="29"/>
    <m/>
    <x v="0"/>
    <x v="0"/>
    <x v="22"/>
    <s v="I don‚Äôt have a lot of extra $ and also I have food allergies. It‚Äôs 50/50 because it would ultimately depend on if the energy bars were good and I‚Äôd eat them (don‚Äôt want to waste) and how expensive they really are"/>
    <x v="5"/>
    <x v="0"/>
    <x v="0"/>
    <x v="0"/>
    <x v="0"/>
    <x v="0"/>
  </r>
  <r>
    <n v="30"/>
    <m/>
    <x v="0"/>
    <x v="0"/>
    <x v="1"/>
    <s v="Science behind &quot;superfoods&quot; or singular ingredients that claim to help overall wellbeing is dubious and there are too many unknown factors in the previous study for me to be convinced the berries are directly responsible for any kind of positive effect."/>
    <x v="1"/>
    <x v="0"/>
    <x v="0"/>
    <x v="0"/>
    <x v="5"/>
    <x v="3"/>
  </r>
  <r>
    <n v="31"/>
    <m/>
    <x v="0"/>
    <x v="0"/>
    <x v="24"/>
    <s v="A study has shown that energy bars with cara berries can improve mental alertness. Even though the energy bars would cost more, it might be worth it. I would like to improve my mental awareness using natural fruits, as opposed to caffeine."/>
    <x v="1"/>
    <x v="5"/>
    <x v="0"/>
    <x v="0"/>
    <x v="0"/>
    <x v="2"/>
  </r>
  <r>
    <n v="32"/>
    <m/>
    <x v="0"/>
    <x v="0"/>
    <x v="24"/>
    <s v="I would want to try ONE first to make sure I like the flavor. If I don't like it, I'm not going to eat it, and therefore it won't do me any good. If I like them, I would buy more."/>
    <x v="1"/>
    <x v="0"/>
    <x v="0"/>
    <x v="3"/>
    <x v="0"/>
    <x v="3"/>
  </r>
  <r>
    <n v="33"/>
    <m/>
    <x v="0"/>
    <x v="0"/>
    <x v="25"/>
    <s v="I'd like to improve my mental alertness naturally!"/>
    <x v="1"/>
    <x v="1"/>
    <x v="0"/>
    <x v="0"/>
    <x v="0"/>
    <x v="2"/>
  </r>
  <r>
    <n v="34"/>
    <m/>
    <x v="0"/>
    <x v="0"/>
    <x v="26"/>
    <s v="I would try them to see if it helped mental alertness for myself. I'd try them every day for a week and watch results."/>
    <x v="6"/>
    <x v="0"/>
    <x v="0"/>
    <x v="0"/>
    <x v="0"/>
    <x v="0"/>
  </r>
  <r>
    <n v="35"/>
    <m/>
    <x v="0"/>
    <x v="0"/>
    <x v="8"/>
    <s v="I would not purchase them because of the cost. I do not think it is such a significant increase to validate the price. "/>
    <x v="1"/>
    <x v="0"/>
    <x v="0"/>
    <x v="0"/>
    <x v="6"/>
    <x v="3"/>
  </r>
  <r>
    <n v="36"/>
    <m/>
    <x v="0"/>
    <x v="0"/>
    <x v="7"/>
    <s v="I would like to see the statistical changes rather than just the broad &quot;improved&quot; statement. It may be fun to try if it is actually significant."/>
    <x v="7"/>
    <x v="0"/>
    <x v="0"/>
    <x v="0"/>
    <x v="0"/>
    <x v="0"/>
  </r>
  <r>
    <n v="37"/>
    <n v="27"/>
    <x v="4"/>
    <x v="0"/>
    <x v="19"/>
    <s v="It didn't seem to help too much when looking at the numbers in the study. Would have to see significant improvement to seem worth while."/>
    <x v="1"/>
    <x v="0"/>
    <x v="0"/>
    <x v="0"/>
    <x v="0"/>
    <x v="1"/>
  </r>
  <r>
    <n v="38"/>
    <m/>
    <x v="0"/>
    <x v="0"/>
    <x v="1"/>
    <s v="The boost of 0.04 on a 5 point scale didn't seem like it would be worth using the bar at all, much less paying twice as much for it."/>
    <x v="1"/>
    <x v="0"/>
    <x v="0"/>
    <x v="0"/>
    <x v="6"/>
    <x v="3"/>
  </r>
  <r>
    <n v="39"/>
    <m/>
    <x v="0"/>
    <x v="0"/>
    <x v="27"/>
    <s v="I don't want to pay double the price for it but i might at least try it to see if it helps. "/>
    <x v="1"/>
    <x v="0"/>
    <x v="3"/>
    <x v="0"/>
    <x v="0"/>
    <x v="2"/>
  </r>
  <r>
    <n v="40"/>
    <n v="18"/>
    <x v="5"/>
    <x v="0"/>
    <x v="20"/>
    <s v="They don‚Äôt seem to really do much in improving mental alertness."/>
    <x v="1"/>
    <x v="0"/>
    <x v="0"/>
    <x v="0"/>
    <x v="0"/>
    <x v="1"/>
  </r>
  <r>
    <n v="41"/>
    <n v="0"/>
    <x v="6"/>
    <x v="0"/>
    <x v="1"/>
    <s v="I'd be fine with the mental alertness from regular energy bars. Wouldn't want to pay more for an increase."/>
    <x v="1"/>
    <x v="0"/>
    <x v="0"/>
    <x v="0"/>
    <x v="0"/>
    <x v="1"/>
  </r>
  <r>
    <n v="42"/>
    <m/>
    <x v="0"/>
    <x v="0"/>
    <x v="28"/>
    <s v="It would be something I would try but probably not something I would buy on a regular basis because of the price. "/>
    <x v="5"/>
    <x v="0"/>
    <x v="0"/>
    <x v="0"/>
    <x v="0"/>
    <x v="0"/>
  </r>
  <r>
    <n v="43"/>
    <m/>
    <x v="0"/>
    <x v="0"/>
    <x v="6"/>
    <s v="I am not sure there is enough data that it's worth the added expense."/>
    <x v="7"/>
    <x v="0"/>
    <x v="0"/>
    <x v="0"/>
    <x v="0"/>
    <x v="0"/>
  </r>
  <r>
    <n v="44"/>
    <m/>
    <x v="0"/>
    <x v="0"/>
    <x v="5"/>
    <s v="I am frugal so wouldn't want to spend the extra money, and those bars are expensive to begin with.  Also, I don't trust the science that a few berries might make me more alert."/>
    <x v="7"/>
    <x v="0"/>
    <x v="0"/>
    <x v="0"/>
    <x v="0"/>
    <x v="0"/>
  </r>
  <r>
    <n v="45"/>
    <m/>
    <x v="0"/>
    <x v="0"/>
    <x v="7"/>
    <s v="I think I would by them because, I think they look delicious and could be a nice side to a proper meal."/>
    <x v="1"/>
    <x v="1"/>
    <x v="0"/>
    <x v="0"/>
    <x v="0"/>
    <x v="2"/>
  </r>
  <r>
    <n v="46"/>
    <m/>
    <x v="0"/>
    <x v="0"/>
    <x v="29"/>
    <s v="I don't believe the slight boost is worth the cost"/>
    <x v="1"/>
    <x v="0"/>
    <x v="0"/>
    <x v="0"/>
    <x v="7"/>
    <x v="3"/>
  </r>
  <r>
    <n v="47"/>
    <m/>
    <x v="0"/>
    <x v="0"/>
    <x v="17"/>
    <s v="I would likely purchase the cara  berries bars to help me be more alert"/>
    <x v="0"/>
    <x v="0"/>
    <x v="0"/>
    <x v="0"/>
    <x v="0"/>
    <x v="0"/>
  </r>
  <r>
    <n v="48"/>
    <m/>
    <x v="0"/>
    <x v="0"/>
    <x v="7"/>
    <s v="i'm not a big fan of supplements but this sounds interesting and may have positive mental benefits"/>
    <x v="5"/>
    <x v="0"/>
    <x v="0"/>
    <x v="0"/>
    <x v="0"/>
    <x v="0"/>
  </r>
  <r>
    <n v="49"/>
    <n v="30"/>
    <x v="2"/>
    <x v="0"/>
    <x v="30"/>
    <s v="Aside from the additional cost, the fact that the berries are not widespread could have environmental consequences.  "/>
    <x v="1"/>
    <x v="0"/>
    <x v="0"/>
    <x v="0"/>
    <x v="0"/>
    <x v="1"/>
  </r>
  <r>
    <n v="50"/>
    <m/>
    <x v="0"/>
    <x v="0"/>
    <x v="0"/>
    <s v="I think this berry energy bars will improve my wellness. It will give me energy to improve my mental alertness."/>
    <x v="4"/>
    <x v="0"/>
    <x v="0"/>
    <x v="0"/>
    <x v="0"/>
    <x v="0"/>
  </r>
  <r>
    <n v="51"/>
    <m/>
    <x v="0"/>
    <x v="0"/>
    <x v="1"/>
    <s v="I feel that my mental alertness is good currently. I don't, as a rule, eat energy bars in the first place. I certainly wouldn't pay twice as much for something I don't think I need. "/>
    <x v="5"/>
    <x v="0"/>
    <x v="0"/>
    <x v="0"/>
    <x v="0"/>
    <x v="0"/>
  </r>
  <r>
    <n v="52"/>
    <m/>
    <x v="0"/>
    <x v="0"/>
    <x v="27"/>
    <s v="I'm not really looking to improve my mental alertness right now, and being called a 'rare ingredient' often comes with a price increase"/>
    <x v="1"/>
    <x v="0"/>
    <x v="0"/>
    <x v="0"/>
    <x v="6"/>
    <x v="3"/>
  </r>
  <r>
    <n v="53"/>
    <m/>
    <x v="0"/>
    <x v="0"/>
    <x v="31"/>
    <s v="It is difficult to show true efficacy with food studies like these. "/>
    <x v="1"/>
    <x v="0"/>
    <x v="4"/>
    <x v="0"/>
    <x v="0"/>
    <x v="2"/>
  </r>
  <r>
    <n v="54"/>
    <n v="25"/>
    <x v="2"/>
    <x v="0"/>
    <x v="13"/>
    <s v="It doesn't seem like enough of a difference for the additional cost."/>
    <x v="1"/>
    <x v="0"/>
    <x v="0"/>
    <x v="0"/>
    <x v="0"/>
    <x v="1"/>
  </r>
  <r>
    <n v="55"/>
    <n v="10"/>
    <x v="7"/>
    <x v="0"/>
    <x v="1"/>
    <s v="I don't think there's a large enough difference in mental alertness to show any actual significant improvement. The range of improvement is negligible, at best! "/>
    <x v="1"/>
    <x v="0"/>
    <x v="0"/>
    <x v="0"/>
    <x v="0"/>
    <x v="1"/>
  </r>
  <r>
    <n v="56"/>
    <m/>
    <x v="0"/>
    <x v="0"/>
    <x v="32"/>
    <s v="I think based on the article alone, I'd look for more information to support the claim of improved alertness.  I don't know what the scale was or what other confounding factors might be that could explain the results.  "/>
    <x v="1"/>
    <x v="0"/>
    <x v="1"/>
    <x v="0"/>
    <x v="0"/>
    <x v="2"/>
  </r>
  <r>
    <n v="57"/>
    <m/>
    <x v="0"/>
    <x v="0"/>
    <x v="7"/>
    <s v="I would love to try them but everything is already expensive so added cost is definitely a factor. "/>
    <x v="8"/>
    <x v="0"/>
    <x v="0"/>
    <x v="0"/>
    <x v="0"/>
    <x v="0"/>
  </r>
  <r>
    <n v="58"/>
    <m/>
    <x v="0"/>
    <x v="0"/>
    <x v="8"/>
    <s v="if they are more expensive, maybe I can find other ways to improve mental alertness that dont cost as much"/>
    <x v="1"/>
    <x v="0"/>
    <x v="5"/>
    <x v="0"/>
    <x v="0"/>
    <x v="2"/>
  </r>
  <r>
    <n v="59"/>
    <n v="21"/>
    <x v="3"/>
    <x v="0"/>
    <x v="33"/>
    <s v="Didn't seem to improve that much to justify the added cost"/>
    <x v="1"/>
    <x v="0"/>
    <x v="0"/>
    <x v="0"/>
    <x v="0"/>
    <x v="1"/>
  </r>
  <r>
    <n v="60"/>
    <n v="38"/>
    <x v="2"/>
    <x v="0"/>
    <x v="34"/>
    <s v="the price. If cara berry is a thing, you can likely get supplement much cheaper."/>
    <x v="1"/>
    <x v="0"/>
    <x v="0"/>
    <x v="0"/>
    <x v="0"/>
    <x v="1"/>
  </r>
  <r>
    <n v="61"/>
    <n v="50"/>
    <x v="0"/>
    <x v="1"/>
    <x v="22"/>
    <s v="My choice."/>
    <x v="1"/>
    <x v="0"/>
    <x v="0"/>
    <x v="0"/>
    <x v="0"/>
    <x v="1"/>
  </r>
  <r>
    <n v="62"/>
    <m/>
    <x v="0"/>
    <x v="0"/>
    <x v="15"/>
    <s v="I would be hesitant to spend twice as much on the bar just for the berries."/>
    <x v="3"/>
    <x v="0"/>
    <x v="0"/>
    <x v="0"/>
    <x v="0"/>
    <x v="0"/>
  </r>
  <r>
    <n v="63"/>
    <m/>
    <x v="0"/>
    <x v="0"/>
    <x v="4"/>
    <s v="it is expensive and I am not sure about the validity of the claims"/>
    <x v="4"/>
    <x v="0"/>
    <x v="0"/>
    <x v="0"/>
    <x v="0"/>
    <x v="0"/>
  </r>
  <r>
    <n v="64"/>
    <m/>
    <x v="0"/>
    <x v="0"/>
    <x v="1"/>
    <s v="I am skeptical of the results of the study, which relies on subjective criteria (self-reported mental alertness) and participant compliance. There did not appear to be a placebo group, and we were not shown information about the statistical confidence interval or the raw data so that we could interpret the results for ourselves."/>
    <x v="1"/>
    <x v="0"/>
    <x v="1"/>
    <x v="0"/>
    <x v="0"/>
    <x v="2"/>
  </r>
  <r>
    <n v="65"/>
    <m/>
    <x v="0"/>
    <x v="0"/>
    <x v="35"/>
    <s v="I've never heard of cara berries. The &quot;research&quot; did seem sound. They're expensive. And I feel fine about my mental alertness"/>
    <x v="7"/>
    <x v="0"/>
    <x v="0"/>
    <x v="0"/>
    <x v="0"/>
    <x v="0"/>
  </r>
  <r>
    <n v="66"/>
    <m/>
    <x v="0"/>
    <x v="0"/>
    <x v="36"/>
    <s v="I would purchase one to at least try it out to see how I liked the benefits and the taste. With the price being more expensive I would be a little hesitant."/>
    <x v="1"/>
    <x v="0"/>
    <x v="0"/>
    <x v="4"/>
    <x v="0"/>
    <x v="3"/>
  </r>
  <r>
    <n v="67"/>
    <m/>
    <x v="0"/>
    <x v="0"/>
    <x v="37"/>
    <s v="I would be skeptical of whether it actually works and would maybe research it more before I made a purchase."/>
    <x v="1"/>
    <x v="2"/>
    <x v="0"/>
    <x v="0"/>
    <x v="0"/>
    <x v="2"/>
  </r>
  <r>
    <n v="68"/>
    <n v="10"/>
    <x v="4"/>
    <x v="0"/>
    <x v="27"/>
    <s v="Since it‚Äôs a rare and probably really expensive ingredient and the science shows very small improvements, I don‚Äôt think I could justify spending a lot of money to get a a very limited result. "/>
    <x v="1"/>
    <x v="0"/>
    <x v="0"/>
    <x v="0"/>
    <x v="0"/>
    <x v="1"/>
  </r>
  <r>
    <n v="69"/>
    <m/>
    <x v="0"/>
    <x v="0"/>
    <x v="1"/>
    <s v="I don't usually like energy bars and never buy them."/>
    <x v="1"/>
    <x v="0"/>
    <x v="5"/>
    <x v="0"/>
    <x v="0"/>
    <x v="2"/>
  </r>
  <r>
    <n v="70"/>
    <n v="0"/>
    <x v="3"/>
    <x v="0"/>
    <x v="1"/>
    <s v="Too expensive"/>
    <x v="1"/>
    <x v="0"/>
    <x v="0"/>
    <x v="0"/>
    <x v="0"/>
    <x v="1"/>
  </r>
  <r>
    <n v="71"/>
    <m/>
    <x v="0"/>
    <x v="0"/>
    <x v="38"/>
    <s v="I like the benefits, but the article mentions scarce supply so I'd be concerned about environmental impact of large numbers of people wanting them. "/>
    <x v="1"/>
    <x v="0"/>
    <x v="0"/>
    <x v="2"/>
    <x v="0"/>
    <x v="3"/>
  </r>
  <r>
    <n v="72"/>
    <m/>
    <x v="0"/>
    <x v="0"/>
    <x v="20"/>
    <s v="Although it seems like a good product, the berries are rare which make the product likely priced at a premium.  I'm sure there are other similar products at lower cost which could work just as well."/>
    <x v="1"/>
    <x v="0"/>
    <x v="0"/>
    <x v="0"/>
    <x v="8"/>
    <x v="3"/>
  </r>
  <r>
    <n v="73"/>
    <n v="84"/>
    <x v="0"/>
    <x v="1"/>
    <x v="20"/>
    <s v="I would just start buying the berries vs the bar"/>
    <x v="1"/>
    <x v="0"/>
    <x v="0"/>
    <x v="0"/>
    <x v="0"/>
    <x v="1"/>
  </r>
  <r>
    <n v="74"/>
    <m/>
    <x v="0"/>
    <x v="0"/>
    <x v="37"/>
    <s v="I would want to purchase one just out of curiosity to see if it would work for me. If it did, I would then consider purchasing more regardless of price."/>
    <x v="1"/>
    <x v="1"/>
    <x v="0"/>
    <x v="0"/>
    <x v="0"/>
    <x v="2"/>
  </r>
  <r>
    <n v="75"/>
    <m/>
    <x v="0"/>
    <x v="0"/>
    <x v="5"/>
    <s v="I think there's other ways to improve your mental alertness that don't require extra money. I wouldn't want to pay double the cost. "/>
    <x v="9"/>
    <x v="0"/>
    <x v="0"/>
    <x v="0"/>
    <x v="0"/>
    <x v="0"/>
  </r>
  <r>
    <n v="76"/>
    <m/>
    <x v="0"/>
    <x v="0"/>
    <x v="5"/>
    <s v="The cost increase versus the potential benefit doesn't seem to be a good trade."/>
    <x v="1"/>
    <x v="0"/>
    <x v="0"/>
    <x v="0"/>
    <x v="1"/>
    <x v="3"/>
  </r>
  <r>
    <n v="77"/>
    <m/>
    <x v="0"/>
    <x v="0"/>
    <x v="39"/>
    <s v="I would at least give the energy bar with cara berries a try to see if they make a difference for me. I would try the bar with cara berries or without to see if one does better than the other. "/>
    <x v="1"/>
    <x v="3"/>
    <x v="0"/>
    <x v="0"/>
    <x v="0"/>
    <x v="2"/>
  </r>
  <r>
    <n v="78"/>
    <m/>
    <x v="0"/>
    <x v="0"/>
    <x v="8"/>
    <s v="I am on social security and at home, so my income varies little and isn't huge. I rarely need my mental alertness improved at this time."/>
    <x v="7"/>
    <x v="0"/>
    <x v="0"/>
    <x v="0"/>
    <x v="0"/>
    <x v="0"/>
  </r>
  <r>
    <n v="79"/>
    <m/>
    <x v="0"/>
    <x v="0"/>
    <x v="5"/>
    <s v="Cara berries were shown to increase alertness only very slightly, and potentially not at all. The cost of these energy bars may also be high and not be justified by the low quality evidence of their efficacy."/>
    <x v="1"/>
    <x v="0"/>
    <x v="0"/>
    <x v="0"/>
    <x v="1"/>
    <x v="3"/>
  </r>
  <r>
    <n v="80"/>
    <n v="35"/>
    <x v="2"/>
    <x v="0"/>
    <x v="27"/>
    <s v="I think there are other things that I can do to improve my mental alertness that don't cost money. I try not to buy into fads thinking that it can change my life when I need a more dynamic systemic change. "/>
    <x v="1"/>
    <x v="0"/>
    <x v="0"/>
    <x v="0"/>
    <x v="0"/>
    <x v="1"/>
  </r>
  <r>
    <n v="81"/>
    <m/>
    <x v="0"/>
    <x v="0"/>
    <x v="40"/>
    <s v="I probably wouldn't purchase cara berry energy bars because money is tight right now and I wouldn't be prone to paying more for that."/>
    <x v="6"/>
    <x v="0"/>
    <x v="0"/>
    <x v="0"/>
    <x v="0"/>
    <x v="0"/>
  </r>
  <r>
    <n v="82"/>
    <m/>
    <x v="0"/>
    <x v="0"/>
    <x v="41"/>
    <s v="I don‚Äôt usually buy into things marketed for specific purpose or application "/>
    <x v="4"/>
    <x v="0"/>
    <x v="0"/>
    <x v="0"/>
    <x v="0"/>
    <x v="0"/>
  </r>
  <r>
    <n v="83"/>
    <m/>
    <x v="0"/>
    <x v="0"/>
    <x v="42"/>
    <s v="I do not necessarily believe that to be true at first. And just generally don't like the taste of energy bars. They always somehow feel/taste like I'm just eating a bunch of wallpaper. I highly doubt that adding berries to the mix will make them more delicious. "/>
    <x v="1"/>
    <x v="0"/>
    <x v="5"/>
    <x v="0"/>
    <x v="0"/>
    <x v="2"/>
  </r>
  <r>
    <n v="84"/>
    <m/>
    <x v="0"/>
    <x v="0"/>
    <x v="22"/>
    <s v="I may not buy due to the cost "/>
    <x v="1"/>
    <x v="0"/>
    <x v="0"/>
    <x v="5"/>
    <x v="0"/>
    <x v="3"/>
  </r>
  <r>
    <n v="85"/>
    <m/>
    <x v="0"/>
    <x v="0"/>
    <x v="24"/>
    <s v="I would personally purchase this energy bar because since the article shows how eating the cara berry bar doubles your energy levels compared to your usual energy bar,  It convinced me of purchasing them for my own benefits."/>
    <x v="1"/>
    <x v="4"/>
    <x v="0"/>
    <x v="0"/>
    <x v="0"/>
    <x v="2"/>
  </r>
  <r>
    <n v="86"/>
    <m/>
    <x v="0"/>
    <x v="0"/>
    <x v="11"/>
    <s v="It sounds like these bars really make a huge difference in mental alertness, which would help me dramatically. I would definitely look more into getting these for the benefits they have.  "/>
    <x v="1"/>
    <x v="1"/>
    <x v="0"/>
    <x v="0"/>
    <x v="0"/>
    <x v="2"/>
  </r>
  <r>
    <n v="87"/>
    <n v="30"/>
    <x v="7"/>
    <x v="0"/>
    <x v="29"/>
    <s v="Well I'm so broke that I take these studies to be able to afford medications that insurance won't cover. I cant afford buying regular energy bars so I'm extremely unlikely to spend more on certain energy bars just because they might improve my mental health."/>
    <x v="1"/>
    <x v="0"/>
    <x v="0"/>
    <x v="0"/>
    <x v="0"/>
    <x v="1"/>
  </r>
  <r>
    <n v="88"/>
    <n v="80"/>
    <x v="0"/>
    <x v="3"/>
    <x v="37"/>
    <s v="After doing some research and finding that eating cara berries would improve my mental alertness I would definitely purchase the cara berry"/>
    <x v="1"/>
    <x v="0"/>
    <x v="0"/>
    <x v="0"/>
    <x v="0"/>
    <x v="1"/>
  </r>
  <r>
    <n v="89"/>
    <n v="0"/>
    <x v="8"/>
    <x v="0"/>
    <x v="1"/>
    <s v="If there is a low supply, then we should not be harvesting them."/>
    <x v="1"/>
    <x v="0"/>
    <x v="0"/>
    <x v="0"/>
    <x v="0"/>
    <x v="1"/>
  </r>
  <r>
    <n v="90"/>
    <n v="0"/>
    <x v="7"/>
    <x v="0"/>
    <x v="1"/>
    <s v="I don't feel like I have an issue with mental alertness in the first place, and certainly not enough to be worth spending extra money on."/>
    <x v="1"/>
    <x v="0"/>
    <x v="0"/>
    <x v="0"/>
    <x v="0"/>
    <x v="1"/>
  </r>
  <r>
    <n v="91"/>
    <m/>
    <x v="0"/>
    <x v="0"/>
    <x v="1"/>
    <s v="I'm just not interested in supplementing in that way."/>
    <x v="3"/>
    <x v="0"/>
    <x v="0"/>
    <x v="0"/>
    <x v="0"/>
    <x v="0"/>
  </r>
  <r>
    <n v="92"/>
    <n v="15"/>
    <x v="4"/>
    <x v="0"/>
    <x v="8"/>
    <s v="I'm not sure if the amount of improvement is worth the extra cost, and it could also be a placebo effect."/>
    <x v="1"/>
    <x v="0"/>
    <x v="0"/>
    <x v="0"/>
    <x v="0"/>
    <x v="1"/>
  </r>
  <r>
    <n v="93"/>
    <m/>
    <x v="0"/>
    <x v="0"/>
    <x v="7"/>
    <s v="I would try the bars with Cara Berries for a few days if the price is affordable. I would also look at the study more closely but honestly, if the price is affordable, it's worth trying for a few days. "/>
    <x v="1"/>
    <x v="2"/>
    <x v="0"/>
    <x v="0"/>
    <x v="0"/>
    <x v="2"/>
  </r>
  <r>
    <n v="94"/>
    <m/>
    <x v="0"/>
    <x v="0"/>
    <x v="2"/>
    <s v="I would be interested in trying it to see the benefits. "/>
    <x v="1"/>
    <x v="6"/>
    <x v="0"/>
    <x v="0"/>
    <x v="0"/>
    <x v="2"/>
  </r>
  <r>
    <n v="95"/>
    <n v="0"/>
    <x v="1"/>
    <x v="0"/>
    <x v="1"/>
    <s v="I don't think it would do much could because I have mental conditions. It would have to have a real impact for me to want to try that, being someone who lives low income."/>
    <x v="1"/>
    <x v="0"/>
    <x v="0"/>
    <x v="0"/>
    <x v="0"/>
    <x v="1"/>
  </r>
  <r>
    <n v="96"/>
    <m/>
    <x v="0"/>
    <x v="0"/>
    <x v="7"/>
    <s v="I would give it a try it out of curiosity. "/>
    <x v="1"/>
    <x v="1"/>
    <x v="0"/>
    <x v="0"/>
    <x v="0"/>
    <x v="2"/>
  </r>
  <r>
    <n v="97"/>
    <m/>
    <x v="0"/>
    <x v="0"/>
    <x v="5"/>
    <s v="The combination of the increased price of cara berry energy bars along with the results of the study do not make me feel that I should go out of my way to purchase these bars. The study was limited in participants and those that did eat the cara berry bar only reported 0.4 more alertness than those that ate conventional bars. It is likely difficult to find cara berry bars and they may have to be special ordered, etc. so I would personally not go out of my way to potentially increase my mental alertness by a small margin."/>
    <x v="1"/>
    <x v="0"/>
    <x v="0"/>
    <x v="0"/>
    <x v="9"/>
    <x v="3"/>
  </r>
  <r>
    <n v="98"/>
    <m/>
    <x v="0"/>
    <x v="0"/>
    <x v="3"/>
    <s v="Seems like a gimmick and I'm not a fan of energy bars."/>
    <x v="3"/>
    <x v="0"/>
    <x v="0"/>
    <x v="0"/>
    <x v="0"/>
    <x v="0"/>
  </r>
  <r>
    <n v="99"/>
    <m/>
    <x v="0"/>
    <x v="0"/>
    <x v="29"/>
    <s v="I dont know anything about cara berries so i would have to do research to make sure im not allergic or anything"/>
    <x v="1"/>
    <x v="0"/>
    <x v="3"/>
    <x v="0"/>
    <x v="0"/>
    <x v="2"/>
  </r>
  <r>
    <n v="100"/>
    <m/>
    <x v="0"/>
    <x v="0"/>
    <x v="43"/>
    <s v="I would purchase cara berry energy bars because I value mental wellness and would like to pursue any opportunities to improve my mental alertness"/>
    <x v="1"/>
    <x v="0"/>
    <x v="0"/>
    <x v="2"/>
    <x v="0"/>
    <x v="3"/>
  </r>
  <r>
    <n v="101"/>
    <m/>
    <x v="0"/>
    <x v="0"/>
    <x v="44"/>
    <s v="Didn‚Äôt seem like a huge jump in mental alertness and is going to cost more money to."/>
    <x v="1"/>
    <x v="0"/>
    <x v="0"/>
    <x v="1"/>
    <x v="0"/>
    <x v="3"/>
  </r>
  <r>
    <n v="102"/>
    <m/>
    <x v="0"/>
    <x v="0"/>
    <x v="45"/>
    <s v="I have other dietary restrictions and preferences (vegan, prefer to avoid excess sugar and highly processed foods), so I'd have to check the full list of ingredients of the bars to see whether they otherwise seem all right for me. But barring issues there, I'd be eager to try the bars because I have issues sometimes with attention span, concentration, and fatigue, even as much of my work requires accurate, rapid responses to unpredictable stimuli. So, potential improved attentiveness via these cara energy bars sounds quite promising and useful for me.  "/>
    <x v="10"/>
    <x v="0"/>
    <x v="0"/>
    <x v="0"/>
    <x v="0"/>
    <x v="0"/>
  </r>
  <r>
    <n v="103"/>
    <m/>
    <x v="0"/>
    <x v="0"/>
    <x v="46"/>
    <s v="I think I would be more inclined to try the bars for gaining mental alertness. I'd want to know if there are any side effects to eating cara berries"/>
    <x v="5"/>
    <x v="0"/>
    <x v="0"/>
    <x v="0"/>
    <x v="0"/>
    <x v="0"/>
  </r>
  <r>
    <n v="104"/>
    <n v="55"/>
    <x v="0"/>
    <x v="4"/>
    <x v="1"/>
    <s v="I don‚Äôt think it‚Äôs significant enough of a jump"/>
    <x v="1"/>
    <x v="0"/>
    <x v="0"/>
    <x v="0"/>
    <x v="0"/>
    <x v="1"/>
  </r>
  <r>
    <n v="105"/>
    <n v="20"/>
    <x v="9"/>
    <x v="0"/>
    <x v="30"/>
    <s v="Because it is not worth the extra money that I am going to pay for this item."/>
    <x v="1"/>
    <x v="0"/>
    <x v="0"/>
    <x v="0"/>
    <x v="0"/>
    <x v="1"/>
  </r>
  <r>
    <n v="106"/>
    <m/>
    <x v="0"/>
    <x v="0"/>
    <x v="44"/>
    <s v="I'd get them to try but i don't eat energy bars that often."/>
    <x v="1"/>
    <x v="0"/>
    <x v="0"/>
    <x v="2"/>
    <x v="0"/>
    <x v="3"/>
  </r>
  <r>
    <n v="107"/>
    <m/>
    <x v="0"/>
    <x v="0"/>
    <x v="5"/>
    <s v="I'm not convinced the &quot;mental alertness&quot; provided by  cara berries is different from, say, caffeine, raw guarana or other stimulants "/>
    <x v="5"/>
    <x v="0"/>
    <x v="0"/>
    <x v="0"/>
    <x v="0"/>
    <x v="0"/>
  </r>
  <r>
    <n v="108"/>
    <m/>
    <x v="0"/>
    <x v="0"/>
    <x v="1"/>
    <s v="I think the increase is insignificant in relation to the cost"/>
    <x v="1"/>
    <x v="0"/>
    <x v="0"/>
    <x v="0"/>
    <x v="10"/>
    <x v="3"/>
  </r>
  <r>
    <n v="109"/>
    <m/>
    <x v="0"/>
    <x v="0"/>
    <x v="20"/>
    <s v="It's expensive and the results from the study didn't seem to have a significant difference."/>
    <x v="1"/>
    <x v="0"/>
    <x v="0"/>
    <x v="0"/>
    <x v="6"/>
    <x v="3"/>
  </r>
  <r>
    <n v="110"/>
    <n v="64"/>
    <x v="0"/>
    <x v="5"/>
    <x v="4"/>
    <s v="I would purchase them since they do help mental alertness, but wouldn't eat them regularly since the improvement isn't that much better."/>
    <x v="1"/>
    <x v="0"/>
    <x v="0"/>
    <x v="0"/>
    <x v="0"/>
    <x v="1"/>
  </r>
  <r>
    <n v="111"/>
    <m/>
    <x v="0"/>
    <x v="0"/>
    <x v="5"/>
    <s v="I would need more proof that they actually do what they say they do.  I also can get energy just from eating, so would most likely not pay more for it."/>
    <x v="1"/>
    <x v="0"/>
    <x v="0"/>
    <x v="0"/>
    <x v="11"/>
    <x v="3"/>
  </r>
  <r>
    <n v="112"/>
    <m/>
    <x v="0"/>
    <x v="0"/>
    <x v="26"/>
    <s v="I enjoy trying new things and I'm a big fan of all natural remedies. I think this would be interesting. "/>
    <x v="1"/>
    <x v="7"/>
    <x v="0"/>
    <x v="0"/>
    <x v="0"/>
    <x v="2"/>
  </r>
  <r>
    <n v="113"/>
    <m/>
    <x v="0"/>
    <x v="0"/>
    <x v="47"/>
    <s v="It sounds great to have mental alternes to increase but the cost of purchasing them and the need to eat them would be a hassle that coffee for me would do just as well"/>
    <x v="1"/>
    <x v="0"/>
    <x v="5"/>
    <x v="0"/>
    <x v="0"/>
    <x v="2"/>
  </r>
  <r>
    <n v="114"/>
    <m/>
    <x v="0"/>
    <x v="0"/>
    <x v="1"/>
    <s v="I do not care for energy bars, do not buy or eat them"/>
    <x v="6"/>
    <x v="0"/>
    <x v="0"/>
    <x v="0"/>
    <x v="0"/>
    <x v="0"/>
  </r>
  <r>
    <n v="115"/>
    <m/>
    <x v="0"/>
    <x v="0"/>
    <x v="22"/>
    <s v="I don't feel like I need to improve my mental alertness too much. I would consider trying one if I was feeling a little &quot;out of it&quot; "/>
    <x v="1"/>
    <x v="8"/>
    <x v="0"/>
    <x v="0"/>
    <x v="0"/>
    <x v="2"/>
  </r>
  <r>
    <n v="116"/>
    <m/>
    <x v="0"/>
    <x v="0"/>
    <x v="48"/>
    <s v="Seems like it could be a healthier alternative to energy drinks which I'd like to explore"/>
    <x v="1"/>
    <x v="1"/>
    <x v="0"/>
    <x v="0"/>
    <x v="0"/>
    <x v="2"/>
  </r>
  <r>
    <n v="117"/>
    <m/>
    <x v="0"/>
    <x v="0"/>
    <x v="5"/>
    <s v="I am allergic to peanuts, and do not eat nuts, therefor the likelihood of me buying ANY energy bar is already around 40% because I'm very discerning about the ingredients. Now, reading the article, the energy bar without (1.52) to with (1.56) is such a small increase from the standard (1.50) that the additional cost would make this a hard sell for me. "/>
    <x v="1"/>
    <x v="0"/>
    <x v="0"/>
    <x v="0"/>
    <x v="1"/>
    <x v="3"/>
  </r>
  <r>
    <n v="118"/>
    <m/>
    <x v="0"/>
    <x v="0"/>
    <x v="49"/>
    <s v="If cara berries increase alertness I may be interested. I would check ingredients for calories, sugar, fat etc though."/>
    <x v="1"/>
    <x v="6"/>
    <x v="0"/>
    <x v="0"/>
    <x v="0"/>
    <x v="2"/>
  </r>
  <r>
    <n v="119"/>
    <n v="65"/>
    <x v="0"/>
    <x v="6"/>
    <x v="39"/>
    <s v="I think that if there are natural resources available to improve my mental alertness then it is worth paying a little more for my state of mental well being."/>
    <x v="1"/>
    <x v="0"/>
    <x v="0"/>
    <x v="0"/>
    <x v="0"/>
    <x v="1"/>
  </r>
  <r>
    <n v="120"/>
    <m/>
    <x v="0"/>
    <x v="0"/>
    <x v="50"/>
    <s v="it depends upon time"/>
    <x v="1"/>
    <x v="0"/>
    <x v="0"/>
    <x v="6"/>
    <x v="0"/>
    <x v="3"/>
  </r>
  <r>
    <n v="121"/>
    <m/>
    <x v="0"/>
    <x v="0"/>
    <x v="8"/>
    <s v="The article didn't cite where the study came from and they stated the berries are expensive."/>
    <x v="1"/>
    <x v="0"/>
    <x v="6"/>
    <x v="0"/>
    <x v="0"/>
    <x v="2"/>
  </r>
  <r>
    <n v="122"/>
    <m/>
    <x v="0"/>
    <x v="0"/>
    <x v="3"/>
    <s v="There does not seem to be a significant difference in the energy bars that contain cara berries and those that don't and for the added cost I would want a significant increase. "/>
    <x v="1"/>
    <x v="0"/>
    <x v="0"/>
    <x v="0"/>
    <x v="6"/>
    <x v="3"/>
  </r>
  <r>
    <n v="123"/>
    <m/>
    <x v="0"/>
    <x v="0"/>
    <x v="1"/>
    <s v="The amount of alertness compared to cheaper bars was very small. "/>
    <x v="1"/>
    <x v="0"/>
    <x v="0"/>
    <x v="0"/>
    <x v="6"/>
    <x v="3"/>
  </r>
  <r>
    <n v="124"/>
    <m/>
    <x v="0"/>
    <x v="0"/>
    <x v="51"/>
    <s v="I wouldn't because I'm just not into them kind of snacks"/>
    <x v="1"/>
    <x v="0"/>
    <x v="0"/>
    <x v="0"/>
    <x v="12"/>
    <x v="3"/>
  </r>
  <r>
    <n v="125"/>
    <m/>
    <x v="0"/>
    <x v="0"/>
    <x v="39"/>
    <s v="This would be a tasty snack that would actually be good for me."/>
    <x v="9"/>
    <x v="0"/>
    <x v="0"/>
    <x v="0"/>
    <x v="0"/>
    <x v="0"/>
  </r>
  <r>
    <n v="126"/>
    <n v="27"/>
    <x v="7"/>
    <x v="0"/>
    <x v="22"/>
    <s v="The change was negligible. "/>
    <x v="1"/>
    <x v="0"/>
    <x v="0"/>
    <x v="0"/>
    <x v="0"/>
    <x v="1"/>
  </r>
  <r>
    <n v="127"/>
    <m/>
    <x v="0"/>
    <x v="0"/>
    <x v="52"/>
    <s v="I think it's just another gimmick. In six months there will be an opposing article stating how harmful these berries are. "/>
    <x v="11"/>
    <x v="0"/>
    <x v="0"/>
    <x v="0"/>
    <x v="0"/>
    <x v="0"/>
  </r>
  <r>
    <n v="128"/>
    <m/>
    <x v="0"/>
    <x v="0"/>
    <x v="5"/>
    <s v="I don't think I could justify spending twice as much on an energy bar especially if I don't know if it would really work or not."/>
    <x v="1"/>
    <x v="0"/>
    <x v="1"/>
    <x v="0"/>
    <x v="0"/>
    <x v="2"/>
  </r>
  <r>
    <n v="129"/>
    <m/>
    <x v="0"/>
    <x v="0"/>
    <x v="53"/>
    <s v="This seems like a typical claim of expensive food products. I have no desire to vet the study, but I don't really accept its conclusions as causal. I'll wait until cara berries enter mainstream acceptance as some kind of super food before I seek them out."/>
    <x v="12"/>
    <x v="0"/>
    <x v="0"/>
    <x v="0"/>
    <x v="0"/>
    <x v="0"/>
  </r>
  <r>
    <n v="130"/>
    <n v="80"/>
    <x v="0"/>
    <x v="7"/>
    <x v="54"/>
    <s v="I would purchase the bars if they improved mental alertness by a high enough amount. Recently there have been many different supplements on the market that encourages mental alertness, but they're usually high priced or don't offer much of a difference."/>
    <x v="1"/>
    <x v="0"/>
    <x v="0"/>
    <x v="0"/>
    <x v="0"/>
    <x v="1"/>
  </r>
  <r>
    <n v="131"/>
    <n v="10"/>
    <x v="2"/>
    <x v="0"/>
    <x v="5"/>
    <s v="The overall change was fairly small on my opinion and could be explained by other factors, or randomness in general. I didn't think the change was significant enough to really point at a direct benefit."/>
    <x v="1"/>
    <x v="0"/>
    <x v="0"/>
    <x v="0"/>
    <x v="0"/>
    <x v="1"/>
  </r>
  <r>
    <n v="132"/>
    <m/>
    <x v="0"/>
    <x v="0"/>
    <x v="22"/>
    <s v="I could use the energy but I don‚Äôt really have the extra money to spend "/>
    <x v="1"/>
    <x v="0"/>
    <x v="0"/>
    <x v="6"/>
    <x v="0"/>
    <x v="3"/>
  </r>
  <r>
    <n v="133"/>
    <m/>
    <x v="0"/>
    <x v="0"/>
    <x v="0"/>
    <s v="I would definitely purchase the bars to see how well they work. I feel like sometimes my mental alertness can be low and would like to improve it. "/>
    <x v="1"/>
    <x v="4"/>
    <x v="0"/>
    <x v="0"/>
    <x v="0"/>
    <x v="2"/>
  </r>
  <r>
    <n v="134"/>
    <m/>
    <x v="0"/>
    <x v="0"/>
    <x v="13"/>
    <s v="It didn't seem like cara berries improved mental alertness that much. Certainly not worth paying double the price!"/>
    <x v="1"/>
    <x v="0"/>
    <x v="0"/>
    <x v="0"/>
    <x v="12"/>
    <x v="3"/>
  </r>
  <r>
    <n v="135"/>
    <m/>
    <x v="0"/>
    <x v="0"/>
    <x v="45"/>
    <s v="Results and research show they are healthy for your mental health and physical health. "/>
    <x v="1"/>
    <x v="9"/>
    <x v="0"/>
    <x v="0"/>
    <x v="0"/>
    <x v="2"/>
  </r>
  <r>
    <n v="136"/>
    <m/>
    <x v="0"/>
    <x v="0"/>
    <x v="25"/>
    <s v="I would at least want to try these energy bars."/>
    <x v="1"/>
    <x v="2"/>
    <x v="0"/>
    <x v="0"/>
    <x v="0"/>
    <x v="2"/>
  </r>
  <r>
    <n v="137"/>
    <m/>
    <x v="0"/>
    <x v="0"/>
    <x v="25"/>
    <s v="I would like to try cara berry energy bars because it offers something that traditional energy bars don't."/>
    <x v="4"/>
    <x v="0"/>
    <x v="0"/>
    <x v="0"/>
    <x v="0"/>
    <x v="0"/>
  </r>
  <r>
    <n v="138"/>
    <m/>
    <x v="0"/>
    <x v="0"/>
    <x v="25"/>
    <s v="It is always a good idea to increase your alertness. This will make problem solving and mental tasks a bit easier"/>
    <x v="13"/>
    <x v="0"/>
    <x v="0"/>
    <x v="0"/>
    <x v="0"/>
    <x v="0"/>
  </r>
  <r>
    <n v="139"/>
    <m/>
    <x v="0"/>
    <x v="0"/>
    <x v="19"/>
    <s v="I don't tend to trust health food fads."/>
    <x v="1"/>
    <x v="0"/>
    <x v="2"/>
    <x v="0"/>
    <x v="0"/>
    <x v="2"/>
  </r>
  <r>
    <n v="140"/>
    <m/>
    <x v="0"/>
    <x v="0"/>
    <x v="1"/>
    <s v="I am not a fan of energy bars in the first place, with or without cara berries so I would need to make a significant adjustment to my diet before the question of purchasing cara berry energy bars becomes relevant to me. As for using the cara berry energy bars specifically, I honestly see this as yet another diet fad. Just one study is not enough for me to believe that the alleged benefit really exists and even if true, the average 0.4 bump in self-reported mental alertness is not really worth the effort and the added expense to me."/>
    <x v="1"/>
    <x v="0"/>
    <x v="0"/>
    <x v="0"/>
    <x v="6"/>
    <x v="3"/>
  </r>
  <r>
    <n v="141"/>
    <n v="61"/>
    <x v="0"/>
    <x v="7"/>
    <x v="7"/>
    <s v="I would get them in hopes that they worked for me. I would try to think positively as it doesn‚Äôt seem like most people experienced a very big difference. I would hope that they would help me feel better while I‚Äôm dealing with feeling drained due to migraines."/>
    <x v="1"/>
    <x v="0"/>
    <x v="0"/>
    <x v="0"/>
    <x v="0"/>
    <x v="1"/>
  </r>
  <r>
    <n v="142"/>
    <m/>
    <x v="0"/>
    <x v="0"/>
    <x v="36"/>
    <s v="I believe the cost of saving money to having maybe a slight increase in mental wellbeing is not worth it for me. I would much rather have the guaranteed increase in mental state for cheaper. "/>
    <x v="1"/>
    <x v="2"/>
    <x v="0"/>
    <x v="0"/>
    <x v="0"/>
    <x v="2"/>
  </r>
  <r>
    <n v="143"/>
    <m/>
    <x v="0"/>
    <x v="0"/>
    <x v="20"/>
    <s v="I would not purchase cara berry energy bars because I do not feel good about consuming products that are in short supply. Increased demand could lead to endangering the plant species or worse working conditions for those that pick the berries. Further, I do not think improving my mental alertness is worth paying twice the price. "/>
    <x v="1"/>
    <x v="0"/>
    <x v="2"/>
    <x v="0"/>
    <x v="0"/>
    <x v="2"/>
  </r>
  <r>
    <n v="144"/>
    <n v="55"/>
    <x v="0"/>
    <x v="8"/>
    <x v="30"/>
    <s v="it seems like its a nonsense claim.  i would have to look into more studies to see if there's any validity behind it"/>
    <x v="1"/>
    <x v="0"/>
    <x v="0"/>
    <x v="0"/>
    <x v="0"/>
    <x v="1"/>
  </r>
  <r>
    <n v="145"/>
    <m/>
    <x v="0"/>
    <x v="0"/>
    <x v="50"/>
    <s v="The price of the cara berry energy bars may not justify it for me. If it goes for 2-3x times the price, I could also get a coffee or other caffeinated type of drink I might prefer the taste of more."/>
    <x v="1"/>
    <x v="2"/>
    <x v="0"/>
    <x v="0"/>
    <x v="0"/>
    <x v="2"/>
  </r>
  <r>
    <n v="146"/>
    <n v="0"/>
    <x v="2"/>
    <x v="0"/>
    <x v="1"/>
    <s v="An improvement of .06 in mental alertness is not enough to spend extra money on."/>
    <x v="1"/>
    <x v="0"/>
    <x v="0"/>
    <x v="0"/>
    <x v="0"/>
    <x v="1"/>
  </r>
  <r>
    <n v="147"/>
    <m/>
    <x v="0"/>
    <x v="0"/>
    <x v="39"/>
    <s v="I think I'd try it out for a week to see how my mind and body react, but the gains were not as high as I would have expected for the cost of the berries. I think I would also incorporate other things like a healthy diet, added sleep, exercise, etc, that would maybe get me the same if not more mental alertness gains."/>
    <x v="1"/>
    <x v="0"/>
    <x v="0"/>
    <x v="7"/>
    <x v="0"/>
    <x v="3"/>
  </r>
  <r>
    <n v="148"/>
    <n v="56"/>
    <x v="0"/>
    <x v="9"/>
    <x v="55"/>
    <s v="If it‚Äôs really able to do what they say it does and does provide the benefits to enrich one‚Äôs wellbeing it‚Äôs worth at least trying it. "/>
    <x v="1"/>
    <x v="0"/>
    <x v="0"/>
    <x v="0"/>
    <x v="0"/>
    <x v="1"/>
  </r>
  <r>
    <n v="149"/>
    <n v="25"/>
    <x v="2"/>
    <x v="0"/>
    <x v="5"/>
    <s v="The mental improvement is not enough to validate the extra money to buy them. _x000a_I would need to see a higher degree of mental clarity to pay more."/>
    <x v="1"/>
    <x v="0"/>
    <x v="0"/>
    <x v="0"/>
    <x v="0"/>
    <x v="1"/>
  </r>
  <r>
    <n v="150"/>
    <m/>
    <x v="0"/>
    <x v="0"/>
    <x v="5"/>
    <s v="I think that while there is data saying it does improve overall mental alertness it is not a significant enough jump to justify the price increase."/>
    <x v="1"/>
    <x v="0"/>
    <x v="0"/>
    <x v="0"/>
    <x v="6"/>
    <x v="3"/>
  </r>
  <r>
    <n v="151"/>
    <m/>
    <x v="0"/>
    <x v="0"/>
    <x v="50"/>
    <s v="I would like to try them but I'm fine without them in my daily, especially because they're more expensive and I don't really consume energy bars that often."/>
    <x v="1"/>
    <x v="0"/>
    <x v="0"/>
    <x v="8"/>
    <x v="0"/>
    <x v="3"/>
  </r>
  <r>
    <n v="152"/>
    <m/>
    <x v="0"/>
    <x v="0"/>
    <x v="56"/>
    <s v="I would very likely purchase them if I could fit them in my budget. "/>
    <x v="1"/>
    <x v="0"/>
    <x v="0"/>
    <x v="0"/>
    <x v="6"/>
    <x v="3"/>
  </r>
  <r>
    <n v="153"/>
    <m/>
    <x v="0"/>
    <x v="0"/>
    <x v="16"/>
    <s v="It seems like little benefit for twice the cost."/>
    <x v="1"/>
    <x v="0"/>
    <x v="0"/>
    <x v="0"/>
    <x v="6"/>
    <x v="3"/>
  </r>
  <r>
    <n v="154"/>
    <m/>
    <x v="0"/>
    <x v="0"/>
    <x v="39"/>
    <s v="I think I would most likely purchase to test it out and see for myself if it actually has any benefits or not. There's probably a lot of other factors involved, but I am willing to try something new."/>
    <x v="6"/>
    <x v="0"/>
    <x v="0"/>
    <x v="0"/>
    <x v="0"/>
    <x v="0"/>
  </r>
  <r>
    <n v="155"/>
    <m/>
    <x v="0"/>
    <x v="0"/>
    <x v="57"/>
    <s v="I feel my mental alertness is quite good, and I don't feel eating one energy bar a day containing any particular ingredient would have a definite effect on improving my mental alertness"/>
    <x v="5"/>
    <x v="0"/>
    <x v="0"/>
    <x v="0"/>
    <x v="0"/>
    <x v="0"/>
  </r>
  <r>
    <n v="156"/>
    <m/>
    <x v="0"/>
    <x v="0"/>
    <x v="1"/>
    <s v="Since they have a limited stock and are seen as more expensive, I would rather just eat regular bars. Plus if its so limited the popularity may eliminate the berry in nature causing undue environmental damage"/>
    <x v="1"/>
    <x v="0"/>
    <x v="1"/>
    <x v="0"/>
    <x v="0"/>
    <x v="2"/>
  </r>
  <r>
    <n v="157"/>
    <m/>
    <x v="0"/>
    <x v="0"/>
    <x v="58"/>
    <s v="Cara Berry energy bars may contain various ingredients, such as caffeine, vitamins, and minerals, that are believed to promote mental alertness and improve cognitive function. However, the effectiveness of these ingredients and their dosage may vary from product to product. Additionally, individual tolerance and sensitivity to certain ingredients can also influence the extent to which they affect mental alertness."/>
    <x v="3"/>
    <x v="0"/>
    <x v="0"/>
    <x v="0"/>
    <x v="0"/>
    <x v="0"/>
  </r>
  <r>
    <n v="158"/>
    <m/>
    <x v="0"/>
    <x v="0"/>
    <x v="50"/>
    <s v="I would be interested in trying them because of the benefits, but I'm on a very tight budget, so if they cost twice as much as other types of energy bars, I probably would only buy them once."/>
    <x v="5"/>
    <x v="0"/>
    <x v="0"/>
    <x v="0"/>
    <x v="0"/>
    <x v="0"/>
  </r>
  <r>
    <n v="159"/>
    <m/>
    <x v="0"/>
    <x v="0"/>
    <x v="8"/>
    <s v="Going from 1.50 to 1.56 while eating these bars isn't significant enough to justify the increase in cost."/>
    <x v="1"/>
    <x v="0"/>
    <x v="0"/>
    <x v="0"/>
    <x v="1"/>
    <x v="3"/>
  </r>
  <r>
    <n v="160"/>
    <m/>
    <x v="0"/>
    <x v="0"/>
    <x v="0"/>
    <s v="I am trying to keep spending limited right now, but if there is something this inexpensive that can boost brain function, I would gladly pay for the higher priced bar. "/>
    <x v="1"/>
    <x v="10"/>
    <x v="0"/>
    <x v="0"/>
    <x v="0"/>
    <x v="2"/>
  </r>
  <r>
    <n v="161"/>
    <n v="11"/>
    <x v="2"/>
    <x v="0"/>
    <x v="59"/>
    <s v="The improvement seems extremely small and the study was also small and short term, so I would need to see more proof for it to be worth the cost."/>
    <x v="1"/>
    <x v="0"/>
    <x v="0"/>
    <x v="0"/>
    <x v="0"/>
    <x v="1"/>
  </r>
  <r>
    <n v="162"/>
    <n v="100"/>
    <x v="0"/>
    <x v="5"/>
    <x v="0"/>
    <s v="I would want to have better mental alertness."/>
    <x v="1"/>
    <x v="0"/>
    <x v="0"/>
    <x v="0"/>
    <x v="0"/>
    <x v="1"/>
  </r>
  <r>
    <n v="163"/>
    <n v="2"/>
    <x v="5"/>
    <x v="0"/>
    <x v="1"/>
    <s v="The improvement is insignificant"/>
    <x v="1"/>
    <x v="0"/>
    <x v="0"/>
    <x v="0"/>
    <x v="0"/>
    <x v="1"/>
  </r>
  <r>
    <n v="164"/>
    <m/>
    <x v="0"/>
    <x v="0"/>
    <x v="53"/>
    <s v="The difference was extremely small between people who ate Cara berries and those who didn't.  Didn't seem worth the extra cost. "/>
    <x v="1"/>
    <x v="0"/>
    <x v="0"/>
    <x v="0"/>
    <x v="4"/>
    <x v="3"/>
  </r>
  <r>
    <n v="165"/>
    <m/>
    <x v="0"/>
    <x v="0"/>
    <x v="0"/>
    <s v="They work better than regular energy bars so I would prefer them more"/>
    <x v="0"/>
    <x v="0"/>
    <x v="0"/>
    <x v="0"/>
    <x v="0"/>
    <x v="0"/>
  </r>
  <r>
    <n v="166"/>
    <m/>
    <x v="0"/>
    <x v="0"/>
    <x v="20"/>
    <s v="Certainly there are other options (like sleep, ever heard of it?) to increase alertness that does not involve overpriced bars."/>
    <x v="1"/>
    <x v="0"/>
    <x v="7"/>
    <x v="0"/>
    <x v="0"/>
    <x v="2"/>
  </r>
  <r>
    <n v="167"/>
    <m/>
    <x v="0"/>
    <x v="0"/>
    <x v="34"/>
    <s v="I would need to read more about the study. We are often told that a berry or nut, one we've known about for ages, gives all of these benefits. People use a lot of it, and then it fizzles out. "/>
    <x v="1"/>
    <x v="0"/>
    <x v="1"/>
    <x v="0"/>
    <x v="0"/>
    <x v="2"/>
  </r>
  <r>
    <n v="168"/>
    <n v="60"/>
    <x v="0"/>
    <x v="9"/>
    <x v="60"/>
    <s v="I dont think it is worth the cost for me right now in this stage of life "/>
    <x v="1"/>
    <x v="0"/>
    <x v="0"/>
    <x v="0"/>
    <x v="0"/>
    <x v="1"/>
  </r>
  <r>
    <n v="169"/>
    <m/>
    <x v="0"/>
    <x v="0"/>
    <x v="56"/>
    <s v="They quoted as saying they were expensive.  They did not say how expensive or how much they cost.  I wouldn't know  if I wanted them until I saw a price."/>
    <x v="1"/>
    <x v="0"/>
    <x v="0"/>
    <x v="0"/>
    <x v="4"/>
    <x v="3"/>
  </r>
  <r>
    <n v="170"/>
    <m/>
    <x v="0"/>
    <x v="0"/>
    <x v="60"/>
    <s v="I'm not really a fan of energy bars in the first place, so I wouldn't be very motivated to spend more money than usual on them. There are other ways to raise my mental alertness that I'd prefer and are probably cheaper"/>
    <x v="6"/>
    <x v="0"/>
    <x v="0"/>
    <x v="0"/>
    <x v="0"/>
    <x v="0"/>
  </r>
  <r>
    <n v="171"/>
    <n v="55"/>
    <x v="0"/>
    <x v="10"/>
    <x v="22"/>
    <s v="There are some factors of the study that make me hesitant in thinking cara berries do improve mental alertness (self-report, no indication of participants were aware that they were getting the bars w/ cara berries or not). I also think the difference b/t the cara berry energy bars versus the ones without is not that great."/>
    <x v="1"/>
    <x v="0"/>
    <x v="0"/>
    <x v="0"/>
    <x v="0"/>
    <x v="1"/>
  </r>
  <r>
    <n v="172"/>
    <m/>
    <x v="0"/>
    <x v="0"/>
    <x v="1"/>
    <s v="I don't think the difference in energy ratings was a lot considering the extra price of the bar"/>
    <x v="1"/>
    <x v="0"/>
    <x v="0"/>
    <x v="0"/>
    <x v="6"/>
    <x v="3"/>
  </r>
  <r>
    <n v="173"/>
    <m/>
    <x v="0"/>
    <x v="0"/>
    <x v="22"/>
    <s v="It's fairly tempting, but they're more expensive than general energy bars, which are already sometimes seemingly overpriced. That is also only data from one study."/>
    <x v="7"/>
    <x v="0"/>
    <x v="0"/>
    <x v="0"/>
    <x v="0"/>
    <x v="0"/>
  </r>
  <r>
    <n v="174"/>
    <m/>
    <x v="0"/>
    <x v="0"/>
    <x v="61"/>
    <s v="I'd probably just want to buy them to try them and see how they are but don't have too much of an interest in them. "/>
    <x v="5"/>
    <x v="0"/>
    <x v="0"/>
    <x v="0"/>
    <x v="0"/>
    <x v="0"/>
  </r>
  <r>
    <n v="175"/>
    <m/>
    <x v="0"/>
    <x v="0"/>
    <x v="1"/>
    <s v="Given that the berries are described as quite a bit more expensive than other ingredients, there needs to be a very good reason to seek them out for this one purported purpose. There are bits of information given (340 participants, range of resulting scores at around 1.5 for both groups) and there may well be potential, but I would need to see a much more thorough statistical analysis to determine whether the results are even significant. Only at that point could I even begin to weigh their effectiveness against other choices that may not cost nearly so much to achieve the same (or even better) results, particularly if there is more research available on the efficacy of alternatives. _x000a__x000a_It's not to say that I would avoid eating or even buying them. Perhaps I really like the taste. It's the predication of this choice on this one supposed medical benefit which is simply not going to happen given available information. "/>
    <x v="1"/>
    <x v="0"/>
    <x v="0"/>
    <x v="0"/>
    <x v="1"/>
    <x v="3"/>
  </r>
  <r>
    <n v="176"/>
    <m/>
    <x v="0"/>
    <x v="0"/>
    <x v="17"/>
    <s v="I would like to use the bars to increase my mental alertness, but they are more expensive so I may only purchase them if I have some extra money available to spend."/>
    <x v="0"/>
    <x v="0"/>
    <x v="0"/>
    <x v="0"/>
    <x v="0"/>
    <x v="0"/>
  </r>
  <r>
    <n v="177"/>
    <m/>
    <x v="0"/>
    <x v="0"/>
    <x v="0"/>
    <s v="I think it‚Äôd be nice to have and be helpful for mental health and awareness for me.."/>
    <x v="1"/>
    <x v="2"/>
    <x v="0"/>
    <x v="0"/>
    <x v="0"/>
    <x v="2"/>
  </r>
  <r>
    <n v="178"/>
    <m/>
    <x v="0"/>
    <x v="0"/>
    <x v="7"/>
    <s v="I would want to try it and see what I thought.  However it would depend on the price."/>
    <x v="3"/>
    <x v="0"/>
    <x v="0"/>
    <x v="0"/>
    <x v="0"/>
    <x v="0"/>
  </r>
  <r>
    <n v="179"/>
    <m/>
    <x v="0"/>
    <x v="0"/>
    <x v="27"/>
    <s v="The study wasn't very long nor had enough participants to be very accurate. Plus with the added expense, I just don't think it would be worth it. "/>
    <x v="3"/>
    <x v="0"/>
    <x v="0"/>
    <x v="0"/>
    <x v="0"/>
    <x v="0"/>
  </r>
  <r>
    <n v="180"/>
    <n v="0"/>
    <x v="10"/>
    <x v="0"/>
    <x v="1"/>
    <s v="Just another overpriced ridiculous health fad (which I doubt is a real plant anyway). If you want to be healthy, eat real food, not processed garbage."/>
    <x v="1"/>
    <x v="0"/>
    <x v="0"/>
    <x v="0"/>
    <x v="0"/>
    <x v="1"/>
  </r>
  <r>
    <n v="181"/>
    <m/>
    <x v="0"/>
    <x v="0"/>
    <x v="25"/>
    <s v="probably would, but they seem expensive"/>
    <x v="1"/>
    <x v="0"/>
    <x v="0"/>
    <x v="9"/>
    <x v="0"/>
    <x v="3"/>
  </r>
  <r>
    <n v="182"/>
    <m/>
    <x v="0"/>
    <x v="0"/>
    <x v="1"/>
    <s v="I don't want to improve my mental alertness, caffeine is already an affordable option for me if I did want to improve my mental alertness."/>
    <x v="1"/>
    <x v="0"/>
    <x v="0"/>
    <x v="0"/>
    <x v="7"/>
    <x v="3"/>
  </r>
  <r>
    <n v="183"/>
    <m/>
    <x v="0"/>
    <x v="0"/>
    <x v="59"/>
    <s v="I can't afford them and I rarely eat energy bars."/>
    <x v="14"/>
    <x v="0"/>
    <x v="0"/>
    <x v="0"/>
    <x v="0"/>
    <x v="0"/>
  </r>
  <r>
    <n v="184"/>
    <m/>
    <x v="0"/>
    <x v="0"/>
    <x v="62"/>
    <s v="I would purchase them to determine for myself whether they increase alertness."/>
    <x v="1"/>
    <x v="0"/>
    <x v="0"/>
    <x v="10"/>
    <x v="0"/>
    <x v="3"/>
  </r>
  <r>
    <n v="185"/>
    <m/>
    <x v="0"/>
    <x v="0"/>
    <x v="9"/>
    <s v="They provide only a small increase in alertness but are double the price"/>
    <x v="1"/>
    <x v="0"/>
    <x v="0"/>
    <x v="0"/>
    <x v="6"/>
    <x v="3"/>
  </r>
  <r>
    <n v="186"/>
    <m/>
    <x v="0"/>
    <x v="0"/>
    <x v="28"/>
    <s v="They seem to be able to help and it something that be worth a sample of."/>
    <x v="1"/>
    <x v="1"/>
    <x v="0"/>
    <x v="0"/>
    <x v="0"/>
    <x v="2"/>
  </r>
  <r>
    <n v="187"/>
    <n v="11"/>
    <x v="2"/>
    <x v="0"/>
    <x v="9"/>
    <s v="It was barely a change at all. I believe it was 1.54 to 1.56."/>
    <x v="1"/>
    <x v="0"/>
    <x v="0"/>
    <x v="0"/>
    <x v="0"/>
    <x v="1"/>
  </r>
  <r>
    <n v="188"/>
    <m/>
    <x v="0"/>
    <x v="0"/>
    <x v="63"/>
    <s v="The results of the study speak for themselves. The regular energy bars only had a minimal increase but the Cara Berry bar results were staggering."/>
    <x v="1"/>
    <x v="1"/>
    <x v="0"/>
    <x v="0"/>
    <x v="0"/>
    <x v="2"/>
  </r>
  <r>
    <n v="189"/>
    <m/>
    <x v="0"/>
    <x v="0"/>
    <x v="5"/>
    <s v="The results don't seem to be overwhelming, I don't generally eat energy bars at all, there are other ways to improve mental alertness."/>
    <x v="3"/>
    <x v="0"/>
    <x v="0"/>
    <x v="0"/>
    <x v="0"/>
    <x v="0"/>
  </r>
  <r>
    <n v="190"/>
    <m/>
    <x v="0"/>
    <x v="0"/>
    <x v="64"/>
    <s v="The cost would be prohibitive"/>
    <x v="1"/>
    <x v="0"/>
    <x v="0"/>
    <x v="0"/>
    <x v="4"/>
    <x v="3"/>
  </r>
  <r>
    <n v="191"/>
    <m/>
    <x v="0"/>
    <x v="0"/>
    <x v="7"/>
    <s v="I would because, if it was something I thought I may need. Also, It sounds interesting to me."/>
    <x v="15"/>
    <x v="0"/>
    <x v="0"/>
    <x v="0"/>
    <x v="0"/>
    <x v="0"/>
  </r>
  <r>
    <n v="192"/>
    <m/>
    <x v="0"/>
    <x v="0"/>
    <x v="65"/>
    <s v="it was shown to help with alertness"/>
    <x v="1"/>
    <x v="9"/>
    <x v="0"/>
    <x v="0"/>
    <x v="0"/>
    <x v="2"/>
  </r>
  <r>
    <n v="193"/>
    <n v="20"/>
    <x v="2"/>
    <x v="0"/>
    <x v="30"/>
    <s v="I would not due to the cost. It's not enough of a difference to make the cost make sense to me."/>
    <x v="1"/>
    <x v="0"/>
    <x v="0"/>
    <x v="0"/>
    <x v="0"/>
    <x v="1"/>
  </r>
  <r>
    <n v="194"/>
    <m/>
    <x v="0"/>
    <x v="0"/>
    <x v="44"/>
    <s v="Honestly would depends on what i would be doing that day or week, if i knew i was going to have a stressfull week, i would likely try them out."/>
    <x v="1"/>
    <x v="2"/>
    <x v="0"/>
    <x v="0"/>
    <x v="0"/>
    <x v="2"/>
  </r>
  <r>
    <n v="195"/>
    <n v="54"/>
    <x v="0"/>
    <x v="5"/>
    <x v="31"/>
    <s v="I don't think I would want to spend the extra money, when the increase in mental alertness didn't seem high enough."/>
    <x v="1"/>
    <x v="0"/>
    <x v="0"/>
    <x v="0"/>
    <x v="0"/>
    <x v="1"/>
  </r>
  <r>
    <n v="196"/>
    <m/>
    <x v="0"/>
    <x v="0"/>
    <x v="66"/>
    <s v="The increase was small and could have been the result of other factors "/>
    <x v="1"/>
    <x v="0"/>
    <x v="0"/>
    <x v="0"/>
    <x v="9"/>
    <x v="3"/>
  </r>
  <r>
    <n v="197"/>
    <m/>
    <x v="0"/>
    <x v="0"/>
    <x v="17"/>
    <s v="I have been struggling with mental alertness for the past few things and this might be the thing I need. I'm not fully on board because of the price."/>
    <x v="1"/>
    <x v="0"/>
    <x v="0"/>
    <x v="7"/>
    <x v="0"/>
    <x v="3"/>
  </r>
  <r>
    <n v="198"/>
    <n v="100"/>
    <x v="0"/>
    <x v="1"/>
    <x v="67"/>
    <s v="I really find the energy bars very appealing and Original and natural and the claims are very beneficial."/>
    <x v="1"/>
    <x v="0"/>
    <x v="0"/>
    <x v="0"/>
    <x v="0"/>
    <x v="1"/>
  </r>
  <r>
    <n v="199"/>
    <m/>
    <x v="0"/>
    <x v="0"/>
    <x v="68"/>
    <s v="Not too convinced"/>
    <x v="6"/>
    <x v="0"/>
    <x v="0"/>
    <x v="0"/>
    <x v="0"/>
    <x v="0"/>
  </r>
  <r>
    <n v="200"/>
    <m/>
    <x v="0"/>
    <x v="0"/>
    <x v="53"/>
    <s v="They are more expensive and I don't think it would be worth the cost."/>
    <x v="1"/>
    <x v="0"/>
    <x v="0"/>
    <x v="0"/>
    <x v="6"/>
    <x v="3"/>
  </r>
  <r>
    <n v="201"/>
    <m/>
    <x v="0"/>
    <x v="0"/>
    <x v="37"/>
    <s v="I would be curious to see how much they improve my focus."/>
    <x v="1"/>
    <x v="1"/>
    <x v="0"/>
    <x v="0"/>
    <x v="0"/>
    <x v="2"/>
  </r>
  <r>
    <n v="202"/>
    <m/>
    <x v="0"/>
    <x v="0"/>
    <x v="31"/>
    <s v="The statistic provided in the report of how much the participant‚Äôs mental alertness increased in comparison to with conventional energy bars was not substantial; and if the cara berry bars are twice as expensive it does not seem worth it. "/>
    <x v="1"/>
    <x v="0"/>
    <x v="0"/>
    <x v="0"/>
    <x v="4"/>
    <x v="3"/>
  </r>
  <r>
    <n v="203"/>
    <n v="60"/>
    <x v="0"/>
    <x v="5"/>
    <x v="50"/>
    <s v="I would purchase to try them, but I am always skepticle of claims like theses"/>
    <x v="1"/>
    <x v="0"/>
    <x v="0"/>
    <x v="0"/>
    <x v="0"/>
    <x v="1"/>
  </r>
  <r>
    <n v="204"/>
    <n v="62"/>
    <x v="0"/>
    <x v="1"/>
    <x v="33"/>
    <s v="Thats not a high enough number to have me continously eating the same thing repeatedly"/>
    <x v="1"/>
    <x v="0"/>
    <x v="0"/>
    <x v="0"/>
    <x v="0"/>
    <x v="1"/>
  </r>
  <r>
    <n v="205"/>
    <m/>
    <x v="0"/>
    <x v="0"/>
    <x v="2"/>
    <s v="I would be willing to try anything natural to improve it. "/>
    <x v="1"/>
    <x v="2"/>
    <x v="0"/>
    <x v="0"/>
    <x v="0"/>
    <x v="2"/>
  </r>
  <r>
    <n v="206"/>
    <m/>
    <x v="0"/>
    <x v="0"/>
    <x v="1"/>
    <s v="I guess I just don't really think the article was all that convincing in actually making the case the the &quot;cara berry energy bars&quot; were as effective as it claimed. The article mentions a study but without more information about the methodology of the study, how can one attribute the claims of increased mental alertness to the presence of the berries when there could just as likely be other factors at play? I just don't think there's enough there to make any meaningful claim about the bars effectiveness based on this one &quot;study&quot;. "/>
    <x v="9"/>
    <x v="0"/>
    <x v="0"/>
    <x v="0"/>
    <x v="0"/>
    <x v="0"/>
  </r>
  <r>
    <n v="207"/>
    <m/>
    <x v="0"/>
    <x v="0"/>
    <x v="0"/>
    <s v="The increase in the study was exciting "/>
    <x v="1"/>
    <x v="0"/>
    <x v="0"/>
    <x v="2"/>
    <x v="0"/>
    <x v="3"/>
  </r>
  <r>
    <n v="208"/>
    <m/>
    <x v="0"/>
    <x v="0"/>
    <x v="27"/>
    <s v="I don't have such a demanding life that I require a higher mental alertness"/>
    <x v="3"/>
    <x v="0"/>
    <x v="0"/>
    <x v="0"/>
    <x v="0"/>
    <x v="0"/>
  </r>
  <r>
    <n v="209"/>
    <n v="100"/>
    <x v="0"/>
    <x v="1"/>
    <x v="0"/>
    <s v="I would  definitely try and purchase Cara berry energy for a week to test if the bars are actually effective in improving my mental alertness."/>
    <x v="1"/>
    <x v="0"/>
    <x v="0"/>
    <x v="0"/>
    <x v="0"/>
    <x v="1"/>
  </r>
  <r>
    <n v="210"/>
    <m/>
    <x v="0"/>
    <x v="0"/>
    <x v="61"/>
    <s v="Mental alertness is alluring and desirable, I'm swayed by anything that says it can improve my energy or focus due to ADD and other mental illnesses."/>
    <x v="16"/>
    <x v="0"/>
    <x v="0"/>
    <x v="0"/>
    <x v="0"/>
    <x v="0"/>
  </r>
  <r>
    <n v="211"/>
    <m/>
    <x v="0"/>
    <x v="0"/>
    <x v="1"/>
    <s v="I generally don't buy energy bars or priducts. Beyond that, the description left out many key pieces of information that would help me understand how (if at all) effective the berries are. it says the average energy level increased but doesn't say by how much and there was no information about if they corrected for other factors that may affect the results. They also didn't tell us the sample size."/>
    <x v="17"/>
    <x v="0"/>
    <x v="0"/>
    <x v="0"/>
    <x v="0"/>
    <x v="0"/>
  </r>
  <r>
    <n v="212"/>
    <n v="29"/>
    <x v="11"/>
    <x v="0"/>
    <x v="18"/>
    <s v="It's very hard for me to really try to test for things like this if it actually did work that's one thing but I would have to know through first one you said it were"/>
    <x v="1"/>
    <x v="0"/>
    <x v="0"/>
    <x v="0"/>
    <x v="0"/>
    <x v="1"/>
  </r>
  <r>
    <n v="213"/>
    <m/>
    <x v="0"/>
    <x v="0"/>
    <x v="37"/>
    <s v="its a great product and i would want to have mental alertness"/>
    <x v="0"/>
    <x v="0"/>
    <x v="0"/>
    <x v="0"/>
    <x v="0"/>
    <x v="0"/>
  </r>
  <r>
    <n v="214"/>
    <m/>
    <x v="0"/>
    <x v="0"/>
    <x v="54"/>
    <s v="because it will improve my immune and nervous system improving my nervous system"/>
    <x v="1"/>
    <x v="11"/>
    <x v="0"/>
    <x v="0"/>
    <x v="0"/>
    <x v="2"/>
  </r>
  <r>
    <n v="215"/>
    <m/>
    <x v="0"/>
    <x v="0"/>
    <x v="69"/>
    <s v="I have a limited grocery budget, and they are expensive."/>
    <x v="1"/>
    <x v="0"/>
    <x v="0"/>
    <x v="0"/>
    <x v="4"/>
    <x v="3"/>
  </r>
  <r>
    <n v="216"/>
    <m/>
    <x v="0"/>
    <x v="0"/>
    <x v="51"/>
    <s v="The premium cost, on top of the already relatively high price of healthy energy bars, makes me doubt that this is the most cost-effective way of improving my mental alertness."/>
    <x v="5"/>
    <x v="0"/>
    <x v="0"/>
    <x v="0"/>
    <x v="0"/>
    <x v="0"/>
  </r>
  <r>
    <n v="217"/>
    <n v="100"/>
    <x v="0"/>
    <x v="7"/>
    <x v="22"/>
    <s v="I might or might not buy cara berry energy bars to improve my mental alertness because of the price. I might buy some every now and then to use when I felt I needed them but because of the price I dont think it would be completly necessary to make them a daily habit to eat."/>
    <x v="1"/>
    <x v="0"/>
    <x v="0"/>
    <x v="0"/>
    <x v="0"/>
    <x v="1"/>
  </r>
  <r>
    <n v="218"/>
    <m/>
    <x v="0"/>
    <x v="0"/>
    <x v="25"/>
    <s v="I would be intrigued to give it a try. Obviously the sample size is super small. "/>
    <x v="1"/>
    <x v="0"/>
    <x v="0"/>
    <x v="11"/>
    <x v="0"/>
    <x v="3"/>
  </r>
  <r>
    <n v="219"/>
    <m/>
    <x v="0"/>
    <x v="0"/>
    <x v="70"/>
    <s v="I don't have any focus/attention problems, and I don't know what the other ingredients are."/>
    <x v="3"/>
    <x v="0"/>
    <x v="0"/>
    <x v="0"/>
    <x v="0"/>
    <x v="0"/>
  </r>
  <r>
    <n v="220"/>
    <m/>
    <x v="0"/>
    <x v="0"/>
    <x v="34"/>
    <s v="I would want to know by how much it improved the mental alertness, and whether I think that's worth it.  I don't consider myself lacking in that area, so buying something that is supported by a study that is probably put on by the manufacturer, might not be in my best interest."/>
    <x v="5"/>
    <x v="0"/>
    <x v="0"/>
    <x v="0"/>
    <x v="0"/>
    <x v="0"/>
  </r>
  <r>
    <n v="221"/>
    <m/>
    <x v="0"/>
    <x v="0"/>
    <x v="42"/>
    <s v="I would want to learn more about the taste, the cost and the overall benefits by doing additional research."/>
    <x v="1"/>
    <x v="0"/>
    <x v="8"/>
    <x v="0"/>
    <x v="0"/>
    <x v="2"/>
  </r>
  <r>
    <n v="222"/>
    <m/>
    <x v="0"/>
    <x v="0"/>
    <x v="44"/>
    <s v="I would purchase the bar hoping it would help me, although the numbers in my opinion weren't that convincing."/>
    <x v="1"/>
    <x v="0"/>
    <x v="0"/>
    <x v="3"/>
    <x v="0"/>
    <x v="3"/>
  </r>
  <r>
    <n v="223"/>
    <n v="1"/>
    <x v="3"/>
    <x v="0"/>
    <x v="1"/>
    <s v="The claimed improvement is negligible, so I wouldn't waste my money on this product. It would be more effective and cheaper to just drink some tea or coffee."/>
    <x v="1"/>
    <x v="0"/>
    <x v="0"/>
    <x v="0"/>
    <x v="0"/>
    <x v="1"/>
  </r>
  <r>
    <n v="224"/>
    <m/>
    <x v="0"/>
    <x v="0"/>
    <x v="2"/>
    <s v="I would probably look into them a bit more, but if there are now negative effects then I would probably give it a try. I could always use more mental alertness "/>
    <x v="1"/>
    <x v="1"/>
    <x v="0"/>
    <x v="0"/>
    <x v="0"/>
    <x v="2"/>
  </r>
  <r>
    <n v="225"/>
    <m/>
    <x v="0"/>
    <x v="0"/>
    <x v="50"/>
    <s v="If i was going to purchase energy bars, I would wanted to select a brand that provides the most benefit possible. Cara berries would need to be included, according to the article. "/>
    <x v="1"/>
    <x v="1"/>
    <x v="0"/>
    <x v="0"/>
    <x v="0"/>
    <x v="2"/>
  </r>
  <r>
    <n v="226"/>
    <m/>
    <x v="0"/>
    <x v="0"/>
    <x v="17"/>
    <s v="I would want the associated benefits for eating cara berry energy bars but I don't know that I would pay for the premium if the price was multiplicative compared to standard energy bar prices"/>
    <x v="1"/>
    <x v="0"/>
    <x v="0"/>
    <x v="7"/>
    <x v="0"/>
    <x v="3"/>
  </r>
  <r>
    <n v="227"/>
    <m/>
    <x v="0"/>
    <x v="0"/>
    <x v="17"/>
    <s v="I am in a food budget and can not afford to stray to far off "/>
    <x v="1"/>
    <x v="12"/>
    <x v="0"/>
    <x v="0"/>
    <x v="0"/>
    <x v="2"/>
  </r>
  <r>
    <n v="228"/>
    <n v="25"/>
    <x v="4"/>
    <x v="0"/>
    <x v="71"/>
    <s v="I would want to try a sample or read some studies about it. It sounds like just another fad food with hyped benefits that I wouldn't really expect much of."/>
    <x v="1"/>
    <x v="0"/>
    <x v="0"/>
    <x v="0"/>
    <x v="0"/>
    <x v="1"/>
  </r>
  <r>
    <n v="229"/>
    <m/>
    <x v="0"/>
    <x v="0"/>
    <x v="22"/>
    <s v="I do not know enough about it."/>
    <x v="1"/>
    <x v="8"/>
    <x v="0"/>
    <x v="0"/>
    <x v="0"/>
    <x v="2"/>
  </r>
  <r>
    <n v="230"/>
    <n v="0"/>
    <x v="2"/>
    <x v="0"/>
    <x v="1"/>
    <s v="The improvement amount was not large enough (and the way it was presented was confusing). There was an improvement with regular bars and that would be sufficient for me."/>
    <x v="1"/>
    <x v="0"/>
    <x v="0"/>
    <x v="0"/>
    <x v="0"/>
    <x v="1"/>
  </r>
  <r>
    <n v="231"/>
    <m/>
    <x v="0"/>
    <x v="0"/>
    <x v="70"/>
    <s v="The difference between the control and the cara berry's isn't high enough for me to really consider buying a higher priced item. "/>
    <x v="1"/>
    <x v="0"/>
    <x v="0"/>
    <x v="0"/>
    <x v="9"/>
    <x v="3"/>
  </r>
  <r>
    <n v="232"/>
    <n v="30"/>
    <x v="4"/>
    <x v="0"/>
    <x v="18"/>
    <s v="The improvement is minimal and the cost is 2x.  I would spend the money on a supplement to improve mental alertness that has more significant improvement and would be less expensive, such as ginseng and ginkgo"/>
    <x v="1"/>
    <x v="0"/>
    <x v="0"/>
    <x v="0"/>
    <x v="0"/>
    <x v="1"/>
  </r>
  <r>
    <n v="233"/>
    <n v="16"/>
    <x v="3"/>
    <x v="0"/>
    <x v="33"/>
    <s v="The subjects only had a potential increase of 0.04"/>
    <x v="1"/>
    <x v="0"/>
    <x v="0"/>
    <x v="0"/>
    <x v="0"/>
    <x v="1"/>
  </r>
  <r>
    <n v="234"/>
    <n v="9"/>
    <x v="4"/>
    <x v="0"/>
    <x v="5"/>
    <s v="The amount of improvement is not enough to justify the added cost."/>
    <x v="1"/>
    <x v="0"/>
    <x v="0"/>
    <x v="0"/>
    <x v="0"/>
    <x v="1"/>
  </r>
  <r>
    <n v="235"/>
    <n v="60"/>
    <x v="0"/>
    <x v="1"/>
    <x v="50"/>
    <s v="I'd try it if its at a good price"/>
    <x v="1"/>
    <x v="0"/>
    <x v="0"/>
    <x v="0"/>
    <x v="0"/>
    <x v="1"/>
  </r>
  <r>
    <n v="236"/>
    <m/>
    <x v="0"/>
    <x v="0"/>
    <x v="22"/>
    <s v="Price is the main factor. They started at a high price already on the basis of a study that I won‚Äôt even consider scientifically proven."/>
    <x v="7"/>
    <x v="0"/>
    <x v="0"/>
    <x v="0"/>
    <x v="0"/>
    <x v="0"/>
  </r>
  <r>
    <n v="237"/>
    <n v="74"/>
    <x v="0"/>
    <x v="11"/>
    <x v="0"/>
    <s v="i would purchase because i want to stay mentally focused"/>
    <x v="1"/>
    <x v="0"/>
    <x v="0"/>
    <x v="0"/>
    <x v="0"/>
    <x v="1"/>
  </r>
  <r>
    <n v="238"/>
    <m/>
    <x v="0"/>
    <x v="0"/>
    <x v="51"/>
    <s v="I personally don't have any issues concerning my mental alertness so I wouldn't go out of my way to spend more money on that."/>
    <x v="3"/>
    <x v="0"/>
    <x v="0"/>
    <x v="0"/>
    <x v="0"/>
    <x v="0"/>
  </r>
  <r>
    <n v="239"/>
    <m/>
    <x v="0"/>
    <x v="0"/>
    <x v="5"/>
    <s v="There was not a big difference between the group who had conventional energy bars versus energy bars with cara berries."/>
    <x v="1"/>
    <x v="0"/>
    <x v="0"/>
    <x v="0"/>
    <x v="1"/>
    <x v="3"/>
  </r>
  <r>
    <n v="240"/>
    <n v="13"/>
    <x v="12"/>
    <x v="0"/>
    <x v="1"/>
    <s v="I did not see the details of the study, that is the sample size, the context, the confounding factors. In short, I am not convinced this was a valid scientific study."/>
    <x v="1"/>
    <x v="0"/>
    <x v="0"/>
    <x v="0"/>
    <x v="0"/>
    <x v="1"/>
  </r>
  <r>
    <n v="241"/>
    <n v="58"/>
    <x v="0"/>
    <x v="12"/>
    <x v="44"/>
    <s v="The cost for either bar are relatively high so I would look to the ingredients for the difference. I only eat energy bars when I'm exercising and would appreciate the extra energy so I would pay the extra money for the cara bars."/>
    <x v="1"/>
    <x v="0"/>
    <x v="0"/>
    <x v="0"/>
    <x v="0"/>
    <x v="1"/>
  </r>
  <r>
    <n v="242"/>
    <n v="100"/>
    <x v="0"/>
    <x v="5"/>
    <x v="0"/>
    <s v="I would definitely give them a try"/>
    <x v="1"/>
    <x v="0"/>
    <x v="0"/>
    <x v="0"/>
    <x v="0"/>
    <x v="1"/>
  </r>
  <r>
    <n v="243"/>
    <m/>
    <x v="0"/>
    <x v="0"/>
    <x v="40"/>
    <s v="Increased cost. Not entirely convinced the study accounted for other factors that may have influenced a person's perception of their mental alertness. I rarely eat energy bars every day, and would would not to eat them daily to increase my alertness."/>
    <x v="1"/>
    <x v="0"/>
    <x v="1"/>
    <x v="0"/>
    <x v="0"/>
    <x v="2"/>
  </r>
  <r>
    <n v="244"/>
    <m/>
    <x v="0"/>
    <x v="0"/>
    <x v="64"/>
    <s v="The improvement to alertness seems minimal, and the price doesn't make it worth it "/>
    <x v="1"/>
    <x v="0"/>
    <x v="0"/>
    <x v="0"/>
    <x v="7"/>
    <x v="3"/>
  </r>
  <r>
    <n v="245"/>
    <n v="70"/>
    <x v="0"/>
    <x v="13"/>
    <x v="50"/>
    <s v="I would rather try and get the benefits from a full meal."/>
    <x v="1"/>
    <x v="0"/>
    <x v="0"/>
    <x v="0"/>
    <x v="0"/>
    <x v="1"/>
  </r>
  <r>
    <n v="246"/>
    <n v="91"/>
    <x v="0"/>
    <x v="14"/>
    <x v="67"/>
    <s v="I would purchase cara berry energy bars because I struggle with Fibromyalgia and ADHD, both of which affect my cognitive performance. Having these berry's extra &quot;oomph&quot; would likely be life-changing for someone like me."/>
    <x v="1"/>
    <x v="0"/>
    <x v="0"/>
    <x v="0"/>
    <x v="0"/>
    <x v="1"/>
  </r>
  <r>
    <n v="247"/>
    <m/>
    <x v="0"/>
    <x v="0"/>
    <x v="51"/>
    <s v="It is not a big difference and I could not afford them."/>
    <x v="1"/>
    <x v="0"/>
    <x v="0"/>
    <x v="0"/>
    <x v="11"/>
    <x v="3"/>
  </r>
  <r>
    <n v="248"/>
    <m/>
    <x v="0"/>
    <x v="0"/>
    <x v="30"/>
    <s v="It wasn't that big of a difference, not even a full percent. And theyre expensive"/>
    <x v="1"/>
    <x v="0"/>
    <x v="0"/>
    <x v="0"/>
    <x v="13"/>
    <x v="3"/>
  </r>
  <r>
    <n v="249"/>
    <m/>
    <x v="0"/>
    <x v="0"/>
    <x v="72"/>
    <s v="Well it it helps my personal wellness It seemed all positive and that it would actually make me feel more energy"/>
    <x v="0"/>
    <x v="0"/>
    <x v="0"/>
    <x v="0"/>
    <x v="0"/>
    <x v="0"/>
  </r>
  <r>
    <n v="250"/>
    <m/>
    <x v="0"/>
    <x v="0"/>
    <x v="11"/>
    <s v="If the study is factual and cara berries do increase mental alertness, I would likely look for them in stores--I tend to eat a variety of bars as they are a simple snack; so depending on price, yes I would."/>
    <x v="1"/>
    <x v="13"/>
    <x v="0"/>
    <x v="0"/>
    <x v="0"/>
    <x v="2"/>
  </r>
  <r>
    <n v="251"/>
    <n v="0"/>
    <x v="4"/>
    <x v="0"/>
    <x v="1"/>
    <s v="Because I can't afford an extra expense for such a small increase in alertness. I'll just drink a lot of caffeine."/>
    <x v="1"/>
    <x v="0"/>
    <x v="0"/>
    <x v="0"/>
    <x v="0"/>
    <x v="1"/>
  </r>
  <r>
    <n v="252"/>
    <n v="0"/>
    <x v="2"/>
    <x v="0"/>
    <x v="1"/>
    <s v="they don't sound good and probably don't do anything."/>
    <x v="1"/>
    <x v="0"/>
    <x v="0"/>
    <x v="0"/>
    <x v="0"/>
    <x v="1"/>
  </r>
  <r>
    <n v="253"/>
    <m/>
    <x v="0"/>
    <x v="0"/>
    <x v="73"/>
    <s v="I probably would just to have a bar to try it and see if it works."/>
    <x v="1"/>
    <x v="2"/>
    <x v="0"/>
    <x v="0"/>
    <x v="0"/>
    <x v="2"/>
  </r>
  <r>
    <n v="254"/>
    <n v="15"/>
    <x v="2"/>
    <x v="0"/>
    <x v="40"/>
    <s v="It seems like the cara berry bar didn't improve the mind very much more than the other bar. I'm not convinced it's effective. I don't think it would be worth it for that reason."/>
    <x v="1"/>
    <x v="0"/>
    <x v="0"/>
    <x v="0"/>
    <x v="0"/>
    <x v="1"/>
  </r>
  <r>
    <n v="255"/>
    <m/>
    <x v="0"/>
    <x v="0"/>
    <x v="50"/>
    <s v="It would be interesting to try the bars but there are other ways to improve your mental alertness and focus without spending the extra money for the berry bars. For someone who is financially limited, that would have an impact on the decision to purchase."/>
    <x v="5"/>
    <x v="0"/>
    <x v="0"/>
    <x v="0"/>
    <x v="0"/>
    <x v="0"/>
  </r>
  <r>
    <n v="256"/>
    <n v="2"/>
    <x v="2"/>
    <x v="0"/>
    <x v="35"/>
    <s v="The improvement is so minimal that I wouldn't want to pay the extra cost. "/>
    <x v="1"/>
    <x v="0"/>
    <x v="0"/>
    <x v="0"/>
    <x v="0"/>
    <x v="1"/>
  </r>
  <r>
    <n v="257"/>
    <m/>
    <x v="0"/>
    <x v="0"/>
    <x v="22"/>
    <s v="I'm interested, but don't know what they taste like, nor how expensive these energy bars would be."/>
    <x v="3"/>
    <x v="0"/>
    <x v="0"/>
    <x v="0"/>
    <x v="0"/>
    <x v="0"/>
  </r>
  <r>
    <n v="258"/>
    <m/>
    <x v="0"/>
    <x v="0"/>
    <x v="74"/>
    <s v="I just feel like a 0.06 percent isn‚Äôt enough of a increase to justify a almost double price"/>
    <x v="1"/>
    <x v="0"/>
    <x v="0"/>
    <x v="2"/>
    <x v="0"/>
    <x v="3"/>
  </r>
  <r>
    <n v="259"/>
    <m/>
    <x v="0"/>
    <x v="0"/>
    <x v="75"/>
    <s v="I would give it a try and see if it worked for me "/>
    <x v="1"/>
    <x v="0"/>
    <x v="0"/>
    <x v="12"/>
    <x v="0"/>
    <x v="3"/>
  </r>
  <r>
    <n v="260"/>
    <m/>
    <x v="0"/>
    <x v="0"/>
    <x v="0"/>
    <s v="To increase my mental alertness"/>
    <x v="1"/>
    <x v="1"/>
    <x v="0"/>
    <x v="0"/>
    <x v="0"/>
    <x v="2"/>
  </r>
  <r>
    <n v="261"/>
    <n v="100"/>
    <x v="0"/>
    <x v="7"/>
    <x v="22"/>
    <s v="I don't know enough about this energy bars to make a real definitive decision. I need to do more research"/>
    <x v="1"/>
    <x v="0"/>
    <x v="0"/>
    <x v="0"/>
    <x v="0"/>
    <x v="1"/>
  </r>
  <r>
    <n v="262"/>
    <m/>
    <x v="0"/>
    <x v="0"/>
    <x v="22"/>
    <s v="I‚Äôd be willing to try it just to see if I felt it was beneficial but if I didn‚Äôt feel the expensive of them was worth whatever improvement I may or may not have felt, I would‚Äôt spend the extra money on an already very tight budget. "/>
    <x v="1"/>
    <x v="6"/>
    <x v="0"/>
    <x v="0"/>
    <x v="0"/>
    <x v="2"/>
  </r>
  <r>
    <n v="263"/>
    <m/>
    <x v="0"/>
    <x v="0"/>
    <x v="50"/>
    <s v="I think I would purchase it once just to try, and if I do see a noticeable difference, then I might continue to purchase."/>
    <x v="1"/>
    <x v="14"/>
    <x v="0"/>
    <x v="0"/>
    <x v="0"/>
    <x v="2"/>
  </r>
  <r>
    <n v="264"/>
    <m/>
    <x v="0"/>
    <x v="0"/>
    <x v="18"/>
    <s v="I just don‚Äôt care enough right now "/>
    <x v="2"/>
    <x v="0"/>
    <x v="0"/>
    <x v="0"/>
    <x v="0"/>
    <x v="0"/>
  </r>
  <r>
    <n v="265"/>
    <m/>
    <x v="0"/>
    <x v="0"/>
    <x v="40"/>
    <s v="I don't think the improvement (if any) is worth the price of the bars.  I would guess the improvement is likely due to other reasons as well."/>
    <x v="1"/>
    <x v="0"/>
    <x v="0"/>
    <x v="0"/>
    <x v="1"/>
    <x v="3"/>
  </r>
  <r>
    <n v="266"/>
    <m/>
    <x v="0"/>
    <x v="0"/>
    <x v="50"/>
    <s v="The study was for one week. I don‚Äôt think that‚Äôs long enough to prove Cara Berrys have any long term lasting affect."/>
    <x v="1"/>
    <x v="2"/>
    <x v="0"/>
    <x v="0"/>
    <x v="0"/>
    <x v="2"/>
  </r>
  <r>
    <n v="267"/>
    <m/>
    <x v="0"/>
    <x v="0"/>
    <x v="11"/>
    <s v="I'm skeptical if there are any downsides but I'd be willing to try it once. "/>
    <x v="7"/>
    <x v="0"/>
    <x v="0"/>
    <x v="0"/>
    <x v="0"/>
    <x v="0"/>
  </r>
  <r>
    <n v="268"/>
    <n v="39"/>
    <x v="5"/>
    <x v="0"/>
    <x v="8"/>
    <s v="I would need to better understand the results of the study to believe them."/>
    <x v="1"/>
    <x v="0"/>
    <x v="0"/>
    <x v="0"/>
    <x v="0"/>
    <x v="1"/>
  </r>
  <r>
    <n v="269"/>
    <m/>
    <x v="0"/>
    <x v="0"/>
    <x v="7"/>
    <s v="I'd purchase a cara berry energy bar because sometimes I feel like I am not mentally present in the moment and I would like to see if these supposed energy bars differ from conventional energy bars in any type of manner."/>
    <x v="3"/>
    <x v="0"/>
    <x v="0"/>
    <x v="0"/>
    <x v="0"/>
    <x v="0"/>
  </r>
  <r>
    <n v="270"/>
    <m/>
    <x v="0"/>
    <x v="0"/>
    <x v="7"/>
    <s v="I would be interested in trying it, maybe it works and maybe it doesnt but as long as its safe and there is no risk then what is the harm?"/>
    <x v="18"/>
    <x v="0"/>
    <x v="0"/>
    <x v="0"/>
    <x v="0"/>
    <x v="0"/>
  </r>
  <r>
    <n v="271"/>
    <m/>
    <x v="0"/>
    <x v="0"/>
    <x v="1"/>
    <s v="I don't eat energy bars"/>
    <x v="1"/>
    <x v="0"/>
    <x v="5"/>
    <x v="0"/>
    <x v="0"/>
    <x v="2"/>
  </r>
  <r>
    <n v="272"/>
    <m/>
    <x v="0"/>
    <x v="0"/>
    <x v="2"/>
    <s v="I Really struggle with mental alertness during the day, so I would be willing to pay a bit more for something that helps me."/>
    <x v="6"/>
    <x v="0"/>
    <x v="0"/>
    <x v="0"/>
    <x v="0"/>
    <x v="0"/>
  </r>
  <r>
    <n v="273"/>
    <m/>
    <x v="0"/>
    <x v="0"/>
    <x v="76"/>
    <s v="I don't think I would be willing to pay more money."/>
    <x v="1"/>
    <x v="0"/>
    <x v="0"/>
    <x v="5"/>
    <x v="0"/>
    <x v="3"/>
  </r>
  <r>
    <n v="274"/>
    <m/>
    <x v="0"/>
    <x v="0"/>
    <x v="75"/>
    <s v="I think I would like to improve my mental alertness especially as the week goes on. It would also be cool to just try a new energy bar."/>
    <x v="4"/>
    <x v="0"/>
    <x v="0"/>
    <x v="0"/>
    <x v="0"/>
    <x v="0"/>
  </r>
  <r>
    <n v="275"/>
    <n v="74"/>
    <x v="0"/>
    <x v="5"/>
    <x v="48"/>
    <s v="It seems like there might be a correlation and I'd like to try it"/>
    <x v="1"/>
    <x v="0"/>
    <x v="0"/>
    <x v="0"/>
    <x v="0"/>
    <x v="1"/>
  </r>
  <r>
    <n v="276"/>
    <m/>
    <x v="0"/>
    <x v="0"/>
    <x v="22"/>
    <s v="It's fine to say the berry does a thing.  But without explaining why, it's just marketing."/>
    <x v="3"/>
    <x v="0"/>
    <x v="0"/>
    <x v="0"/>
    <x v="0"/>
    <x v="0"/>
  </r>
  <r>
    <n v="277"/>
    <m/>
    <x v="0"/>
    <x v="0"/>
    <x v="53"/>
    <s v="The numbers given by the study suggested that cara berries don't make a big difference, and I don't want to buy expensive products if I don't have to."/>
    <x v="1"/>
    <x v="0"/>
    <x v="0"/>
    <x v="0"/>
    <x v="14"/>
    <x v="3"/>
  </r>
  <r>
    <n v="278"/>
    <m/>
    <x v="0"/>
    <x v="0"/>
    <x v="54"/>
    <s v="Because even though they are more expensive making money is one of the things we need our mental alter ness for. Since it's proven to make you more alert I would spend the money buying them to increase my mental energy and output at work and therefore be able to hopefully make more money as a result. "/>
    <x v="5"/>
    <x v="0"/>
    <x v="0"/>
    <x v="0"/>
    <x v="0"/>
    <x v="0"/>
  </r>
  <r>
    <n v="279"/>
    <m/>
    <x v="0"/>
    <x v="0"/>
    <x v="7"/>
    <s v="It sounds like something that would be worth a try. "/>
    <x v="1"/>
    <x v="13"/>
    <x v="0"/>
    <x v="0"/>
    <x v="0"/>
    <x v="2"/>
  </r>
  <r>
    <n v="280"/>
    <m/>
    <x v="0"/>
    <x v="0"/>
    <x v="27"/>
    <s v="My ass be broke! But I might get them every so often as a personal treat, if I enjoy them. "/>
    <x v="1"/>
    <x v="0"/>
    <x v="0"/>
    <x v="0"/>
    <x v="15"/>
    <x v="3"/>
  </r>
  <r>
    <n v="281"/>
    <m/>
    <x v="0"/>
    <x v="0"/>
    <x v="60"/>
    <s v="The evidence that it really makes a difference to improve mental awareness isn't strong enough for me to want to spend the extra money."/>
    <x v="6"/>
    <x v="0"/>
    <x v="0"/>
    <x v="0"/>
    <x v="0"/>
    <x v="0"/>
  </r>
  <r>
    <n v="282"/>
    <m/>
    <x v="0"/>
    <x v="0"/>
    <x v="50"/>
    <s v="There wasnt a huge difference in imorovdmnt in mental alerntess. Also I dont think it _x000a_stated if the pariticpants were told or not about the benefits of cara berries, and if they were it could be a placebo."/>
    <x v="1"/>
    <x v="0"/>
    <x v="0"/>
    <x v="2"/>
    <x v="0"/>
    <x v="3"/>
  </r>
  <r>
    <n v="283"/>
    <m/>
    <x v="0"/>
    <x v="0"/>
    <x v="77"/>
    <s v="I would assume that they will be very expensive."/>
    <x v="1"/>
    <x v="0"/>
    <x v="8"/>
    <x v="0"/>
    <x v="0"/>
    <x v="2"/>
  </r>
  <r>
    <n v="284"/>
    <m/>
    <x v="0"/>
    <x v="0"/>
    <x v="24"/>
    <s v="I have fibromyalgia and often have the symptom of fibrofog, resulting in decreased alertness. This would be a good product for days my symptoms are bad &amp; the price would be negligible compared to the benefits. "/>
    <x v="5"/>
    <x v="0"/>
    <x v="0"/>
    <x v="0"/>
    <x v="0"/>
    <x v="0"/>
  </r>
  <r>
    <n v="285"/>
    <n v="35"/>
    <x v="4"/>
    <x v="0"/>
    <x v="4"/>
    <s v="I would try it out to see for myself but I would not buy them all the time if I could not afford them."/>
    <x v="1"/>
    <x v="0"/>
    <x v="0"/>
    <x v="0"/>
    <x v="0"/>
    <x v="1"/>
  </r>
  <r>
    <n v="286"/>
    <m/>
    <x v="0"/>
    <x v="0"/>
    <x v="18"/>
    <s v="I think I have enough mental alertness and don't need to improve it"/>
    <x v="1"/>
    <x v="0"/>
    <x v="1"/>
    <x v="0"/>
    <x v="0"/>
    <x v="2"/>
  </r>
  <r>
    <n v="287"/>
    <n v="20"/>
    <x v="3"/>
    <x v="0"/>
    <x v="22"/>
    <s v="I might purchase them because I really care about my cognition and would do a lot to improve it as much as possible. "/>
    <x v="1"/>
    <x v="0"/>
    <x v="0"/>
    <x v="0"/>
    <x v="0"/>
    <x v="1"/>
  </r>
  <r>
    <n v="288"/>
    <m/>
    <x v="0"/>
    <x v="0"/>
    <x v="5"/>
    <s v="I don't feel that I am lacking in mental alertness so I don't really see a reason to pay extra for an energy bar to do so. Also, I tend to not eat energy bars anyway."/>
    <x v="1"/>
    <x v="0"/>
    <x v="0"/>
    <x v="0"/>
    <x v="11"/>
    <x v="3"/>
  </r>
  <r>
    <n v="289"/>
    <n v="40"/>
    <x v="13"/>
    <x v="0"/>
    <x v="8"/>
    <s v="The increase seems too minor to justify the cost."/>
    <x v="1"/>
    <x v="0"/>
    <x v="0"/>
    <x v="0"/>
    <x v="0"/>
    <x v="1"/>
  </r>
  <r>
    <n v="290"/>
    <m/>
    <x v="0"/>
    <x v="0"/>
    <x v="1"/>
    <s v="The results compared to the cost doesn't make sense"/>
    <x v="1"/>
    <x v="0"/>
    <x v="0"/>
    <x v="0"/>
    <x v="6"/>
    <x v="3"/>
  </r>
  <r>
    <n v="291"/>
    <m/>
    <x v="0"/>
    <x v="0"/>
    <x v="22"/>
    <s v="I would need to do more research on the Cara Berry before I made a decision.     I would want to see the side effects first"/>
    <x v="3"/>
    <x v="0"/>
    <x v="0"/>
    <x v="0"/>
    <x v="0"/>
    <x v="0"/>
  </r>
  <r>
    <n v="292"/>
    <m/>
    <x v="0"/>
    <x v="0"/>
    <x v="78"/>
    <s v="It is seems to be organic. So I purchase caraberry energy bars"/>
    <x v="1"/>
    <x v="0"/>
    <x v="0"/>
    <x v="6"/>
    <x v="0"/>
    <x v="3"/>
  </r>
  <r>
    <n v="293"/>
    <m/>
    <x v="0"/>
    <x v="0"/>
    <x v="37"/>
    <s v="I would be very interested to see if the berries work. I would check other sources to verify that the article was accurate. You can't always believe what you read on the internet, even on Prolific or the University of Michigan."/>
    <x v="1"/>
    <x v="10"/>
    <x v="0"/>
    <x v="0"/>
    <x v="0"/>
    <x v="2"/>
  </r>
  <r>
    <n v="294"/>
    <n v="70"/>
    <x v="0"/>
    <x v="1"/>
    <x v="78"/>
    <s v="I do not know anything about these berries, but the picture shown looks similar to holly berries which I know some varieties contain caffeine and other xanthine alkaloids. Knowing this, I would be interested in the actual effects of this energy bar."/>
    <x v="1"/>
    <x v="0"/>
    <x v="0"/>
    <x v="0"/>
    <x v="0"/>
    <x v="1"/>
  </r>
  <r>
    <n v="295"/>
    <m/>
    <x v="0"/>
    <x v="0"/>
    <x v="40"/>
    <s v="The difference is too small for such an increase of price."/>
    <x v="1"/>
    <x v="0"/>
    <x v="0"/>
    <x v="0"/>
    <x v="13"/>
    <x v="3"/>
  </r>
  <r>
    <n v="296"/>
    <n v="0"/>
    <x v="7"/>
    <x v="0"/>
    <x v="79"/>
    <s v="It didn't increase mental alertness much more than a conventional bar, and the cost would be more expensive. "/>
    <x v="1"/>
    <x v="0"/>
    <x v="0"/>
    <x v="0"/>
    <x v="0"/>
    <x v="1"/>
  </r>
  <r>
    <n v="297"/>
    <m/>
    <x v="0"/>
    <x v="0"/>
    <x v="24"/>
    <s v="If the information was true and just eating this bar could help me this much I am more than willing to try it.  It would be worth cost to have that much more mental alertness on a daily basis."/>
    <x v="1"/>
    <x v="1"/>
    <x v="0"/>
    <x v="0"/>
    <x v="0"/>
    <x v="2"/>
  </r>
  <r>
    <n v="298"/>
    <m/>
    <x v="0"/>
    <x v="0"/>
    <x v="39"/>
    <s v="I think I would like to try them at least once to see what they are like and if they actually work or not!"/>
    <x v="1"/>
    <x v="2"/>
    <x v="0"/>
    <x v="0"/>
    <x v="0"/>
    <x v="2"/>
  </r>
  <r>
    <n v="299"/>
    <m/>
    <x v="0"/>
    <x v="0"/>
    <x v="26"/>
    <s v="I am not sure I would like it"/>
    <x v="3"/>
    <x v="0"/>
    <x v="0"/>
    <x v="0"/>
    <x v="0"/>
    <x v="0"/>
  </r>
  <r>
    <n v="300"/>
    <m/>
    <x v="0"/>
    <x v="0"/>
    <x v="61"/>
    <s v="The expense of them is less appealing considering it doesn't boost focus much more than a standard bar "/>
    <x v="1"/>
    <x v="6"/>
    <x v="0"/>
    <x v="0"/>
    <x v="0"/>
    <x v="2"/>
  </r>
  <r>
    <n v="301"/>
    <m/>
    <x v="0"/>
    <x v="0"/>
    <x v="5"/>
    <s v="I'm not convinced that they would be effective enough to justify the extra cost."/>
    <x v="3"/>
    <x v="0"/>
    <x v="0"/>
    <x v="0"/>
    <x v="0"/>
    <x v="0"/>
  </r>
  <r>
    <n v="302"/>
    <n v="10"/>
    <x v="5"/>
    <x v="0"/>
    <x v="1"/>
    <s v="I do not think the change in alertness shown is significant and not worth the added cost."/>
    <x v="1"/>
    <x v="0"/>
    <x v="0"/>
    <x v="0"/>
    <x v="0"/>
    <x v="1"/>
  </r>
  <r>
    <n v="303"/>
    <n v="20"/>
    <x v="3"/>
    <x v="0"/>
    <x v="1"/>
    <s v="I don't normally eat energy bars and the increase in mental alertness is very low"/>
    <x v="1"/>
    <x v="0"/>
    <x v="0"/>
    <x v="0"/>
    <x v="0"/>
    <x v="1"/>
  </r>
  <r>
    <n v="304"/>
    <m/>
    <x v="0"/>
    <x v="0"/>
    <x v="43"/>
    <s v="It they were too expensive I would not buy them. "/>
    <x v="3"/>
    <x v="0"/>
    <x v="0"/>
    <x v="0"/>
    <x v="0"/>
    <x v="0"/>
  </r>
  <r>
    <n v="305"/>
    <m/>
    <x v="0"/>
    <x v="0"/>
    <x v="39"/>
    <s v="I might purchase them depending on how expensive they were. But I lean more towards purchasing them than not purchasing them because it can't hurt to try them out."/>
    <x v="1"/>
    <x v="6"/>
    <x v="0"/>
    <x v="0"/>
    <x v="0"/>
    <x v="2"/>
  </r>
  <r>
    <n v="306"/>
    <m/>
    <x v="0"/>
    <x v="0"/>
    <x v="25"/>
    <s v="I am interested in the mental focus.  However, the increased cost may be a deterrent."/>
    <x v="3"/>
    <x v="0"/>
    <x v="0"/>
    <x v="0"/>
    <x v="0"/>
    <x v="0"/>
  </r>
  <r>
    <n v="307"/>
    <n v="0"/>
    <x v="5"/>
    <x v="0"/>
    <x v="1"/>
    <s v="I don't think its worth costing twice as much for such a small improvement that might be based on other factors such as food intake, sleep, ect. unless the study has been proving multiple times over without variations"/>
    <x v="1"/>
    <x v="0"/>
    <x v="0"/>
    <x v="0"/>
    <x v="0"/>
    <x v="1"/>
  </r>
  <r>
    <n v="308"/>
    <m/>
    <x v="0"/>
    <x v="0"/>
    <x v="54"/>
    <s v="I would be willing to purchase I do see that with the trials that were observed that there were a big increase seen I would be willing to try for myself "/>
    <x v="1"/>
    <x v="1"/>
    <x v="0"/>
    <x v="0"/>
    <x v="0"/>
    <x v="2"/>
  </r>
  <r>
    <n v="309"/>
    <m/>
    <x v="0"/>
    <x v="0"/>
    <x v="39"/>
    <s v="There are times it would be beneficial to improve my alertness."/>
    <x v="1"/>
    <x v="3"/>
    <x v="0"/>
    <x v="0"/>
    <x v="0"/>
    <x v="2"/>
  </r>
  <r>
    <n v="310"/>
    <m/>
    <x v="0"/>
    <x v="0"/>
    <x v="60"/>
    <s v="I felt that although there are benefits with the cara berry energy bars, the price of the item outweighs the benefits. I also believe that the normal energy bars will be almost as beneficial as the cara berry ones. "/>
    <x v="1"/>
    <x v="0"/>
    <x v="0"/>
    <x v="0"/>
    <x v="9"/>
    <x v="3"/>
  </r>
  <r>
    <n v="311"/>
    <m/>
    <x v="0"/>
    <x v="0"/>
    <x v="25"/>
    <s v="I would like to improve my mental alertness,so I would try these energy bars to see if it works."/>
    <x v="3"/>
    <x v="0"/>
    <x v="0"/>
    <x v="0"/>
    <x v="0"/>
    <x v="0"/>
  </r>
  <r>
    <n v="312"/>
    <m/>
    <x v="0"/>
    <x v="0"/>
    <x v="37"/>
    <s v="I would purchase these bars because I am a bipolar person and desperate for any assistance I can get with improving my mental function. I would not buy these however, if the price was too high. I would also not buy them if I noticed that they weren't making any changes after a while of using them. "/>
    <x v="1"/>
    <x v="0"/>
    <x v="0"/>
    <x v="7"/>
    <x v="0"/>
    <x v="3"/>
  </r>
  <r>
    <n v="313"/>
    <m/>
    <x v="0"/>
    <x v="0"/>
    <x v="74"/>
    <s v="IT seems like it would be worth trying out"/>
    <x v="19"/>
    <x v="0"/>
    <x v="0"/>
    <x v="0"/>
    <x v="0"/>
    <x v="0"/>
  </r>
  <r>
    <n v="314"/>
    <m/>
    <x v="0"/>
    <x v="0"/>
    <x v="30"/>
    <s v="I have never been interested in energy bars. I find them overpriced and do not satisfy hunger for me. I would crave eating more than one at a time to satisfy hunger. I also think that there is probably something more readily available than the Cara berries at a more reasonable price."/>
    <x v="1"/>
    <x v="0"/>
    <x v="9"/>
    <x v="0"/>
    <x v="0"/>
    <x v="2"/>
  </r>
  <r>
    <n v="315"/>
    <m/>
    <x v="0"/>
    <x v="0"/>
    <x v="7"/>
    <s v="I don't like the flavor of berries but i am always interested in finding ways to increase my alertness. "/>
    <x v="1"/>
    <x v="0"/>
    <x v="0"/>
    <x v="2"/>
    <x v="0"/>
    <x v="3"/>
  </r>
  <r>
    <n v="316"/>
    <m/>
    <x v="0"/>
    <x v="0"/>
    <x v="80"/>
    <s v="While there was a link, it was very small from and the alertness was still quite low. I don't think it's worthwhile for the price."/>
    <x v="1"/>
    <x v="0"/>
    <x v="0"/>
    <x v="0"/>
    <x v="1"/>
    <x v="3"/>
  </r>
  <r>
    <n v="317"/>
    <m/>
    <x v="0"/>
    <x v="0"/>
    <x v="24"/>
    <s v="I am a mom and often struggle with mental alertness since sleep can be limited and the house can be chaotic. I drink a lot of coffee but would love an alternate option and these energy bars seem to offer good results."/>
    <x v="1"/>
    <x v="15"/>
    <x v="0"/>
    <x v="0"/>
    <x v="0"/>
    <x v="2"/>
  </r>
  <r>
    <n v="318"/>
    <n v="92"/>
    <x v="0"/>
    <x v="1"/>
    <x v="81"/>
    <s v="I want to improve my mental health "/>
    <x v="1"/>
    <x v="0"/>
    <x v="0"/>
    <x v="0"/>
    <x v="0"/>
    <x v="1"/>
  </r>
  <r>
    <n v="319"/>
    <n v="9"/>
    <x v="2"/>
    <x v="0"/>
    <x v="1"/>
    <s v="There are a lot of healthy options for energy that I enjoy more (coffee)"/>
    <x v="1"/>
    <x v="0"/>
    <x v="0"/>
    <x v="0"/>
    <x v="0"/>
    <x v="1"/>
  </r>
  <r>
    <n v="320"/>
    <m/>
    <x v="0"/>
    <x v="0"/>
    <x v="78"/>
    <s v="There are not a lot of studies done on these berries, so I dont know what the long term effects would be from them. However, I would be willing to try them for a bit and see if they would help improve my mental alertness"/>
    <x v="1"/>
    <x v="16"/>
    <x v="0"/>
    <x v="0"/>
    <x v="0"/>
    <x v="2"/>
  </r>
  <r>
    <n v="321"/>
    <m/>
    <x v="0"/>
    <x v="0"/>
    <x v="50"/>
    <s v="I don‚Äôt currently eat energy bars and I am very cost conscious. Also, I would want to analyze the data and interpretations of the study prior to purchasing. Self reported increases are potentially meaningful, but having some sort of task/activity comparison would be more convincing."/>
    <x v="1"/>
    <x v="17"/>
    <x v="0"/>
    <x v="0"/>
    <x v="0"/>
    <x v="2"/>
  </r>
  <r>
    <n v="322"/>
    <n v="68"/>
    <x v="0"/>
    <x v="4"/>
    <x v="36"/>
    <s v="I would purchase them depending on the price and if I could afford to spend extra on the bars."/>
    <x v="1"/>
    <x v="0"/>
    <x v="0"/>
    <x v="0"/>
    <x v="0"/>
    <x v="1"/>
  </r>
  <r>
    <n v="323"/>
    <m/>
    <x v="0"/>
    <x v="0"/>
    <x v="82"/>
    <s v="to make it so I don't feel impacted when I do not get as much sleep as I may need "/>
    <x v="5"/>
    <x v="0"/>
    <x v="0"/>
    <x v="0"/>
    <x v="0"/>
    <x v="0"/>
  </r>
  <r>
    <n v="324"/>
    <m/>
    <x v="0"/>
    <x v="0"/>
    <x v="18"/>
    <s v="There was no study done on any long term affects or if people eat more than one a day. Plus the price being too high."/>
    <x v="1"/>
    <x v="0"/>
    <x v="10"/>
    <x v="0"/>
    <x v="0"/>
    <x v="2"/>
  </r>
  <r>
    <n v="325"/>
    <m/>
    <x v="0"/>
    <x v="0"/>
    <x v="50"/>
    <s v="I thought the mental depression is completely satisfied and waiting the work and getting more knowledge in the improve ."/>
    <x v="1"/>
    <x v="0"/>
    <x v="0"/>
    <x v="13"/>
    <x v="0"/>
    <x v="3"/>
  </r>
  <r>
    <n v="326"/>
    <m/>
    <x v="0"/>
    <x v="0"/>
    <x v="0"/>
    <s v="In this metaphorical situation I would absolutely buy these bars to increase my mental alertness as it would be beneficial to me and I don't have to worry about all that extra money I'm spending."/>
    <x v="20"/>
    <x v="0"/>
    <x v="0"/>
    <x v="0"/>
    <x v="0"/>
    <x v="0"/>
  </r>
  <r>
    <n v="327"/>
    <m/>
    <x v="0"/>
    <x v="0"/>
    <x v="18"/>
    <s v="I would not purchase them because the results are not very convincing, at least to justify the price increase."/>
    <x v="1"/>
    <x v="0"/>
    <x v="0"/>
    <x v="0"/>
    <x v="16"/>
    <x v="3"/>
  </r>
  <r>
    <n v="328"/>
    <m/>
    <x v="0"/>
    <x v="0"/>
    <x v="83"/>
    <s v="I only eat energy bars occasionally and I don‚Äôt think I want the added expense because I am not worried about my mental alertness.  These sound expensive."/>
    <x v="1"/>
    <x v="0"/>
    <x v="11"/>
    <x v="0"/>
    <x v="0"/>
    <x v="2"/>
  </r>
  <r>
    <n v="329"/>
    <m/>
    <x v="0"/>
    <x v="0"/>
    <x v="11"/>
    <s v="I would buy them if I needed them for a specific phase of life, like needing to study for finals, but due to the price I couldn't always do it "/>
    <x v="1"/>
    <x v="0"/>
    <x v="0"/>
    <x v="2"/>
    <x v="0"/>
    <x v="3"/>
  </r>
  <r>
    <n v="330"/>
    <m/>
    <x v="0"/>
    <x v="0"/>
    <x v="9"/>
    <s v="Because I don't believe the sample used in the experiment is large enough and checked out against a placebo group as well. I believe this is an attempt from the Cara berry manufacturer to sell more units."/>
    <x v="5"/>
    <x v="0"/>
    <x v="0"/>
    <x v="0"/>
    <x v="0"/>
    <x v="0"/>
  </r>
  <r>
    <n v="331"/>
    <m/>
    <x v="0"/>
    <x v="0"/>
    <x v="9"/>
    <s v="The nominal difference (1.56 versus 1.52) is so negligible as to be useless and attributable to other factors."/>
    <x v="1"/>
    <x v="0"/>
    <x v="0"/>
    <x v="0"/>
    <x v="4"/>
    <x v="3"/>
  </r>
  <r>
    <n v="332"/>
    <m/>
    <x v="0"/>
    <x v="0"/>
    <x v="33"/>
    <s v="I don't buy expensive bars but I would want to try one.. I would possibly be interested in growing this berry myself.."/>
    <x v="5"/>
    <x v="0"/>
    <x v="0"/>
    <x v="0"/>
    <x v="0"/>
    <x v="0"/>
  </r>
  <r>
    <n v="333"/>
    <m/>
    <x v="0"/>
    <x v="0"/>
    <x v="37"/>
    <s v="As long as they actually worked for me, I wouldn't mind spending more on a bar that had some real benefit to me."/>
    <x v="7"/>
    <x v="0"/>
    <x v="0"/>
    <x v="0"/>
    <x v="0"/>
    <x v="0"/>
  </r>
  <r>
    <n v="334"/>
    <m/>
    <x v="0"/>
    <x v="0"/>
    <x v="20"/>
    <s v="The study doesn't seem sufficient enough to prove that the berries are actually effective. Based on the price, I would need ore evidence that this would actually help me. "/>
    <x v="5"/>
    <x v="0"/>
    <x v="0"/>
    <x v="0"/>
    <x v="0"/>
    <x v="0"/>
  </r>
  <r>
    <n v="335"/>
    <n v="0"/>
    <x v="5"/>
    <x v="0"/>
    <x v="1"/>
    <s v="I don't think a few fractions of a point are worth the extra cost. Frankly, I don't think the mental alertness improvement of any energy bar given this scenario is worth the extra calories,"/>
    <x v="1"/>
    <x v="0"/>
    <x v="0"/>
    <x v="0"/>
    <x v="0"/>
    <x v="1"/>
  </r>
  <r>
    <n v="336"/>
    <n v="60"/>
    <x v="0"/>
    <x v="15"/>
    <x v="17"/>
    <s v="I haven't had much luck in the past with energy bars either for giving me energy or just the taste. If something doesn't taste good, then I just can't eat it to be honest. "/>
    <x v="1"/>
    <x v="0"/>
    <x v="0"/>
    <x v="0"/>
    <x v="0"/>
    <x v="1"/>
  </r>
  <r>
    <n v="337"/>
    <m/>
    <x v="0"/>
    <x v="0"/>
    <x v="36"/>
    <s v="I don't entirely trust that they would work. But it is worth a try as an experiment."/>
    <x v="3"/>
    <x v="0"/>
    <x v="0"/>
    <x v="0"/>
    <x v="0"/>
    <x v="0"/>
  </r>
  <r>
    <n v="338"/>
    <m/>
    <x v="0"/>
    <x v="0"/>
    <x v="1"/>
    <s v="I'm always skeptical about new &quot;superfoods&quot; because of the overly lofty claims made about them, and they usually seem to be fads that come and go quickly (they're pretty much gone within a year or two)."/>
    <x v="1"/>
    <x v="0"/>
    <x v="12"/>
    <x v="0"/>
    <x v="0"/>
    <x v="2"/>
  </r>
  <r>
    <n v="339"/>
    <m/>
    <x v="0"/>
    <x v="0"/>
    <x v="54"/>
    <s v="i would spare the expense if it made me more mentally aware. i love berry bars anyway"/>
    <x v="1"/>
    <x v="2"/>
    <x v="0"/>
    <x v="0"/>
    <x v="0"/>
    <x v="2"/>
  </r>
  <r>
    <n v="340"/>
    <m/>
    <x v="0"/>
    <x v="0"/>
    <x v="48"/>
    <s v="I would like to try to see if it works"/>
    <x v="4"/>
    <x v="0"/>
    <x v="0"/>
    <x v="0"/>
    <x v="0"/>
    <x v="0"/>
  </r>
  <r>
    <n v="341"/>
    <m/>
    <x v="0"/>
    <x v="0"/>
    <x v="20"/>
    <s v="The study has a small sample size and no real control. Also, the recorded increase is basically negligible. There's not enough information for me."/>
    <x v="1"/>
    <x v="0"/>
    <x v="0"/>
    <x v="0"/>
    <x v="17"/>
    <x v="3"/>
  </r>
  <r>
    <n v="342"/>
    <m/>
    <x v="0"/>
    <x v="0"/>
    <x v="37"/>
    <s v="I would love to try it to see if it actually works but price is a factor I would take into deciding to try them"/>
    <x v="2"/>
    <x v="0"/>
    <x v="0"/>
    <x v="0"/>
    <x v="0"/>
    <x v="0"/>
  </r>
  <r>
    <n v="343"/>
    <m/>
    <x v="0"/>
    <x v="0"/>
    <x v="9"/>
    <s v="I most likely wouldn‚Äôt purchase the bars because I don‚Äôt really have a need for increased alertness. Also the results of the study weren‚Äôt impressive enough for me."/>
    <x v="1"/>
    <x v="0"/>
    <x v="0"/>
    <x v="0"/>
    <x v="7"/>
    <x v="3"/>
  </r>
  <r>
    <n v="344"/>
    <m/>
    <x v="0"/>
    <x v="0"/>
    <x v="2"/>
    <s v="I don‚Äôt want to spend too much money but I would be curious about the benefits of cara beery energy bars"/>
    <x v="3"/>
    <x v="0"/>
    <x v="0"/>
    <x v="0"/>
    <x v="0"/>
    <x v="0"/>
  </r>
  <r>
    <n v="345"/>
    <n v="6"/>
    <x v="14"/>
    <x v="0"/>
    <x v="9"/>
    <s v="I do not know what they taste like and would rather eat protein bars. "/>
    <x v="1"/>
    <x v="0"/>
    <x v="0"/>
    <x v="0"/>
    <x v="0"/>
    <x v="1"/>
  </r>
  <r>
    <n v="346"/>
    <m/>
    <x v="0"/>
    <x v="0"/>
    <x v="21"/>
    <s v="I would purchase these bars because I feel they would allow me to focus on more tasks at once more than I already do at the current moment."/>
    <x v="1"/>
    <x v="0"/>
    <x v="0"/>
    <x v="14"/>
    <x v="0"/>
    <x v="3"/>
  </r>
  <r>
    <n v="347"/>
    <n v="0"/>
    <x v="15"/>
    <x v="0"/>
    <x v="5"/>
    <s v="It is almost exactly the same results as the normal, cheaper energy bars. The cost to improvement ration is just not worth it. If it had a marked increase over the cheaper variety, it would make sense to pay more. As it stands, it is basically throwing money away for no real difference ."/>
    <x v="1"/>
    <x v="0"/>
    <x v="0"/>
    <x v="0"/>
    <x v="0"/>
    <x v="1"/>
  </r>
  <r>
    <n v="348"/>
    <m/>
    <x v="0"/>
    <x v="0"/>
    <x v="0"/>
    <s v="I would try them because I usually drink coffee or tea to help with my mental alertness, but given I suffer from anxiety and coffee sometimes gets me on the verge of a panic attack, I would like to try these natural energy bars to see how they affect me and my anxiety."/>
    <x v="1"/>
    <x v="18"/>
    <x v="0"/>
    <x v="0"/>
    <x v="0"/>
    <x v="2"/>
  </r>
  <r>
    <n v="349"/>
    <n v="1"/>
    <x v="1"/>
    <x v="0"/>
    <x v="1"/>
    <s v="the improvement seemed marginal - not worth the higher cost"/>
    <x v="1"/>
    <x v="0"/>
    <x v="0"/>
    <x v="0"/>
    <x v="0"/>
    <x v="1"/>
  </r>
  <r>
    <n v="350"/>
    <m/>
    <x v="0"/>
    <x v="0"/>
    <x v="30"/>
    <s v="I generally take study data like this with a grain of salt. Any dataset can be manipulated to provide the desired results. This is especially true when a company is using the previously mentioned data to sell me something."/>
    <x v="1"/>
    <x v="0"/>
    <x v="0"/>
    <x v="0"/>
    <x v="18"/>
    <x v="3"/>
  </r>
  <r>
    <n v="351"/>
    <n v="23"/>
    <x v="2"/>
    <x v="0"/>
    <x v="20"/>
    <s v="The improvement was very minimal, not worth it"/>
    <x v="1"/>
    <x v="0"/>
    <x v="0"/>
    <x v="0"/>
    <x v="0"/>
    <x v="1"/>
  </r>
  <r>
    <n v="352"/>
    <m/>
    <x v="0"/>
    <x v="0"/>
    <x v="39"/>
    <s v="I would purchase the cara berry energy bars to improve my own mental alertness for 2 reasons - the cost is not that much more expensive and the improvement was scientifically shown to be significant. "/>
    <x v="6"/>
    <x v="0"/>
    <x v="0"/>
    <x v="0"/>
    <x v="0"/>
    <x v="0"/>
  </r>
  <r>
    <n v="353"/>
    <m/>
    <x v="0"/>
    <x v="0"/>
    <x v="62"/>
    <s v="It doesn't seem like they will hurt at all just cost extra money"/>
    <x v="1"/>
    <x v="19"/>
    <x v="0"/>
    <x v="0"/>
    <x v="0"/>
    <x v="2"/>
  </r>
  <r>
    <n v="354"/>
    <m/>
    <x v="0"/>
    <x v="0"/>
    <x v="31"/>
    <s v="I have to like the taste and if its more expensive im more likely not to try it"/>
    <x v="1"/>
    <x v="0"/>
    <x v="1"/>
    <x v="0"/>
    <x v="0"/>
    <x v="2"/>
  </r>
  <r>
    <n v="355"/>
    <n v="40"/>
    <x v="3"/>
    <x v="0"/>
    <x v="29"/>
    <s v="The main reasons are current cost, assuming they are expensive, and the fact that the results are just not very tangible at the moment."/>
    <x v="1"/>
    <x v="0"/>
    <x v="0"/>
    <x v="0"/>
    <x v="0"/>
    <x v="1"/>
  </r>
  <r>
    <n v="356"/>
    <m/>
    <x v="0"/>
    <x v="0"/>
    <x v="38"/>
    <s v="They are expensive."/>
    <x v="1"/>
    <x v="20"/>
    <x v="0"/>
    <x v="0"/>
    <x v="0"/>
    <x v="2"/>
  </r>
  <r>
    <n v="357"/>
    <m/>
    <x v="0"/>
    <x v="0"/>
    <x v="50"/>
    <s v="I would purchase some to try initially to see if they help.  If they do, I'd keep buying them.  It'd be worth the cost to continue to feel more alert."/>
    <x v="1"/>
    <x v="4"/>
    <x v="0"/>
    <x v="0"/>
    <x v="0"/>
    <x v="2"/>
  </r>
  <r>
    <n v="358"/>
    <m/>
    <x v="0"/>
    <x v="0"/>
    <x v="30"/>
    <s v="The increases in mental alertness were very small, so much so that they could have been negligible or due to something else."/>
    <x v="1"/>
    <x v="0"/>
    <x v="0"/>
    <x v="0"/>
    <x v="9"/>
    <x v="3"/>
  </r>
  <r>
    <n v="359"/>
    <m/>
    <x v="0"/>
    <x v="0"/>
    <x v="1"/>
    <s v="I wouldn't purchase cara berry energy bars to improve my own mental alertness because they're more expensive than regular energy bars. Cara berries are seen as a rarer fruit. "/>
    <x v="3"/>
    <x v="0"/>
    <x v="0"/>
    <x v="0"/>
    <x v="0"/>
    <x v="0"/>
  </r>
  <r>
    <n v="360"/>
    <n v="0"/>
    <x v="7"/>
    <x v="0"/>
    <x v="1"/>
    <s v="I wouldn't purchase these because the rate of improvement was unbelievably small. SO small, in fact, that it seems deceptive for this company to make such claims. It makes me doubt the ingredient and not trust the study and the company selling this product."/>
    <x v="1"/>
    <x v="0"/>
    <x v="0"/>
    <x v="0"/>
    <x v="0"/>
    <x v="1"/>
  </r>
  <r>
    <n v="361"/>
    <m/>
    <x v="0"/>
    <x v="0"/>
    <x v="27"/>
    <s v="I don't have an issue with mental alertness, and it wouldn't be worth it for me to pay twice as much for alertness improvement by such a small margin_x000a_"/>
    <x v="1"/>
    <x v="0"/>
    <x v="0"/>
    <x v="0"/>
    <x v="6"/>
    <x v="3"/>
  </r>
  <r>
    <n v="362"/>
    <m/>
    <x v="0"/>
    <x v="0"/>
    <x v="27"/>
    <s v="Cost is a huge factor for me with the price of everything around me going up. Paying twice as much for something like an energy bar does is not a feasible thing at this time. "/>
    <x v="21"/>
    <x v="0"/>
    <x v="0"/>
    <x v="0"/>
    <x v="0"/>
    <x v="0"/>
  </r>
  <r>
    <n v="363"/>
    <m/>
    <x v="0"/>
    <x v="0"/>
    <x v="0"/>
    <s v="I have a chronic illness that diminishes my mental alertness. I could really benefit from trying these berries. "/>
    <x v="2"/>
    <x v="0"/>
    <x v="0"/>
    <x v="0"/>
    <x v="0"/>
    <x v="0"/>
  </r>
  <r>
    <n v="364"/>
    <n v="20"/>
    <x v="16"/>
    <x v="0"/>
    <x v="27"/>
    <s v="I would try the bar with cara berries to see the effect. There doesn‚Äôt appear to be a downside to experimenting."/>
    <x v="1"/>
    <x v="0"/>
    <x v="0"/>
    <x v="0"/>
    <x v="0"/>
    <x v="1"/>
  </r>
  <r>
    <n v="365"/>
    <n v="66"/>
    <x v="0"/>
    <x v="7"/>
    <x v="47"/>
    <s v="I dont believe in these gimic items "/>
    <x v="1"/>
    <x v="0"/>
    <x v="0"/>
    <x v="0"/>
    <x v="0"/>
    <x v="1"/>
  </r>
  <r>
    <n v="366"/>
    <m/>
    <x v="0"/>
    <x v="0"/>
    <x v="4"/>
    <s v="I would purchase it just to see if it actually works for me."/>
    <x v="3"/>
    <x v="0"/>
    <x v="0"/>
    <x v="0"/>
    <x v="0"/>
    <x v="0"/>
  </r>
  <r>
    <n v="367"/>
    <m/>
    <x v="0"/>
    <x v="0"/>
    <x v="81"/>
    <s v="Due to the experiment participants before and after had an overall increase in alertness and mental clarity when eating energy bars containing cara berries"/>
    <x v="1"/>
    <x v="0"/>
    <x v="0"/>
    <x v="3"/>
    <x v="0"/>
    <x v="3"/>
  </r>
  <r>
    <n v="368"/>
    <m/>
    <x v="0"/>
    <x v="0"/>
    <x v="37"/>
    <s v="I'd do more research and very possibly give cara berry bars a shot. I like being mentally alert..."/>
    <x v="1"/>
    <x v="21"/>
    <x v="0"/>
    <x v="0"/>
    <x v="0"/>
    <x v="2"/>
  </r>
  <r>
    <n v="369"/>
    <m/>
    <x v="0"/>
    <x v="0"/>
    <x v="43"/>
    <s v="Informative article and intriguing. "/>
    <x v="1"/>
    <x v="14"/>
    <x v="0"/>
    <x v="0"/>
    <x v="0"/>
    <x v="2"/>
  </r>
  <r>
    <n v="370"/>
    <m/>
    <x v="0"/>
    <x v="0"/>
    <x v="14"/>
    <s v="I am an avid breakfast bar eater, I like to try new things, especially as a person with ADHD I always like to try and find things that can naturally help me over medications "/>
    <x v="1"/>
    <x v="2"/>
    <x v="0"/>
    <x v="0"/>
    <x v="0"/>
    <x v="2"/>
  </r>
  <r>
    <n v="371"/>
    <n v="5"/>
    <x v="2"/>
    <x v="0"/>
    <x v="64"/>
    <s v="I wouldn‚Äôt purchase cara berry energy bars to improve my mental alertness because in the study they performed, there was a very minimal improvement between the cara berry energy bars, and the conventional energy bars. This minimal improvement is not worth the added cost to purchase the cara berry energy bars."/>
    <x v="1"/>
    <x v="0"/>
    <x v="0"/>
    <x v="0"/>
    <x v="0"/>
    <x v="1"/>
  </r>
  <r>
    <n v="372"/>
    <m/>
    <x v="0"/>
    <x v="0"/>
    <x v="38"/>
    <s v="The fact that they're twice as expensive as a regular energy bar gives me pause. If I find them on sale, I might grab one or two to try. "/>
    <x v="5"/>
    <x v="0"/>
    <x v="0"/>
    <x v="0"/>
    <x v="0"/>
    <x v="0"/>
  </r>
  <r>
    <n v="373"/>
    <m/>
    <x v="0"/>
    <x v="0"/>
    <x v="52"/>
    <s v="The price to effeteness ratio is to much"/>
    <x v="1"/>
    <x v="0"/>
    <x v="0"/>
    <x v="0"/>
    <x v="6"/>
    <x v="3"/>
  </r>
  <r>
    <n v="374"/>
    <m/>
    <x v="0"/>
    <x v="0"/>
    <x v="1"/>
    <s v="The difference from 1.50 to 1.52 and the other improvement noted from the bars does not seem significant to me to warrant paying for energy bars when I can get energy from black tea or caffeine. "/>
    <x v="1"/>
    <x v="0"/>
    <x v="0"/>
    <x v="0"/>
    <x v="19"/>
    <x v="3"/>
  </r>
  <r>
    <n v="375"/>
    <m/>
    <x v="0"/>
    <x v="0"/>
    <x v="84"/>
    <s v="Mental alertness is very important to me. I would not mind spending few extra bucks to have heightened mental alertness. "/>
    <x v="1"/>
    <x v="9"/>
    <x v="0"/>
    <x v="0"/>
    <x v="0"/>
    <x v="2"/>
  </r>
  <r>
    <n v="376"/>
    <m/>
    <x v="0"/>
    <x v="0"/>
    <x v="68"/>
    <s v="I would probably try out the cara berry energy bars to see if it helped with alertness.  However, I probably wouldn't buy them often because of the cost."/>
    <x v="6"/>
    <x v="0"/>
    <x v="0"/>
    <x v="0"/>
    <x v="0"/>
    <x v="0"/>
  </r>
  <r>
    <n v="377"/>
    <m/>
    <x v="0"/>
    <x v="0"/>
    <x v="7"/>
    <s v="It sounds like something I would like to try for a week even if it was expensive."/>
    <x v="22"/>
    <x v="0"/>
    <x v="0"/>
    <x v="0"/>
    <x v="0"/>
    <x v="0"/>
  </r>
  <r>
    <n v="378"/>
    <n v="62"/>
    <x v="0"/>
    <x v="5"/>
    <x v="52"/>
    <s v="Not enough of an improvement"/>
    <x v="1"/>
    <x v="0"/>
    <x v="0"/>
    <x v="0"/>
    <x v="0"/>
    <x v="1"/>
  </r>
  <r>
    <n v="379"/>
    <m/>
    <x v="0"/>
    <x v="0"/>
    <x v="46"/>
    <s v="I would love to give them a try but the cost factor may stop me depending on the price."/>
    <x v="1"/>
    <x v="0"/>
    <x v="0"/>
    <x v="2"/>
    <x v="0"/>
    <x v="3"/>
  </r>
  <r>
    <n v="380"/>
    <m/>
    <x v="0"/>
    <x v="0"/>
    <x v="29"/>
    <s v="I would wait till they came to my Grocery Outlet to give them a try."/>
    <x v="5"/>
    <x v="0"/>
    <x v="0"/>
    <x v="0"/>
    <x v="0"/>
    <x v="0"/>
  </r>
  <r>
    <n v="381"/>
    <m/>
    <x v="0"/>
    <x v="0"/>
    <x v="8"/>
    <s v="I don't buy a lot of energy bars as is, and price is currently a huge factor contributing to all my food purchasing decisions. The bars seem a bit like a luxury. In addition, I am skeptical of supplements and so-called superfoods. I would want to read more information/research about the supposed benefits of these berries before buying in. "/>
    <x v="1"/>
    <x v="0"/>
    <x v="0"/>
    <x v="0"/>
    <x v="6"/>
    <x v="3"/>
  </r>
  <r>
    <n v="382"/>
    <m/>
    <x v="0"/>
    <x v="0"/>
    <x v="31"/>
    <s v="I feel that they will most likely be too expensive and claims of mental alertness increase was not significant enough for me. I'll stick with coffee."/>
    <x v="1"/>
    <x v="0"/>
    <x v="5"/>
    <x v="0"/>
    <x v="0"/>
    <x v="2"/>
  </r>
  <r>
    <n v="383"/>
    <n v="45"/>
    <x v="17"/>
    <x v="0"/>
    <x v="20"/>
    <s v="I wouldnt want to purchase the energy bars because I dont think the improvement in mental alertness is significant enough to justify the cost."/>
    <x v="1"/>
    <x v="0"/>
    <x v="0"/>
    <x v="0"/>
    <x v="0"/>
    <x v="1"/>
  </r>
  <r>
    <n v="384"/>
    <n v="17"/>
    <x v="18"/>
    <x v="0"/>
    <x v="40"/>
    <s v="The 1.56 increase was not a significant amount from the 1.52 eating regular bars. It is not impressive, and the cost is high. I would stick with the normal bars."/>
    <x v="1"/>
    <x v="0"/>
    <x v="0"/>
    <x v="0"/>
    <x v="0"/>
    <x v="1"/>
  </r>
  <r>
    <n v="385"/>
    <m/>
    <x v="0"/>
    <x v="0"/>
    <x v="5"/>
    <s v="There was hardly a change between the control and the cara berry group. That combined with the price makes it seem like it is not worth it."/>
    <x v="1"/>
    <x v="0"/>
    <x v="0"/>
    <x v="0"/>
    <x v="9"/>
    <x v="3"/>
  </r>
  <r>
    <n v="386"/>
    <m/>
    <x v="0"/>
    <x v="0"/>
    <x v="28"/>
    <s v="I would possibly buy it as it would be very healthy."/>
    <x v="1"/>
    <x v="2"/>
    <x v="0"/>
    <x v="0"/>
    <x v="0"/>
    <x v="2"/>
  </r>
  <r>
    <n v="387"/>
    <m/>
    <x v="0"/>
    <x v="0"/>
    <x v="75"/>
    <s v="I think they provide better benefits and are worth more money, have higher value, than regular bars. Even if the difference is low, the chance of better alertness would be an added bonus if actually experienced with these bars."/>
    <x v="1"/>
    <x v="2"/>
    <x v="0"/>
    <x v="0"/>
    <x v="0"/>
    <x v="2"/>
  </r>
  <r>
    <n v="388"/>
    <m/>
    <x v="0"/>
    <x v="0"/>
    <x v="5"/>
    <s v="I don't really eat energy bars to begin with and I'm in a good place mentally already."/>
    <x v="1"/>
    <x v="0"/>
    <x v="0"/>
    <x v="0"/>
    <x v="4"/>
    <x v="3"/>
  </r>
  <r>
    <n v="389"/>
    <n v="12"/>
    <x v="5"/>
    <x v="0"/>
    <x v="13"/>
    <s v="The results aren't terribly convincing that cara berry bars have a significant impact on mental alertness. Even if they are influencing this aspect of the mind, it appears to be negligible and simply not worth an extra cost for consumers."/>
    <x v="1"/>
    <x v="0"/>
    <x v="0"/>
    <x v="0"/>
    <x v="0"/>
    <x v="1"/>
  </r>
  <r>
    <n v="390"/>
    <m/>
    <x v="0"/>
    <x v="0"/>
    <x v="75"/>
    <s v="If there are no side effects of eating the cara berry energy bars they would be great for increasing my well-being. The improvement in mental alertness seems to be worth the extra cost."/>
    <x v="1"/>
    <x v="1"/>
    <x v="0"/>
    <x v="0"/>
    <x v="0"/>
    <x v="2"/>
  </r>
  <r>
    <n v="391"/>
    <m/>
    <x v="0"/>
    <x v="0"/>
    <x v="27"/>
    <s v="Based on the scale of 1-5, the overall increase didn't seem very high. So I would not pay more money for that slight difference."/>
    <x v="1"/>
    <x v="0"/>
    <x v="0"/>
    <x v="0"/>
    <x v="12"/>
    <x v="3"/>
  </r>
  <r>
    <n v="392"/>
    <m/>
    <x v="0"/>
    <x v="0"/>
    <x v="39"/>
    <s v="I'm not too sure how mental rating is scaled but an fractional increase doesn't seem worth the extra cost. But I would be willing to try anything that would improve mental health "/>
    <x v="1"/>
    <x v="0"/>
    <x v="0"/>
    <x v="15"/>
    <x v="0"/>
    <x v="3"/>
  </r>
  <r>
    <n v="393"/>
    <n v="50"/>
    <x v="0"/>
    <x v="7"/>
    <x v="22"/>
    <s v="Energy bars, like the Cara Berry Energy Bars, may contain caffeine or other stimulants that can help improve mental alertness and focus in some people. However, the effects may vary depending on the individual's sensitivity to these ingredients and other factors such as diet and lifestyle."/>
    <x v="1"/>
    <x v="0"/>
    <x v="0"/>
    <x v="0"/>
    <x v="0"/>
    <x v="1"/>
  </r>
  <r>
    <n v="394"/>
    <m/>
    <x v="0"/>
    <x v="0"/>
    <x v="46"/>
    <s v="I would purchase the cara berry bars because they improve mental alertness. "/>
    <x v="1"/>
    <x v="0"/>
    <x v="0"/>
    <x v="2"/>
    <x v="0"/>
    <x v="3"/>
  </r>
  <r>
    <n v="395"/>
    <m/>
    <x v="0"/>
    <x v="0"/>
    <x v="82"/>
    <s v="Well, I would try them out of curiosity"/>
    <x v="1"/>
    <x v="0"/>
    <x v="0"/>
    <x v="2"/>
    <x v="0"/>
    <x v="3"/>
  </r>
  <r>
    <n v="396"/>
    <n v="77"/>
    <x v="0"/>
    <x v="16"/>
    <x v="24"/>
    <s v="im sensitive to caffeine this seems like an awesome alternative "/>
    <x v="1"/>
    <x v="0"/>
    <x v="0"/>
    <x v="0"/>
    <x v="0"/>
    <x v="1"/>
  </r>
  <r>
    <n v="397"/>
    <m/>
    <x v="0"/>
    <x v="0"/>
    <x v="17"/>
    <s v="I would be interested in trying the cara berry because I would like to see if it works for me, and increases my mental alertness."/>
    <x v="5"/>
    <x v="0"/>
    <x v="0"/>
    <x v="0"/>
    <x v="0"/>
    <x v="0"/>
  </r>
  <r>
    <n v="398"/>
    <m/>
    <x v="0"/>
    <x v="0"/>
    <x v="17"/>
    <s v="I would likely buy the cara berry energy bars  to take when I was  working on something that required me to focused or when i felt like I didn't have enough energy to do something and needed to be mentally alert"/>
    <x v="23"/>
    <x v="0"/>
    <x v="0"/>
    <x v="0"/>
    <x v="0"/>
    <x v="0"/>
  </r>
  <r>
    <n v="399"/>
    <m/>
    <x v="0"/>
    <x v="0"/>
    <x v="2"/>
    <s v="Studies seem to show they do work to improve mental alertness"/>
    <x v="1"/>
    <x v="6"/>
    <x v="0"/>
    <x v="0"/>
    <x v="0"/>
    <x v="2"/>
  </r>
  <r>
    <n v="400"/>
    <m/>
    <x v="0"/>
    <x v="0"/>
    <x v="1"/>
    <s v="If cara berries had an effective component in their molecular makeup it would've been isolated, synthesized, and concentrated as a medication to be used across the planet. This product comes off as a health food fad like acai berries. Extraordinary claims should require extraordinary evidence, The research of benefits wasn't convincing at all. I'd rather buy and eat literal poison over funding dishonest organizations."/>
    <x v="1"/>
    <x v="0"/>
    <x v="13"/>
    <x v="0"/>
    <x v="0"/>
    <x v="2"/>
  </r>
  <r>
    <m/>
    <m/>
    <x v="0"/>
    <x v="0"/>
    <x v="85"/>
    <m/>
    <x v="1"/>
    <x v="0"/>
    <x v="0"/>
    <x v="0"/>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G11" firstHeaderRow="1" firstDataRow="2" firstDataCol="1" rowPageCount="1" colPageCount="1"/>
  <pivotFields count="12">
    <pivotField showAll="0"/>
    <pivotField showAll="0"/>
    <pivotField axis="axisPage" dataField="1" multipleItemSelectionAllowed="1" showAll="0">
      <items count="20">
        <item x="17"/>
        <item x="16"/>
        <item x="3"/>
        <item x="13"/>
        <item x="4"/>
        <item x="15"/>
        <item x="18"/>
        <item x="2"/>
        <item x="12"/>
        <item x="5"/>
        <item x="1"/>
        <item x="7"/>
        <item h="1" x="11"/>
        <item h="1" x="9"/>
        <item h="1" x="10"/>
        <item h="1" x="8"/>
        <item x="14"/>
        <item x="6"/>
        <item x="0"/>
        <item t="default"/>
      </items>
    </pivotField>
    <pivotField multipleItemSelectionAllowed="1" showAll="0">
      <items count="18">
        <item x="6"/>
        <item x="10"/>
        <item x="4"/>
        <item x="12"/>
        <item x="5"/>
        <item x="1"/>
        <item x="2"/>
        <item x="7"/>
        <item x="9"/>
        <item x="14"/>
        <item x="3"/>
        <item x="15"/>
        <item h="1" x="11"/>
        <item h="1" x="13"/>
        <item x="16"/>
        <item x="8"/>
        <item x="0"/>
        <item t="default"/>
      </items>
    </pivotField>
    <pivotField showAll="0">
      <items count="87">
        <item x="1"/>
        <item x="59"/>
        <item x="64"/>
        <item x="35"/>
        <item x="79"/>
        <item x="9"/>
        <item x="33"/>
        <item x="30"/>
        <item x="53"/>
        <item x="5"/>
        <item x="80"/>
        <item x="13"/>
        <item x="40"/>
        <item x="16"/>
        <item x="19"/>
        <item x="3"/>
        <item x="18"/>
        <item x="20"/>
        <item x="42"/>
        <item x="51"/>
        <item x="10"/>
        <item x="32"/>
        <item x="71"/>
        <item x="41"/>
        <item x="58"/>
        <item x="77"/>
        <item x="60"/>
        <item x="27"/>
        <item x="31"/>
        <item x="12"/>
        <item x="34"/>
        <item x="29"/>
        <item x="83"/>
        <item x="52"/>
        <item x="69"/>
        <item x="57"/>
        <item x="8"/>
        <item x="6"/>
        <item x="47"/>
        <item x="66"/>
        <item x="56"/>
        <item x="70"/>
        <item x="22"/>
        <item x="38"/>
        <item x="68"/>
        <item x="44"/>
        <item x="73"/>
        <item x="76"/>
        <item x="4"/>
        <item x="82"/>
        <item x="50"/>
        <item x="61"/>
        <item x="36"/>
        <item x="15"/>
        <item x="17"/>
        <item x="11"/>
        <item x="28"/>
        <item x="74"/>
        <item x="46"/>
        <item x="7"/>
        <item x="25"/>
        <item x="62"/>
        <item x="49"/>
        <item x="78"/>
        <item x="39"/>
        <item x="26"/>
        <item x="65"/>
        <item x="45"/>
        <item x="37"/>
        <item x="2"/>
        <item x="55"/>
        <item x="23"/>
        <item x="48"/>
        <item x="75"/>
        <item x="43"/>
        <item x="63"/>
        <item x="14"/>
        <item x="72"/>
        <item x="24"/>
        <item x="54"/>
        <item x="21"/>
        <item x="84"/>
        <item x="67"/>
        <item x="81"/>
        <item x="0"/>
        <item x="85"/>
        <item t="default"/>
      </items>
    </pivotField>
    <pivotField showAll="0"/>
    <pivotField multipleItemSelectionAllowed="1" showAll="0">
      <items count="25">
        <item x="22"/>
        <item x="12"/>
        <item x="17"/>
        <item x="11"/>
        <item x="10"/>
        <item x="20"/>
        <item x="7"/>
        <item x="13"/>
        <item x="3"/>
        <item x="18"/>
        <item x="4"/>
        <item x="5"/>
        <item x="8"/>
        <item x="9"/>
        <item x="6"/>
        <item x="2"/>
        <item x="0"/>
        <item h="1" x="21"/>
        <item h="1" x="16"/>
        <item h="1" x="14"/>
        <item h="1" x="15"/>
        <item x="19"/>
        <item x="23"/>
        <item x="1"/>
        <item t="default"/>
      </items>
    </pivotField>
    <pivotField showAll="0">
      <items count="23">
        <item x="8"/>
        <item x="13"/>
        <item x="9"/>
        <item x="1"/>
        <item x="10"/>
        <item x="2"/>
        <item x="18"/>
        <item x="4"/>
        <item x="5"/>
        <item x="14"/>
        <item x="6"/>
        <item x="16"/>
        <item x="20"/>
        <item x="3"/>
        <item x="7"/>
        <item x="15"/>
        <item x="19"/>
        <item x="11"/>
        <item x="17"/>
        <item x="21"/>
        <item x="12"/>
        <item x="0"/>
        <item t="default"/>
      </items>
    </pivotField>
    <pivotField multipleItemSelectionAllowed="1" showAll="0">
      <items count="15">
        <item x="11"/>
        <item x="6"/>
        <item x="8"/>
        <item x="3"/>
        <item x="1"/>
        <item x="2"/>
        <item x="5"/>
        <item h="1" x="7"/>
        <item x="13"/>
        <item x="9"/>
        <item x="12"/>
        <item x="10"/>
        <item x="4"/>
        <item x="0"/>
        <item t="default"/>
      </items>
    </pivotField>
    <pivotField multipleItemSelectionAllowed="1" showAll="0">
      <items count="17">
        <item x="8"/>
        <item x="10"/>
        <item x="11"/>
        <item x="3"/>
        <item x="15"/>
        <item x="4"/>
        <item x="7"/>
        <item x="2"/>
        <item x="14"/>
        <item x="12"/>
        <item x="1"/>
        <item x="6"/>
        <item x="5"/>
        <item x="9"/>
        <item h="1" x="13"/>
        <item x="0"/>
        <item t="default"/>
      </items>
    </pivotField>
    <pivotField multipleItemSelectionAllowed="1" showAll="0">
      <items count="21">
        <item x="5"/>
        <item x="18"/>
        <item x="16"/>
        <item x="14"/>
        <item x="4"/>
        <item x="8"/>
        <item x="9"/>
        <item x="6"/>
        <item x="12"/>
        <item x="1"/>
        <item x="11"/>
        <item x="7"/>
        <item h="1" x="13"/>
        <item h="1" x="2"/>
        <item h="1" x="19"/>
        <item h="1" x="3"/>
        <item x="17"/>
        <item x="10"/>
        <item x="15"/>
        <item x="0"/>
        <item t="default"/>
      </items>
    </pivotField>
    <pivotField axis="axisCol" showAll="0">
      <items count="6">
        <item x="2"/>
        <item x="0"/>
        <item x="3"/>
        <item x="1"/>
        <item x="4"/>
        <item t="default"/>
      </items>
    </pivotField>
  </pivotFields>
  <rowItems count="1">
    <i/>
  </rowItems>
  <colFields count="1">
    <field x="11"/>
  </colFields>
  <colItems count="6">
    <i>
      <x/>
    </i>
    <i>
      <x v="1"/>
    </i>
    <i>
      <x v="2"/>
    </i>
    <i>
      <x v="3"/>
    </i>
    <i>
      <x v="4"/>
    </i>
    <i t="grand">
      <x/>
    </i>
  </colItems>
  <pageFields count="1">
    <pageField fld="2" hier="-1"/>
  </pageFields>
  <dataFields count="1">
    <dataField name="Average of BoundaryHigh_SmallEffWithPrompt"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03"/>
  <sheetViews>
    <sheetView topLeftCell="U321" workbookViewId="0">
      <selection activeCell="X377" sqref="X377"/>
    </sheetView>
  </sheetViews>
  <sheetFormatPr baseColWidth="10" defaultRowHeight="16" x14ac:dyDescent="0.2"/>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170" x14ac:dyDescent="0.2">
      <c r="A2" t="s">
        <v>39</v>
      </c>
      <c r="B2" t="s">
        <v>40</v>
      </c>
      <c r="C2" t="s">
        <v>41</v>
      </c>
      <c r="D2" t="s">
        <v>42</v>
      </c>
      <c r="E2" t="s">
        <v>4</v>
      </c>
      <c r="F2" t="s">
        <v>5</v>
      </c>
      <c r="G2" t="s">
        <v>6</v>
      </c>
      <c r="H2" t="s">
        <v>43</v>
      </c>
      <c r="I2" t="s">
        <v>44</v>
      </c>
      <c r="J2" t="s">
        <v>45</v>
      </c>
      <c r="K2" t="s">
        <v>46</v>
      </c>
      <c r="L2" t="s">
        <v>47</v>
      </c>
      <c r="M2" t="s">
        <v>48</v>
      </c>
      <c r="N2" t="s">
        <v>49</v>
      </c>
      <c r="O2" t="s">
        <v>50</v>
      </c>
      <c r="P2" t="s">
        <v>51</v>
      </c>
      <c r="Q2" t="s">
        <v>52</v>
      </c>
      <c r="R2" s="1" t="s">
        <v>53</v>
      </c>
      <c r="S2" t="s">
        <v>54</v>
      </c>
      <c r="T2" t="s">
        <v>55</v>
      </c>
      <c r="U2" t="s">
        <v>56</v>
      </c>
      <c r="V2" t="s">
        <v>57</v>
      </c>
      <c r="W2" t="s">
        <v>58</v>
      </c>
      <c r="X2" t="s">
        <v>59</v>
      </c>
      <c r="Y2" t="s">
        <v>60</v>
      </c>
      <c r="Z2" t="s">
        <v>57</v>
      </c>
      <c r="AA2" t="s">
        <v>56</v>
      </c>
      <c r="AB2" t="s">
        <v>57</v>
      </c>
      <c r="AC2" t="s">
        <v>56</v>
      </c>
      <c r="AD2" t="s">
        <v>61</v>
      </c>
      <c r="AE2" t="s">
        <v>62</v>
      </c>
      <c r="AF2" t="s">
        <v>63</v>
      </c>
      <c r="AG2" t="s">
        <v>64</v>
      </c>
      <c r="AH2" t="s">
        <v>65</v>
      </c>
      <c r="AI2" t="s">
        <v>66</v>
      </c>
      <c r="AJ2" t="s">
        <v>67</v>
      </c>
      <c r="AK2" t="s">
        <v>68</v>
      </c>
      <c r="AL2" t="s">
        <v>37</v>
      </c>
      <c r="AM2" t="s">
        <v>69</v>
      </c>
    </row>
    <row r="3" spans="1:39" x14ac:dyDescent="0.2">
      <c r="A3" t="s">
        <v>70</v>
      </c>
      <c r="B3" t="s">
        <v>71</v>
      </c>
      <c r="C3" t="s">
        <v>72</v>
      </c>
      <c r="D3" t="s">
        <v>73</v>
      </c>
      <c r="E3" t="s">
        <v>74</v>
      </c>
      <c r="F3" t="s">
        <v>75</v>
      </c>
      <c r="G3" t="s">
        <v>76</v>
      </c>
      <c r="H3" t="s">
        <v>77</v>
      </c>
      <c r="I3" t="s">
        <v>78</v>
      </c>
      <c r="J3" t="s">
        <v>79</v>
      </c>
      <c r="K3" t="s">
        <v>80</v>
      </c>
      <c r="L3" t="s">
        <v>81</v>
      </c>
      <c r="M3" t="s">
        <v>82</v>
      </c>
      <c r="N3" t="s">
        <v>83</v>
      </c>
      <c r="O3" t="s">
        <v>84</v>
      </c>
      <c r="P3" t="s">
        <v>85</v>
      </c>
      <c r="Q3" t="s">
        <v>86</v>
      </c>
      <c r="R3" t="s">
        <v>87</v>
      </c>
      <c r="S3" t="s">
        <v>88</v>
      </c>
      <c r="T3" t="s">
        <v>89</v>
      </c>
      <c r="U3" t="s">
        <v>90</v>
      </c>
      <c r="V3" t="s">
        <v>91</v>
      </c>
      <c r="W3" t="s">
        <v>92</v>
      </c>
      <c r="X3" t="s">
        <v>93</v>
      </c>
      <c r="Y3" t="s">
        <v>94</v>
      </c>
      <c r="Z3" t="s">
        <v>95</v>
      </c>
      <c r="AA3" t="s">
        <v>96</v>
      </c>
      <c r="AB3" t="s">
        <v>97</v>
      </c>
      <c r="AC3" t="s">
        <v>98</v>
      </c>
      <c r="AD3" t="s">
        <v>99</v>
      </c>
      <c r="AE3" t="s">
        <v>100</v>
      </c>
      <c r="AF3" t="s">
        <v>101</v>
      </c>
      <c r="AG3" t="s">
        <v>102</v>
      </c>
      <c r="AH3" t="s">
        <v>103</v>
      </c>
      <c r="AI3" t="s">
        <v>104</v>
      </c>
      <c r="AJ3" t="s">
        <v>105</v>
      </c>
      <c r="AK3" t="s">
        <v>106</v>
      </c>
      <c r="AL3" t="s">
        <v>107</v>
      </c>
      <c r="AM3" t="s">
        <v>108</v>
      </c>
    </row>
    <row r="4" spans="1:39" x14ac:dyDescent="0.2">
      <c r="A4" s="2">
        <v>45030.451493055552</v>
      </c>
      <c r="B4" s="2">
        <v>45030.453842592593</v>
      </c>
      <c r="C4" t="s">
        <v>42</v>
      </c>
      <c r="D4" t="s">
        <v>109</v>
      </c>
      <c r="E4">
        <v>100</v>
      </c>
      <c r="F4">
        <v>203</v>
      </c>
      <c r="G4" t="b">
        <v>1</v>
      </c>
      <c r="H4" s="2">
        <v>45030.45385416667</v>
      </c>
      <c r="I4" t="s">
        <v>110</v>
      </c>
      <c r="N4">
        <v>40.861699999999999</v>
      </c>
      <c r="O4">
        <v>-74.410399999999996</v>
      </c>
      <c r="P4" t="s">
        <v>111</v>
      </c>
      <c r="Q4" t="s">
        <v>112</v>
      </c>
      <c r="R4" t="s">
        <v>113</v>
      </c>
      <c r="S4" t="s">
        <v>114</v>
      </c>
      <c r="W4">
        <v>100</v>
      </c>
      <c r="X4" t="s">
        <v>115</v>
      </c>
      <c r="Y4" t="s">
        <v>116</v>
      </c>
      <c r="AD4">
        <v>500</v>
      </c>
      <c r="AE4">
        <v>10</v>
      </c>
      <c r="AF4">
        <v>0.1</v>
      </c>
      <c r="AG4">
        <v>20</v>
      </c>
      <c r="AH4">
        <v>100</v>
      </c>
      <c r="AI4">
        <v>0.1</v>
      </c>
      <c r="AJ4">
        <v>0.1</v>
      </c>
      <c r="AK4">
        <v>100</v>
      </c>
      <c r="AL4" t="s">
        <v>113</v>
      </c>
      <c r="AM4" t="s">
        <v>117</v>
      </c>
    </row>
    <row r="5" spans="1:39" x14ac:dyDescent="0.2">
      <c r="A5" s="2">
        <v>45030.452418981484</v>
      </c>
      <c r="B5" s="2">
        <v>45030.458796296298</v>
      </c>
      <c r="C5" t="s">
        <v>42</v>
      </c>
      <c r="D5" t="s">
        <v>118</v>
      </c>
      <c r="E5">
        <v>100</v>
      </c>
      <c r="F5">
        <v>551</v>
      </c>
      <c r="G5" t="b">
        <v>1</v>
      </c>
      <c r="H5" s="2">
        <v>45030.458796296298</v>
      </c>
      <c r="I5" t="s">
        <v>119</v>
      </c>
      <c r="N5">
        <v>28.552099999999999</v>
      </c>
      <c r="O5">
        <v>-81.301000000000002</v>
      </c>
      <c r="P5" t="s">
        <v>111</v>
      </c>
      <c r="Q5" t="s">
        <v>112</v>
      </c>
      <c r="R5" t="s">
        <v>120</v>
      </c>
      <c r="S5" t="s">
        <v>114</v>
      </c>
      <c r="T5">
        <v>5</v>
      </c>
      <c r="U5">
        <v>4</v>
      </c>
      <c r="W5">
        <v>0</v>
      </c>
      <c r="X5" t="s">
        <v>121</v>
      </c>
      <c r="AD5">
        <v>500</v>
      </c>
      <c r="AE5">
        <v>10</v>
      </c>
      <c r="AF5">
        <v>1E-3</v>
      </c>
      <c r="AG5">
        <v>5</v>
      </c>
      <c r="AH5">
        <v>100</v>
      </c>
      <c r="AI5" s="3">
        <v>0.9</v>
      </c>
      <c r="AJ5">
        <v>0.1</v>
      </c>
      <c r="AK5" t="s">
        <v>122</v>
      </c>
      <c r="AL5" t="s">
        <v>120</v>
      </c>
      <c r="AM5" t="s">
        <v>123</v>
      </c>
    </row>
    <row r="6" spans="1:39" x14ac:dyDescent="0.2">
      <c r="A6" s="2">
        <v>45030.456493055557</v>
      </c>
      <c r="B6" s="2">
        <v>45030.45894675926</v>
      </c>
      <c r="C6" t="s">
        <v>42</v>
      </c>
      <c r="D6" t="s">
        <v>124</v>
      </c>
      <c r="E6">
        <v>100</v>
      </c>
      <c r="F6">
        <v>211</v>
      </c>
      <c r="G6" t="b">
        <v>1</v>
      </c>
      <c r="H6" s="2">
        <v>45030.45894675926</v>
      </c>
      <c r="I6" t="s">
        <v>125</v>
      </c>
      <c r="N6">
        <v>40.712299999999999</v>
      </c>
      <c r="O6">
        <v>-74.006799999999998</v>
      </c>
      <c r="P6" t="s">
        <v>111</v>
      </c>
      <c r="Q6" t="s">
        <v>112</v>
      </c>
      <c r="R6" t="s">
        <v>126</v>
      </c>
      <c r="S6" t="s">
        <v>114</v>
      </c>
      <c r="W6">
        <v>81</v>
      </c>
      <c r="X6" t="s">
        <v>127</v>
      </c>
      <c r="Z6">
        <v>0.5</v>
      </c>
      <c r="AD6">
        <v>33</v>
      </c>
      <c r="AE6">
        <v>100</v>
      </c>
      <c r="AF6">
        <v>0.01</v>
      </c>
      <c r="AG6">
        <v>20</v>
      </c>
      <c r="AH6">
        <v>100</v>
      </c>
      <c r="AI6" s="3">
        <v>0.15</v>
      </c>
      <c r="AJ6">
        <v>1.05</v>
      </c>
      <c r="AK6">
        <v>15</v>
      </c>
      <c r="AL6" t="s">
        <v>126</v>
      </c>
      <c r="AM6" t="s">
        <v>128</v>
      </c>
    </row>
    <row r="7" spans="1:39" x14ac:dyDescent="0.2">
      <c r="A7" s="2">
        <v>45030.466793981483</v>
      </c>
      <c r="B7" s="2">
        <v>45030.468819444446</v>
      </c>
      <c r="C7" t="s">
        <v>42</v>
      </c>
      <c r="D7" t="s">
        <v>129</v>
      </c>
      <c r="E7">
        <v>100</v>
      </c>
      <c r="F7">
        <v>174</v>
      </c>
      <c r="G7" t="b">
        <v>1</v>
      </c>
      <c r="H7" s="2">
        <v>45030.468831018516</v>
      </c>
      <c r="I7" t="s">
        <v>130</v>
      </c>
      <c r="N7">
        <v>25.813199999999998</v>
      </c>
      <c r="O7">
        <v>-80.186199999999999</v>
      </c>
      <c r="P7" t="s">
        <v>111</v>
      </c>
      <c r="Q7" t="s">
        <v>112</v>
      </c>
      <c r="R7" t="s">
        <v>131</v>
      </c>
      <c r="S7" t="s">
        <v>114</v>
      </c>
      <c r="W7">
        <v>18</v>
      </c>
      <c r="X7" t="s">
        <v>132</v>
      </c>
      <c r="AC7" t="s">
        <v>133</v>
      </c>
      <c r="AD7">
        <v>500</v>
      </c>
      <c r="AE7">
        <v>10</v>
      </c>
      <c r="AF7" s="4">
        <v>1E-3</v>
      </c>
      <c r="AG7">
        <v>20</v>
      </c>
      <c r="AH7">
        <v>100</v>
      </c>
      <c r="AI7" s="3">
        <v>0.09</v>
      </c>
      <c r="AJ7" t="s">
        <v>134</v>
      </c>
      <c r="AK7">
        <v>100</v>
      </c>
      <c r="AL7" t="s">
        <v>131</v>
      </c>
      <c r="AM7" t="s">
        <v>135</v>
      </c>
    </row>
    <row r="8" spans="1:39" x14ac:dyDescent="0.2">
      <c r="A8" s="2">
        <v>45030.466087962966</v>
      </c>
      <c r="B8" s="2">
        <v>45030.470821759256</v>
      </c>
      <c r="C8" t="s">
        <v>42</v>
      </c>
      <c r="D8" t="s">
        <v>136</v>
      </c>
      <c r="E8">
        <v>100</v>
      </c>
      <c r="F8">
        <v>409</v>
      </c>
      <c r="G8" t="b">
        <v>1</v>
      </c>
      <c r="H8" s="2">
        <v>45030.470821759256</v>
      </c>
      <c r="I8" t="s">
        <v>137</v>
      </c>
      <c r="N8">
        <v>29.7925</v>
      </c>
      <c r="O8">
        <v>-95.3673</v>
      </c>
      <c r="P8" t="s">
        <v>111</v>
      </c>
      <c r="Q8" t="s">
        <v>112</v>
      </c>
      <c r="R8" t="s">
        <v>138</v>
      </c>
      <c r="S8" t="s">
        <v>114</v>
      </c>
      <c r="W8">
        <v>58</v>
      </c>
      <c r="X8" t="s">
        <v>139</v>
      </c>
      <c r="AB8">
        <v>1.5</v>
      </c>
      <c r="AD8">
        <v>500</v>
      </c>
      <c r="AE8">
        <v>10</v>
      </c>
      <c r="AF8">
        <v>1E-3</v>
      </c>
      <c r="AG8">
        <v>20</v>
      </c>
      <c r="AH8">
        <v>100</v>
      </c>
      <c r="AI8">
        <v>10</v>
      </c>
      <c r="AJ8">
        <v>0.05</v>
      </c>
      <c r="AK8">
        <v>10</v>
      </c>
      <c r="AL8" t="s">
        <v>138</v>
      </c>
      <c r="AM8" t="s">
        <v>135</v>
      </c>
    </row>
    <row r="9" spans="1:39" x14ac:dyDescent="0.2">
      <c r="A9" s="2">
        <v>45030.469467592593</v>
      </c>
      <c r="B9" s="2">
        <v>45030.472939814812</v>
      </c>
      <c r="C9" t="s">
        <v>42</v>
      </c>
      <c r="D9" t="s">
        <v>140</v>
      </c>
      <c r="E9">
        <v>100</v>
      </c>
      <c r="F9">
        <v>299</v>
      </c>
      <c r="G9" t="b">
        <v>1</v>
      </c>
      <c r="H9" s="2">
        <v>45030.472939814812</v>
      </c>
      <c r="I9" t="s">
        <v>141</v>
      </c>
      <c r="N9">
        <v>38.8476</v>
      </c>
      <c r="O9">
        <v>-77.328100000000006</v>
      </c>
      <c r="P9" t="s">
        <v>111</v>
      </c>
      <c r="Q9" t="s">
        <v>112</v>
      </c>
      <c r="R9" t="s">
        <v>142</v>
      </c>
      <c r="S9" t="s">
        <v>114</v>
      </c>
      <c r="W9">
        <v>10</v>
      </c>
      <c r="X9" t="s">
        <v>143</v>
      </c>
      <c r="AA9">
        <v>3</v>
      </c>
      <c r="AD9">
        <v>500</v>
      </c>
      <c r="AE9">
        <v>10</v>
      </c>
      <c r="AF9" s="4">
        <v>1E-3</v>
      </c>
      <c r="AG9">
        <v>20</v>
      </c>
      <c r="AH9">
        <v>100</v>
      </c>
      <c r="AI9">
        <v>90</v>
      </c>
      <c r="AJ9">
        <v>0.1</v>
      </c>
      <c r="AK9">
        <v>100</v>
      </c>
      <c r="AL9" t="s">
        <v>142</v>
      </c>
      <c r="AM9" t="s">
        <v>128</v>
      </c>
    </row>
    <row r="10" spans="1:39" x14ac:dyDescent="0.2">
      <c r="A10" s="2">
        <v>45030.466874999998</v>
      </c>
      <c r="B10" s="2">
        <v>45030.473402777781</v>
      </c>
      <c r="C10" t="s">
        <v>42</v>
      </c>
      <c r="D10" t="s">
        <v>144</v>
      </c>
      <c r="E10">
        <v>100</v>
      </c>
      <c r="F10">
        <v>564</v>
      </c>
      <c r="G10" t="b">
        <v>1</v>
      </c>
      <c r="H10" s="2">
        <v>45030.473402777781</v>
      </c>
      <c r="I10" t="s">
        <v>145</v>
      </c>
      <c r="N10">
        <v>34.114699999999999</v>
      </c>
      <c r="O10">
        <v>-117.3845</v>
      </c>
      <c r="P10" t="s">
        <v>111</v>
      </c>
      <c r="Q10" t="s">
        <v>112</v>
      </c>
      <c r="R10" t="s">
        <v>146</v>
      </c>
      <c r="S10" t="s">
        <v>114</v>
      </c>
      <c r="W10">
        <v>41</v>
      </c>
      <c r="X10" t="s">
        <v>147</v>
      </c>
      <c r="Y10">
        <v>4</v>
      </c>
      <c r="AD10">
        <v>500</v>
      </c>
      <c r="AE10">
        <v>100</v>
      </c>
      <c r="AF10">
        <v>1</v>
      </c>
      <c r="AG10">
        <v>20</v>
      </c>
      <c r="AH10">
        <v>100</v>
      </c>
      <c r="AI10">
        <v>90</v>
      </c>
      <c r="AJ10">
        <v>0.1</v>
      </c>
      <c r="AK10" t="s">
        <v>148</v>
      </c>
      <c r="AL10" t="s">
        <v>146</v>
      </c>
      <c r="AM10" t="s">
        <v>117</v>
      </c>
    </row>
    <row r="11" spans="1:39" x14ac:dyDescent="0.2">
      <c r="A11" s="2">
        <v>45030.476099537038</v>
      </c>
      <c r="B11" s="2">
        <v>45030.477500000001</v>
      </c>
      <c r="C11" t="s">
        <v>42</v>
      </c>
      <c r="D11" t="s">
        <v>149</v>
      </c>
      <c r="E11">
        <v>100</v>
      </c>
      <c r="F11">
        <v>121</v>
      </c>
      <c r="G11" t="b">
        <v>1</v>
      </c>
      <c r="H11" s="2">
        <v>45030.477511574078</v>
      </c>
      <c r="I11" t="s">
        <v>150</v>
      </c>
      <c r="N11">
        <v>40.697899999999997</v>
      </c>
      <c r="O11">
        <v>-112.0865</v>
      </c>
      <c r="P11" t="s">
        <v>111</v>
      </c>
      <c r="Q11" t="s">
        <v>112</v>
      </c>
      <c r="R11" t="s">
        <v>151</v>
      </c>
      <c r="S11" t="s">
        <v>114</v>
      </c>
      <c r="T11">
        <v>71</v>
      </c>
      <c r="V11">
        <v>1</v>
      </c>
      <c r="W11">
        <v>70</v>
      </c>
      <c r="X11" t="s">
        <v>152</v>
      </c>
      <c r="AD11">
        <v>6</v>
      </c>
      <c r="AE11">
        <v>78</v>
      </c>
      <c r="AF11">
        <v>57</v>
      </c>
      <c r="AG11">
        <v>46</v>
      </c>
      <c r="AH11">
        <v>29</v>
      </c>
      <c r="AI11">
        <v>57</v>
      </c>
      <c r="AJ11">
        <v>0.1</v>
      </c>
      <c r="AK11">
        <v>500</v>
      </c>
      <c r="AL11" t="s">
        <v>151</v>
      </c>
      <c r="AM11" t="s">
        <v>123</v>
      </c>
    </row>
    <row r="12" spans="1:39" x14ac:dyDescent="0.2">
      <c r="A12" s="2">
        <v>45030.471516203703</v>
      </c>
      <c r="B12" s="2">
        <v>45030.480914351851</v>
      </c>
      <c r="C12" t="s">
        <v>42</v>
      </c>
      <c r="D12" t="s">
        <v>153</v>
      </c>
      <c r="E12">
        <v>100</v>
      </c>
      <c r="F12">
        <v>811</v>
      </c>
      <c r="G12" t="b">
        <v>1</v>
      </c>
      <c r="H12" s="2">
        <v>45030.480914351851</v>
      </c>
      <c r="I12" t="s">
        <v>154</v>
      </c>
      <c r="N12">
        <v>42.635899999999999</v>
      </c>
      <c r="O12">
        <v>-73.721900000000005</v>
      </c>
      <c r="P12" t="s">
        <v>111</v>
      </c>
      <c r="Q12" t="s">
        <v>112</v>
      </c>
      <c r="R12" t="s">
        <v>155</v>
      </c>
      <c r="S12" t="s">
        <v>114</v>
      </c>
      <c r="W12">
        <v>40</v>
      </c>
      <c r="X12" t="s">
        <v>156</v>
      </c>
      <c r="Y12">
        <v>1</v>
      </c>
      <c r="AD12" t="s">
        <v>157</v>
      </c>
      <c r="AE12" t="s">
        <v>158</v>
      </c>
      <c r="AF12" s="4">
        <v>1E-3</v>
      </c>
      <c r="AG12">
        <v>20</v>
      </c>
      <c r="AH12">
        <v>100</v>
      </c>
      <c r="AI12" s="3">
        <v>0.8</v>
      </c>
      <c r="AJ12">
        <v>0.05</v>
      </c>
      <c r="AK12" t="s">
        <v>159</v>
      </c>
      <c r="AL12" t="s">
        <v>155</v>
      </c>
      <c r="AM12" t="s">
        <v>117</v>
      </c>
    </row>
    <row r="13" spans="1:39" x14ac:dyDescent="0.2">
      <c r="A13" s="2">
        <v>45030.478738425925</v>
      </c>
      <c r="B13" s="2">
        <v>45030.481354166666</v>
      </c>
      <c r="C13" t="s">
        <v>42</v>
      </c>
      <c r="D13" t="s">
        <v>160</v>
      </c>
      <c r="E13">
        <v>100</v>
      </c>
      <c r="F13">
        <v>225</v>
      </c>
      <c r="G13" t="b">
        <v>1</v>
      </c>
      <c r="H13" s="2">
        <v>45030.481365740743</v>
      </c>
      <c r="I13" t="s">
        <v>161</v>
      </c>
      <c r="N13">
        <v>41.8307</v>
      </c>
      <c r="O13">
        <v>-71.398200000000003</v>
      </c>
      <c r="P13" t="s">
        <v>111</v>
      </c>
      <c r="Q13" t="s">
        <v>112</v>
      </c>
      <c r="R13" t="s">
        <v>162</v>
      </c>
      <c r="S13" t="s">
        <v>114</v>
      </c>
      <c r="W13">
        <v>5</v>
      </c>
      <c r="X13" t="s">
        <v>163</v>
      </c>
      <c r="AC13">
        <v>25</v>
      </c>
      <c r="AD13">
        <v>500</v>
      </c>
      <c r="AE13">
        <v>10</v>
      </c>
      <c r="AF13" s="4">
        <v>1E-3</v>
      </c>
      <c r="AG13">
        <v>20</v>
      </c>
      <c r="AH13">
        <v>1</v>
      </c>
      <c r="AI13" s="3">
        <v>0.9</v>
      </c>
      <c r="AJ13" s="5">
        <v>0.1</v>
      </c>
      <c r="AK13" t="s">
        <v>164</v>
      </c>
      <c r="AL13" t="s">
        <v>162</v>
      </c>
      <c r="AM13" t="s">
        <v>135</v>
      </c>
    </row>
    <row r="14" spans="1:39" x14ac:dyDescent="0.2">
      <c r="A14" s="2">
        <v>45030.478634259256</v>
      </c>
      <c r="B14" s="2">
        <v>45030.483344907407</v>
      </c>
      <c r="C14" t="s">
        <v>42</v>
      </c>
      <c r="D14" t="s">
        <v>165</v>
      </c>
      <c r="E14">
        <v>100</v>
      </c>
      <c r="F14">
        <v>406</v>
      </c>
      <c r="G14" t="b">
        <v>1</v>
      </c>
      <c r="H14" s="2">
        <v>45030.483344907407</v>
      </c>
      <c r="I14" t="s">
        <v>166</v>
      </c>
      <c r="N14">
        <v>35.3596</v>
      </c>
      <c r="O14">
        <v>-82.426599999999993</v>
      </c>
      <c r="P14" t="s">
        <v>111</v>
      </c>
      <c r="Q14" t="s">
        <v>112</v>
      </c>
      <c r="R14" t="s">
        <v>167</v>
      </c>
      <c r="S14" t="s">
        <v>114</v>
      </c>
      <c r="T14">
        <v>46</v>
      </c>
      <c r="U14">
        <v>2</v>
      </c>
      <c r="W14">
        <v>23</v>
      </c>
      <c r="X14" t="s">
        <v>168</v>
      </c>
      <c r="AD14">
        <v>500</v>
      </c>
      <c r="AE14">
        <v>1</v>
      </c>
      <c r="AF14">
        <v>0.01</v>
      </c>
      <c r="AG14">
        <v>20</v>
      </c>
      <c r="AH14">
        <v>100</v>
      </c>
      <c r="AI14">
        <v>18</v>
      </c>
      <c r="AJ14">
        <v>0.1</v>
      </c>
      <c r="AK14" t="s">
        <v>159</v>
      </c>
      <c r="AL14" t="s">
        <v>167</v>
      </c>
      <c r="AM14" t="s">
        <v>123</v>
      </c>
    </row>
    <row r="15" spans="1:39" x14ac:dyDescent="0.2">
      <c r="A15" s="2">
        <v>45030.479930555557</v>
      </c>
      <c r="B15" s="2">
        <v>45030.484074074076</v>
      </c>
      <c r="C15" t="s">
        <v>42</v>
      </c>
      <c r="D15" t="s">
        <v>169</v>
      </c>
      <c r="E15">
        <v>100</v>
      </c>
      <c r="F15">
        <v>358</v>
      </c>
      <c r="G15" t="b">
        <v>1</v>
      </c>
      <c r="H15" s="2">
        <v>45030.484074074076</v>
      </c>
      <c r="I15" t="s">
        <v>170</v>
      </c>
      <c r="N15">
        <v>37.331299999999999</v>
      </c>
      <c r="O15">
        <v>-121.84010000000001</v>
      </c>
      <c r="P15" t="s">
        <v>111</v>
      </c>
      <c r="Q15" t="s">
        <v>112</v>
      </c>
      <c r="R15" t="s">
        <v>171</v>
      </c>
      <c r="S15" t="s">
        <v>114</v>
      </c>
      <c r="W15">
        <v>66</v>
      </c>
      <c r="X15" t="s">
        <v>172</v>
      </c>
      <c r="Z15" t="s">
        <v>173</v>
      </c>
      <c r="AD15">
        <v>500</v>
      </c>
      <c r="AE15">
        <v>10</v>
      </c>
      <c r="AF15" s="4">
        <v>1E-3</v>
      </c>
      <c r="AG15">
        <v>20</v>
      </c>
      <c r="AH15">
        <v>100</v>
      </c>
      <c r="AI15">
        <v>90</v>
      </c>
      <c r="AJ15" s="5">
        <v>0.05</v>
      </c>
      <c r="AK15" t="s">
        <v>159</v>
      </c>
      <c r="AL15" t="s">
        <v>171</v>
      </c>
      <c r="AM15" t="s">
        <v>128</v>
      </c>
    </row>
    <row r="16" spans="1:39" x14ac:dyDescent="0.2">
      <c r="A16" s="2">
        <v>45030.484259259261</v>
      </c>
      <c r="B16" s="2">
        <v>45030.48642361111</v>
      </c>
      <c r="C16" t="s">
        <v>42</v>
      </c>
      <c r="D16" t="s">
        <v>174</v>
      </c>
      <c r="E16">
        <v>100</v>
      </c>
      <c r="F16">
        <v>187</v>
      </c>
      <c r="G16" t="b">
        <v>1</v>
      </c>
      <c r="H16" s="2">
        <v>45030.486435185187</v>
      </c>
      <c r="I16" t="s">
        <v>175</v>
      </c>
      <c r="N16">
        <v>35.179600000000001</v>
      </c>
      <c r="O16">
        <v>-89.966999999999999</v>
      </c>
      <c r="P16" t="s">
        <v>111</v>
      </c>
      <c r="Q16" t="s">
        <v>112</v>
      </c>
      <c r="R16" t="s">
        <v>176</v>
      </c>
      <c r="S16" t="s">
        <v>114</v>
      </c>
      <c r="W16">
        <v>32</v>
      </c>
      <c r="X16" t="s">
        <v>177</v>
      </c>
      <c r="AC16">
        <v>90</v>
      </c>
      <c r="AD16">
        <v>500</v>
      </c>
      <c r="AE16">
        <v>10</v>
      </c>
      <c r="AF16">
        <v>1</v>
      </c>
      <c r="AG16">
        <v>5</v>
      </c>
      <c r="AH16">
        <v>20</v>
      </c>
      <c r="AI16">
        <v>10</v>
      </c>
      <c r="AJ16">
        <v>0.1</v>
      </c>
      <c r="AK16">
        <v>100</v>
      </c>
      <c r="AL16" t="s">
        <v>176</v>
      </c>
      <c r="AM16" t="s">
        <v>135</v>
      </c>
    </row>
    <row r="17" spans="1:39" x14ac:dyDescent="0.2">
      <c r="A17" s="2">
        <v>45030.480821759258</v>
      </c>
      <c r="B17" s="2">
        <v>45030.488819444443</v>
      </c>
      <c r="C17" t="s">
        <v>42</v>
      </c>
      <c r="D17" t="s">
        <v>178</v>
      </c>
      <c r="E17">
        <v>100</v>
      </c>
      <c r="F17">
        <v>690</v>
      </c>
      <c r="G17" t="b">
        <v>1</v>
      </c>
      <c r="H17" s="2">
        <v>45030.488819444443</v>
      </c>
      <c r="I17" t="s">
        <v>179</v>
      </c>
      <c r="N17">
        <v>33.117699999999999</v>
      </c>
      <c r="O17">
        <v>-96.679100000000005</v>
      </c>
      <c r="P17" t="s">
        <v>111</v>
      </c>
      <c r="Q17" t="s">
        <v>112</v>
      </c>
      <c r="R17" t="s">
        <v>180</v>
      </c>
      <c r="S17" t="s">
        <v>114</v>
      </c>
      <c r="W17">
        <v>12</v>
      </c>
      <c r="X17" t="s">
        <v>181</v>
      </c>
      <c r="Y17">
        <v>5</v>
      </c>
      <c r="AD17">
        <v>500</v>
      </c>
      <c r="AE17">
        <v>10</v>
      </c>
      <c r="AF17">
        <v>0.1</v>
      </c>
      <c r="AG17">
        <v>20</v>
      </c>
      <c r="AH17">
        <v>100</v>
      </c>
      <c r="AI17" s="3">
        <v>0.5</v>
      </c>
      <c r="AJ17" s="5">
        <v>0.05</v>
      </c>
      <c r="AK17">
        <v>100</v>
      </c>
      <c r="AL17" t="s">
        <v>180</v>
      </c>
      <c r="AM17" t="s">
        <v>117</v>
      </c>
    </row>
    <row r="18" spans="1:39" x14ac:dyDescent="0.2">
      <c r="A18" s="2">
        <v>45030.486620370371</v>
      </c>
      <c r="B18" s="2">
        <v>45030.48946759259</v>
      </c>
      <c r="C18" t="s">
        <v>42</v>
      </c>
      <c r="D18" t="s">
        <v>182</v>
      </c>
      <c r="E18">
        <v>100</v>
      </c>
      <c r="F18">
        <v>246</v>
      </c>
      <c r="G18" t="b">
        <v>1</v>
      </c>
      <c r="H18" s="2">
        <v>45030.48946759259</v>
      </c>
      <c r="I18" t="s">
        <v>183</v>
      </c>
      <c r="N18">
        <v>45.528799999999997</v>
      </c>
      <c r="O18">
        <v>-122.68210000000001</v>
      </c>
      <c r="P18" t="s">
        <v>111</v>
      </c>
      <c r="Q18" t="s">
        <v>112</v>
      </c>
      <c r="R18" t="s">
        <v>184</v>
      </c>
      <c r="S18" t="s">
        <v>114</v>
      </c>
      <c r="W18">
        <v>81</v>
      </c>
      <c r="X18" t="s">
        <v>185</v>
      </c>
      <c r="AB18">
        <v>1</v>
      </c>
      <c r="AD18">
        <v>500</v>
      </c>
      <c r="AE18">
        <v>10</v>
      </c>
      <c r="AF18" s="4">
        <v>1E-3</v>
      </c>
      <c r="AG18" s="3">
        <v>0.2</v>
      </c>
      <c r="AH18">
        <v>100</v>
      </c>
      <c r="AI18" s="3">
        <v>0.01</v>
      </c>
      <c r="AJ18">
        <v>0.05</v>
      </c>
      <c r="AK18">
        <v>100</v>
      </c>
      <c r="AL18" t="s">
        <v>184</v>
      </c>
      <c r="AM18" t="s">
        <v>135</v>
      </c>
    </row>
    <row r="19" spans="1:39" x14ac:dyDescent="0.2">
      <c r="A19" s="2">
        <v>45030.484340277777</v>
      </c>
      <c r="B19" s="2">
        <v>45030.491076388891</v>
      </c>
      <c r="C19" t="s">
        <v>42</v>
      </c>
      <c r="D19" t="s">
        <v>186</v>
      </c>
      <c r="E19">
        <v>100</v>
      </c>
      <c r="F19">
        <v>582</v>
      </c>
      <c r="G19" t="b">
        <v>1</v>
      </c>
      <c r="H19" s="2">
        <v>45030.491087962961</v>
      </c>
      <c r="I19" t="s">
        <v>187</v>
      </c>
      <c r="N19">
        <v>40.7746</v>
      </c>
      <c r="O19">
        <v>-73.476100000000002</v>
      </c>
      <c r="P19" t="s">
        <v>111</v>
      </c>
      <c r="Q19" t="s">
        <v>112</v>
      </c>
      <c r="R19" t="s">
        <v>188</v>
      </c>
      <c r="S19" t="s">
        <v>114</v>
      </c>
      <c r="W19">
        <v>88</v>
      </c>
      <c r="X19" t="s">
        <v>189</v>
      </c>
      <c r="Z19">
        <v>1</v>
      </c>
      <c r="AD19">
        <v>500</v>
      </c>
      <c r="AE19">
        <v>10</v>
      </c>
      <c r="AF19" s="4">
        <v>1E-3</v>
      </c>
      <c r="AG19">
        <v>20</v>
      </c>
      <c r="AH19">
        <v>100</v>
      </c>
      <c r="AI19" s="3">
        <v>0.5</v>
      </c>
      <c r="AJ19" s="5">
        <v>0.1</v>
      </c>
      <c r="AK19" t="s">
        <v>159</v>
      </c>
      <c r="AL19" t="s">
        <v>188</v>
      </c>
      <c r="AM19" t="s">
        <v>128</v>
      </c>
    </row>
    <row r="20" spans="1:39" x14ac:dyDescent="0.2">
      <c r="A20" s="2">
        <v>45030.489884259259</v>
      </c>
      <c r="B20" s="2">
        <v>45030.491215277776</v>
      </c>
      <c r="C20" t="s">
        <v>42</v>
      </c>
      <c r="D20" t="s">
        <v>190</v>
      </c>
      <c r="E20">
        <v>100</v>
      </c>
      <c r="F20">
        <v>115</v>
      </c>
      <c r="G20" t="b">
        <v>1</v>
      </c>
      <c r="H20" s="2">
        <v>45030.491215277776</v>
      </c>
      <c r="I20" t="s">
        <v>191</v>
      </c>
      <c r="N20">
        <v>40.742800000000003</v>
      </c>
      <c r="O20">
        <v>-73.971199999999996</v>
      </c>
      <c r="P20" t="s">
        <v>111</v>
      </c>
      <c r="Q20" t="s">
        <v>112</v>
      </c>
      <c r="R20" t="s">
        <v>192</v>
      </c>
      <c r="S20" t="s">
        <v>114</v>
      </c>
      <c r="T20">
        <v>73</v>
      </c>
      <c r="V20">
        <v>1</v>
      </c>
      <c r="W20">
        <v>63</v>
      </c>
      <c r="X20" t="s">
        <v>193</v>
      </c>
      <c r="AD20">
        <v>500</v>
      </c>
      <c r="AE20">
        <v>10</v>
      </c>
      <c r="AF20">
        <v>0.05</v>
      </c>
      <c r="AG20">
        <v>20</v>
      </c>
      <c r="AH20">
        <v>100</v>
      </c>
      <c r="AI20">
        <v>50</v>
      </c>
      <c r="AJ20">
        <v>0.05</v>
      </c>
      <c r="AK20">
        <v>100</v>
      </c>
      <c r="AL20" t="s">
        <v>192</v>
      </c>
      <c r="AM20" t="s">
        <v>123</v>
      </c>
    </row>
    <row r="21" spans="1:39" x14ac:dyDescent="0.2">
      <c r="A21" s="2">
        <v>45030.489189814813</v>
      </c>
      <c r="B21" s="2">
        <v>45030.491296296299</v>
      </c>
      <c r="C21" t="s">
        <v>42</v>
      </c>
      <c r="D21" t="s">
        <v>194</v>
      </c>
      <c r="E21">
        <v>100</v>
      </c>
      <c r="F21">
        <v>181</v>
      </c>
      <c r="G21" t="b">
        <v>1</v>
      </c>
      <c r="H21" s="2">
        <v>45030.491296296299</v>
      </c>
      <c r="I21" t="s">
        <v>195</v>
      </c>
      <c r="N21">
        <v>43.078200000000002</v>
      </c>
      <c r="O21">
        <v>-89.407499999999999</v>
      </c>
      <c r="P21" t="s">
        <v>111</v>
      </c>
      <c r="Q21" t="s">
        <v>112</v>
      </c>
      <c r="R21" t="s">
        <v>196</v>
      </c>
      <c r="S21" t="s">
        <v>114</v>
      </c>
      <c r="W21">
        <v>16</v>
      </c>
      <c r="X21" t="s">
        <v>197</v>
      </c>
      <c r="AC21">
        <v>1</v>
      </c>
      <c r="AD21">
        <v>500</v>
      </c>
      <c r="AE21">
        <v>10</v>
      </c>
      <c r="AF21" s="4">
        <v>1E-3</v>
      </c>
      <c r="AG21">
        <v>20</v>
      </c>
      <c r="AH21">
        <v>100</v>
      </c>
      <c r="AI21">
        <v>90</v>
      </c>
      <c r="AJ21">
        <v>0.1</v>
      </c>
      <c r="AK21">
        <v>100</v>
      </c>
      <c r="AL21" t="s">
        <v>196</v>
      </c>
      <c r="AM21" t="s">
        <v>135</v>
      </c>
    </row>
    <row r="22" spans="1:39" x14ac:dyDescent="0.2">
      <c r="A22" s="2">
        <v>45030.488900462966</v>
      </c>
      <c r="B22" s="2">
        <v>45030.491435185184</v>
      </c>
      <c r="C22" t="s">
        <v>42</v>
      </c>
      <c r="D22" t="s">
        <v>198</v>
      </c>
      <c r="E22">
        <v>100</v>
      </c>
      <c r="F22">
        <v>219</v>
      </c>
      <c r="G22" t="b">
        <v>1</v>
      </c>
      <c r="H22" s="2">
        <v>45030.491446759261</v>
      </c>
      <c r="I22" t="s">
        <v>199</v>
      </c>
      <c r="N22">
        <v>43.994599999999998</v>
      </c>
      <c r="O22">
        <v>-88.525999999999996</v>
      </c>
      <c r="P22" t="s">
        <v>111</v>
      </c>
      <c r="Q22" t="s">
        <v>112</v>
      </c>
      <c r="R22" t="s">
        <v>200</v>
      </c>
      <c r="S22" t="s">
        <v>114</v>
      </c>
      <c r="T22">
        <v>60</v>
      </c>
      <c r="V22" t="s">
        <v>201</v>
      </c>
      <c r="W22">
        <v>65</v>
      </c>
      <c r="X22" t="s">
        <v>202</v>
      </c>
      <c r="AD22">
        <v>500</v>
      </c>
      <c r="AE22">
        <v>10</v>
      </c>
      <c r="AF22" s="4">
        <v>1E-3</v>
      </c>
      <c r="AG22">
        <v>20</v>
      </c>
      <c r="AH22">
        <v>100</v>
      </c>
      <c r="AI22" s="3">
        <v>0.09</v>
      </c>
      <c r="AJ22">
        <v>0.05</v>
      </c>
      <c r="AK22">
        <v>100</v>
      </c>
      <c r="AL22" t="s">
        <v>200</v>
      </c>
      <c r="AM22" t="s">
        <v>123</v>
      </c>
    </row>
    <row r="23" spans="1:39" x14ac:dyDescent="0.2">
      <c r="A23" s="2">
        <v>45030.490046296298</v>
      </c>
      <c r="B23" s="2">
        <v>45030.492222222223</v>
      </c>
      <c r="C23" t="s">
        <v>42</v>
      </c>
      <c r="D23" t="s">
        <v>203</v>
      </c>
      <c r="E23">
        <v>100</v>
      </c>
      <c r="F23">
        <v>188</v>
      </c>
      <c r="G23" t="b">
        <v>1</v>
      </c>
      <c r="H23" s="2">
        <v>45030.4922337963</v>
      </c>
      <c r="I23" t="s">
        <v>204</v>
      </c>
      <c r="N23">
        <v>33.447499999999998</v>
      </c>
      <c r="O23">
        <v>-112.0866</v>
      </c>
      <c r="P23" t="s">
        <v>111</v>
      </c>
      <c r="Q23" t="s">
        <v>112</v>
      </c>
      <c r="R23" t="s">
        <v>205</v>
      </c>
      <c r="S23" t="s">
        <v>114</v>
      </c>
      <c r="W23">
        <v>19</v>
      </c>
      <c r="X23" t="s">
        <v>206</v>
      </c>
      <c r="AA23">
        <v>4</v>
      </c>
      <c r="AD23">
        <v>500</v>
      </c>
      <c r="AE23">
        <v>10</v>
      </c>
      <c r="AF23" s="4">
        <v>1E-3</v>
      </c>
      <c r="AG23">
        <v>20</v>
      </c>
      <c r="AH23">
        <v>10</v>
      </c>
      <c r="AI23" s="3">
        <v>0.1</v>
      </c>
      <c r="AJ23" t="s">
        <v>207</v>
      </c>
      <c r="AK23" t="s">
        <v>208</v>
      </c>
      <c r="AL23" t="s">
        <v>205</v>
      </c>
      <c r="AM23" t="s">
        <v>128</v>
      </c>
    </row>
    <row r="24" spans="1:39" x14ac:dyDescent="0.2">
      <c r="A24" s="2">
        <v>45030.48946759259</v>
      </c>
      <c r="B24" s="2">
        <v>45030.492361111108</v>
      </c>
      <c r="C24" t="s">
        <v>42</v>
      </c>
      <c r="D24" t="s">
        <v>209</v>
      </c>
      <c r="E24">
        <v>100</v>
      </c>
      <c r="F24">
        <v>249</v>
      </c>
      <c r="G24" t="b">
        <v>1</v>
      </c>
      <c r="H24" s="2">
        <v>45030.492372685185</v>
      </c>
      <c r="I24" t="s">
        <v>210</v>
      </c>
      <c r="N24">
        <v>34.2363</v>
      </c>
      <c r="O24">
        <v>-118.4798</v>
      </c>
      <c r="P24" t="s">
        <v>111</v>
      </c>
      <c r="Q24" t="s">
        <v>112</v>
      </c>
      <c r="R24" t="s">
        <v>211</v>
      </c>
      <c r="S24" t="s">
        <v>114</v>
      </c>
      <c r="T24">
        <v>15</v>
      </c>
      <c r="U24">
        <v>1</v>
      </c>
      <c r="W24">
        <v>10</v>
      </c>
      <c r="X24" t="s">
        <v>212</v>
      </c>
      <c r="AD24">
        <v>500</v>
      </c>
      <c r="AE24">
        <v>10</v>
      </c>
      <c r="AF24" s="4">
        <v>1E-3</v>
      </c>
      <c r="AG24">
        <v>20</v>
      </c>
      <c r="AH24">
        <v>100</v>
      </c>
      <c r="AI24" s="3">
        <v>0.5</v>
      </c>
      <c r="AJ24">
        <v>0.05</v>
      </c>
      <c r="AK24">
        <v>100</v>
      </c>
      <c r="AL24" t="s">
        <v>211</v>
      </c>
      <c r="AM24" t="s">
        <v>123</v>
      </c>
    </row>
    <row r="25" spans="1:39" x14ac:dyDescent="0.2">
      <c r="A25" s="2">
        <v>45030.48909722222</v>
      </c>
      <c r="B25" s="2">
        <v>45030.492789351854</v>
      </c>
      <c r="C25" t="s">
        <v>42</v>
      </c>
      <c r="D25" t="s">
        <v>213</v>
      </c>
      <c r="E25">
        <v>100</v>
      </c>
      <c r="F25">
        <v>318</v>
      </c>
      <c r="G25" t="b">
        <v>1</v>
      </c>
      <c r="H25" s="2">
        <v>45030.492789351854</v>
      </c>
      <c r="I25" t="s">
        <v>214</v>
      </c>
      <c r="N25">
        <v>27.965399999999999</v>
      </c>
      <c r="O25">
        <v>-82.430700000000002</v>
      </c>
      <c r="P25" t="s">
        <v>111</v>
      </c>
      <c r="Q25" t="s">
        <v>112</v>
      </c>
      <c r="R25" t="s">
        <v>215</v>
      </c>
      <c r="S25" t="s">
        <v>114</v>
      </c>
      <c r="W25">
        <v>17</v>
      </c>
      <c r="X25" t="s">
        <v>216</v>
      </c>
      <c r="AC25" t="s">
        <v>217</v>
      </c>
      <c r="AD25">
        <v>500</v>
      </c>
      <c r="AE25">
        <v>10</v>
      </c>
      <c r="AF25">
        <v>1</v>
      </c>
      <c r="AG25">
        <v>20</v>
      </c>
      <c r="AH25">
        <v>1</v>
      </c>
      <c r="AI25" t="s">
        <v>218</v>
      </c>
      <c r="AJ25" t="s">
        <v>219</v>
      </c>
      <c r="AK25" t="s">
        <v>208</v>
      </c>
      <c r="AL25" t="s">
        <v>215</v>
      </c>
      <c r="AM25" t="s">
        <v>135</v>
      </c>
    </row>
    <row r="26" spans="1:39" x14ac:dyDescent="0.2">
      <c r="A26" s="2">
        <v>45030.489155092589</v>
      </c>
      <c r="B26" s="2">
        <v>45030.492928240739</v>
      </c>
      <c r="C26" t="s">
        <v>42</v>
      </c>
      <c r="D26" t="s">
        <v>220</v>
      </c>
      <c r="E26">
        <v>100</v>
      </c>
      <c r="F26">
        <v>326</v>
      </c>
      <c r="G26" t="b">
        <v>1</v>
      </c>
      <c r="H26" s="2">
        <v>45030.492939814816</v>
      </c>
      <c r="I26" t="s">
        <v>221</v>
      </c>
      <c r="N26">
        <v>45.539700000000003</v>
      </c>
      <c r="O26">
        <v>-122.96380000000001</v>
      </c>
      <c r="P26" t="s">
        <v>111</v>
      </c>
      <c r="Q26" t="s">
        <v>112</v>
      </c>
      <c r="R26" t="s">
        <v>222</v>
      </c>
      <c r="S26" t="s">
        <v>114</v>
      </c>
      <c r="T26">
        <v>24</v>
      </c>
      <c r="U26" t="s">
        <v>223</v>
      </c>
      <c r="W26">
        <v>20</v>
      </c>
      <c r="X26" t="s">
        <v>224</v>
      </c>
      <c r="AD26">
        <v>500</v>
      </c>
      <c r="AE26">
        <v>10</v>
      </c>
      <c r="AF26" s="4">
        <v>1E-3</v>
      </c>
      <c r="AG26" s="3">
        <v>0.2</v>
      </c>
      <c r="AH26">
        <v>100</v>
      </c>
      <c r="AI26" s="4">
        <v>0.16200000000000001</v>
      </c>
      <c r="AJ26" s="5">
        <v>0.05</v>
      </c>
      <c r="AK26" t="s">
        <v>159</v>
      </c>
      <c r="AL26" t="s">
        <v>222</v>
      </c>
      <c r="AM26" t="s">
        <v>123</v>
      </c>
    </row>
    <row r="27" spans="1:39" x14ac:dyDescent="0.2">
      <c r="A27" s="2">
        <v>45030.485254629632</v>
      </c>
      <c r="B27" s="2">
        <v>45030.493032407408</v>
      </c>
      <c r="C27" t="s">
        <v>42</v>
      </c>
      <c r="D27" t="s">
        <v>225</v>
      </c>
      <c r="E27">
        <v>100</v>
      </c>
      <c r="F27">
        <v>672</v>
      </c>
      <c r="G27" t="b">
        <v>1</v>
      </c>
      <c r="H27" s="2">
        <v>45030.493043981478</v>
      </c>
      <c r="I27" t="s">
        <v>226</v>
      </c>
      <c r="N27">
        <v>39.150700000000001</v>
      </c>
      <c r="O27">
        <v>-119.74590000000001</v>
      </c>
      <c r="P27" t="s">
        <v>111</v>
      </c>
      <c r="Q27" t="s">
        <v>112</v>
      </c>
      <c r="R27" t="s">
        <v>227</v>
      </c>
      <c r="S27" t="s">
        <v>114</v>
      </c>
      <c r="W27">
        <v>95</v>
      </c>
      <c r="X27" t="s">
        <v>228</v>
      </c>
      <c r="Z27">
        <v>3</v>
      </c>
      <c r="AD27">
        <v>500</v>
      </c>
      <c r="AE27">
        <v>10</v>
      </c>
      <c r="AF27">
        <v>0.5</v>
      </c>
      <c r="AG27">
        <v>20</v>
      </c>
      <c r="AH27">
        <v>100</v>
      </c>
      <c r="AI27" s="3">
        <v>0.5</v>
      </c>
      <c r="AJ27">
        <v>0.1</v>
      </c>
      <c r="AK27" t="s">
        <v>164</v>
      </c>
      <c r="AL27" t="s">
        <v>227</v>
      </c>
      <c r="AM27" t="s">
        <v>128</v>
      </c>
    </row>
    <row r="28" spans="1:39" x14ac:dyDescent="0.2">
      <c r="A28" s="2">
        <v>45030.488981481481</v>
      </c>
      <c r="B28" s="2">
        <v>45030.493101851855</v>
      </c>
      <c r="C28" t="s">
        <v>42</v>
      </c>
      <c r="D28" t="s">
        <v>229</v>
      </c>
      <c r="E28">
        <v>100</v>
      </c>
      <c r="F28">
        <v>356</v>
      </c>
      <c r="G28" t="b">
        <v>1</v>
      </c>
      <c r="H28" s="2">
        <v>45030.493113425924</v>
      </c>
      <c r="I28" t="s">
        <v>230</v>
      </c>
      <c r="N28">
        <v>26.535499999999999</v>
      </c>
      <c r="O28">
        <v>-80.109800000000007</v>
      </c>
      <c r="P28" t="s">
        <v>111</v>
      </c>
      <c r="Q28" t="s">
        <v>112</v>
      </c>
      <c r="R28" t="s">
        <v>231</v>
      </c>
      <c r="S28" t="s">
        <v>114</v>
      </c>
      <c r="W28">
        <v>50</v>
      </c>
      <c r="X28" t="s">
        <v>232</v>
      </c>
      <c r="Z28">
        <v>1.5</v>
      </c>
      <c r="AD28" s="3">
        <v>0.6</v>
      </c>
      <c r="AE28" s="3">
        <v>0.01</v>
      </c>
      <c r="AF28" s="3">
        <v>0.01</v>
      </c>
      <c r="AG28" s="3">
        <v>0.02</v>
      </c>
      <c r="AH28">
        <v>100</v>
      </c>
      <c r="AI28" s="3">
        <v>0.01</v>
      </c>
      <c r="AJ28">
        <v>0.1</v>
      </c>
      <c r="AK28">
        <v>100</v>
      </c>
      <c r="AL28" t="s">
        <v>231</v>
      </c>
      <c r="AM28" t="s">
        <v>128</v>
      </c>
    </row>
    <row r="29" spans="1:39" x14ac:dyDescent="0.2">
      <c r="A29" s="2">
        <v>45030.489710648151</v>
      </c>
      <c r="B29" s="2">
        <v>45030.493136574078</v>
      </c>
      <c r="C29" t="s">
        <v>42</v>
      </c>
      <c r="D29" t="s">
        <v>233</v>
      </c>
      <c r="E29">
        <v>100</v>
      </c>
      <c r="F29">
        <v>295</v>
      </c>
      <c r="G29" t="b">
        <v>1</v>
      </c>
      <c r="H29" s="2">
        <v>45030.493136574078</v>
      </c>
      <c r="I29" t="s">
        <v>234</v>
      </c>
      <c r="N29">
        <v>31.180499999999999</v>
      </c>
      <c r="O29">
        <v>-81.496099999999998</v>
      </c>
      <c r="P29" t="s">
        <v>111</v>
      </c>
      <c r="Q29" t="s">
        <v>112</v>
      </c>
      <c r="R29" t="s">
        <v>235</v>
      </c>
      <c r="S29" t="s">
        <v>114</v>
      </c>
      <c r="W29">
        <v>32</v>
      </c>
      <c r="X29" t="s">
        <v>236</v>
      </c>
      <c r="Y29">
        <v>1.5</v>
      </c>
      <c r="AD29">
        <v>500</v>
      </c>
      <c r="AE29">
        <v>10</v>
      </c>
      <c r="AF29">
        <v>1E-3</v>
      </c>
      <c r="AG29">
        <v>20</v>
      </c>
      <c r="AH29">
        <v>100</v>
      </c>
      <c r="AI29" s="3">
        <v>0.09</v>
      </c>
      <c r="AJ29">
        <v>0.05</v>
      </c>
      <c r="AK29">
        <v>5</v>
      </c>
      <c r="AL29" t="s">
        <v>235</v>
      </c>
      <c r="AM29" t="s">
        <v>117</v>
      </c>
    </row>
    <row r="30" spans="1:39" x14ac:dyDescent="0.2">
      <c r="A30" s="2">
        <v>45030.488807870373</v>
      </c>
      <c r="B30" s="2">
        <v>45030.493252314816</v>
      </c>
      <c r="C30" t="s">
        <v>42</v>
      </c>
      <c r="D30" t="s">
        <v>237</v>
      </c>
      <c r="E30">
        <v>100</v>
      </c>
      <c r="F30">
        <v>384</v>
      </c>
      <c r="G30" t="b">
        <v>1</v>
      </c>
      <c r="H30" s="2">
        <v>45030.493252314816</v>
      </c>
      <c r="I30" t="s">
        <v>238</v>
      </c>
      <c r="N30">
        <v>34.0672</v>
      </c>
      <c r="O30">
        <v>-118.30159999999999</v>
      </c>
      <c r="P30" t="s">
        <v>111</v>
      </c>
      <c r="Q30" t="s">
        <v>112</v>
      </c>
      <c r="R30" t="s">
        <v>239</v>
      </c>
      <c r="S30" t="s">
        <v>114</v>
      </c>
      <c r="W30">
        <v>20</v>
      </c>
      <c r="X30" t="s">
        <v>240</v>
      </c>
      <c r="AC30">
        <v>1</v>
      </c>
      <c r="AD30">
        <v>500</v>
      </c>
      <c r="AE30">
        <v>10</v>
      </c>
      <c r="AF30">
        <v>1E-3</v>
      </c>
      <c r="AG30">
        <v>20</v>
      </c>
      <c r="AH30">
        <v>100</v>
      </c>
      <c r="AI30" s="3">
        <v>0.09</v>
      </c>
      <c r="AJ30" t="s">
        <v>241</v>
      </c>
      <c r="AK30" t="s">
        <v>159</v>
      </c>
      <c r="AL30" t="s">
        <v>239</v>
      </c>
      <c r="AM30" t="s">
        <v>135</v>
      </c>
    </row>
    <row r="31" spans="1:39" x14ac:dyDescent="0.2">
      <c r="A31" s="2">
        <v>45030.491064814814</v>
      </c>
      <c r="B31" s="2">
        <v>45030.493541666663</v>
      </c>
      <c r="C31" t="s">
        <v>42</v>
      </c>
      <c r="D31" t="s">
        <v>242</v>
      </c>
      <c r="E31">
        <v>100</v>
      </c>
      <c r="F31">
        <v>214</v>
      </c>
      <c r="G31" t="b">
        <v>1</v>
      </c>
      <c r="H31" s="2">
        <v>45030.49355324074</v>
      </c>
      <c r="I31" t="s">
        <v>243</v>
      </c>
      <c r="N31">
        <v>41.272300000000001</v>
      </c>
      <c r="O31">
        <v>-75.8887</v>
      </c>
      <c r="P31" t="s">
        <v>111</v>
      </c>
      <c r="Q31" t="s">
        <v>112</v>
      </c>
      <c r="R31" t="s">
        <v>244</v>
      </c>
      <c r="S31" t="s">
        <v>114</v>
      </c>
      <c r="W31">
        <v>83</v>
      </c>
      <c r="X31" t="s">
        <v>245</v>
      </c>
      <c r="Z31">
        <v>1</v>
      </c>
      <c r="AD31">
        <v>500</v>
      </c>
      <c r="AE31">
        <v>10</v>
      </c>
      <c r="AF31" s="4">
        <v>1E-4</v>
      </c>
      <c r="AG31">
        <v>20</v>
      </c>
      <c r="AH31">
        <v>100</v>
      </c>
      <c r="AI31" t="s">
        <v>246</v>
      </c>
      <c r="AJ31" s="5">
        <v>0.1</v>
      </c>
      <c r="AK31" t="s">
        <v>164</v>
      </c>
      <c r="AL31" t="s">
        <v>244</v>
      </c>
      <c r="AM31" t="s">
        <v>128</v>
      </c>
    </row>
    <row r="32" spans="1:39" x14ac:dyDescent="0.2">
      <c r="A32" s="2">
        <v>45030.489108796297</v>
      </c>
      <c r="B32" s="2">
        <v>45030.49355324074</v>
      </c>
      <c r="C32" t="s">
        <v>42</v>
      </c>
      <c r="D32" t="s">
        <v>247</v>
      </c>
      <c r="E32">
        <v>100</v>
      </c>
      <c r="F32">
        <v>383</v>
      </c>
      <c r="G32" t="b">
        <v>1</v>
      </c>
      <c r="H32" s="2">
        <v>45030.49355324074</v>
      </c>
      <c r="I32" t="s">
        <v>248</v>
      </c>
      <c r="N32">
        <v>40.5672</v>
      </c>
      <c r="O32">
        <v>-111.864</v>
      </c>
      <c r="P32" t="s">
        <v>111</v>
      </c>
      <c r="Q32" t="s">
        <v>112</v>
      </c>
      <c r="R32" t="s">
        <v>249</v>
      </c>
      <c r="S32" t="s">
        <v>114</v>
      </c>
      <c r="W32">
        <v>50</v>
      </c>
      <c r="X32" t="s">
        <v>250</v>
      </c>
      <c r="Y32">
        <v>2</v>
      </c>
      <c r="AD32">
        <v>500</v>
      </c>
      <c r="AE32">
        <v>10</v>
      </c>
      <c r="AF32" s="4">
        <v>1E-3</v>
      </c>
      <c r="AG32" s="3">
        <v>0.2</v>
      </c>
      <c r="AH32">
        <v>100</v>
      </c>
      <c r="AI32" s="3">
        <v>0.5</v>
      </c>
      <c r="AJ32" t="s">
        <v>251</v>
      </c>
      <c r="AK32" t="s">
        <v>159</v>
      </c>
      <c r="AL32" t="s">
        <v>249</v>
      </c>
      <c r="AM32" t="s">
        <v>117</v>
      </c>
    </row>
    <row r="33" spans="1:39" x14ac:dyDescent="0.2">
      <c r="A33" s="2">
        <v>45030.490370370368</v>
      </c>
      <c r="B33" s="2">
        <v>45030.49391203704</v>
      </c>
      <c r="C33" t="s">
        <v>42</v>
      </c>
      <c r="D33" t="s">
        <v>252</v>
      </c>
      <c r="E33">
        <v>100</v>
      </c>
      <c r="F33">
        <v>306</v>
      </c>
      <c r="G33" t="b">
        <v>1</v>
      </c>
      <c r="H33" s="2">
        <v>45030.493923611109</v>
      </c>
      <c r="I33" t="s">
        <v>253</v>
      </c>
      <c r="N33">
        <v>42.325499999999998</v>
      </c>
      <c r="O33">
        <v>-83.041499999999999</v>
      </c>
      <c r="P33" t="s">
        <v>111</v>
      </c>
      <c r="Q33" t="s">
        <v>112</v>
      </c>
      <c r="R33" t="s">
        <v>254</v>
      </c>
      <c r="S33" t="s">
        <v>114</v>
      </c>
      <c r="W33">
        <v>0</v>
      </c>
      <c r="X33" t="s">
        <v>255</v>
      </c>
      <c r="AC33">
        <v>0</v>
      </c>
      <c r="AD33">
        <v>500</v>
      </c>
      <c r="AE33">
        <v>10</v>
      </c>
      <c r="AF33">
        <v>0.1</v>
      </c>
      <c r="AG33">
        <v>20</v>
      </c>
      <c r="AH33">
        <v>100</v>
      </c>
      <c r="AI33" s="3">
        <v>0.9</v>
      </c>
      <c r="AJ33">
        <v>0.5</v>
      </c>
      <c r="AK33">
        <v>5</v>
      </c>
      <c r="AL33" t="s">
        <v>254</v>
      </c>
      <c r="AM33" t="s">
        <v>135</v>
      </c>
    </row>
    <row r="34" spans="1:39" x14ac:dyDescent="0.2">
      <c r="A34" s="2">
        <v>45030.489791666667</v>
      </c>
      <c r="B34" s="2">
        <v>45030.493993055556</v>
      </c>
      <c r="C34" t="s">
        <v>42</v>
      </c>
      <c r="D34" t="s">
        <v>256</v>
      </c>
      <c r="E34">
        <v>100</v>
      </c>
      <c r="F34">
        <v>363</v>
      </c>
      <c r="G34" t="b">
        <v>1</v>
      </c>
      <c r="H34" s="2">
        <v>45030.493993055556</v>
      </c>
      <c r="I34" t="s">
        <v>257</v>
      </c>
      <c r="N34">
        <v>21.408000000000001</v>
      </c>
      <c r="O34">
        <v>-157.97030000000001</v>
      </c>
      <c r="P34" t="s">
        <v>111</v>
      </c>
      <c r="Q34" t="s">
        <v>112</v>
      </c>
      <c r="R34" t="s">
        <v>258</v>
      </c>
      <c r="S34" t="s">
        <v>114</v>
      </c>
      <c r="W34">
        <v>90</v>
      </c>
      <c r="X34" t="s">
        <v>259</v>
      </c>
      <c r="Z34">
        <v>1.6</v>
      </c>
      <c r="AD34">
        <v>500</v>
      </c>
      <c r="AE34">
        <v>10</v>
      </c>
      <c r="AF34" s="4">
        <v>1E-3</v>
      </c>
      <c r="AG34">
        <v>20</v>
      </c>
      <c r="AH34">
        <v>100</v>
      </c>
      <c r="AI34" s="3">
        <v>0.9</v>
      </c>
      <c r="AJ34" s="5">
        <v>0.05</v>
      </c>
      <c r="AK34" t="s">
        <v>159</v>
      </c>
      <c r="AL34" t="s">
        <v>258</v>
      </c>
      <c r="AM34" t="s">
        <v>128</v>
      </c>
    </row>
    <row r="35" spans="1:39" x14ac:dyDescent="0.2">
      <c r="A35" s="2">
        <v>45030.48877314815</v>
      </c>
      <c r="B35" s="2">
        <v>45030.494143518517</v>
      </c>
      <c r="C35" t="s">
        <v>42</v>
      </c>
      <c r="D35" t="s">
        <v>260</v>
      </c>
      <c r="E35">
        <v>100</v>
      </c>
      <c r="F35">
        <v>464</v>
      </c>
      <c r="G35" t="b">
        <v>1</v>
      </c>
      <c r="H35" s="2">
        <v>45030.494155092594</v>
      </c>
      <c r="I35" t="s">
        <v>261</v>
      </c>
      <c r="N35">
        <v>40.524799999999999</v>
      </c>
      <c r="O35">
        <v>-80.164299999999997</v>
      </c>
      <c r="P35" t="s">
        <v>111</v>
      </c>
      <c r="Q35" t="s">
        <v>112</v>
      </c>
      <c r="R35" t="s">
        <v>262</v>
      </c>
      <c r="S35" t="s">
        <v>114</v>
      </c>
      <c r="W35">
        <v>90</v>
      </c>
      <c r="X35" t="s">
        <v>263</v>
      </c>
      <c r="AB35">
        <v>0.1</v>
      </c>
      <c r="AD35">
        <v>500</v>
      </c>
      <c r="AE35">
        <v>10</v>
      </c>
      <c r="AF35">
        <v>0.1</v>
      </c>
      <c r="AG35">
        <v>20</v>
      </c>
      <c r="AH35">
        <v>1</v>
      </c>
      <c r="AI35" s="3">
        <v>0.09</v>
      </c>
      <c r="AJ35">
        <v>1.05</v>
      </c>
      <c r="AK35">
        <v>5</v>
      </c>
      <c r="AL35" t="s">
        <v>262</v>
      </c>
      <c r="AM35" t="s">
        <v>135</v>
      </c>
    </row>
    <row r="36" spans="1:39" x14ac:dyDescent="0.2">
      <c r="A36" s="2">
        <v>45030.488865740743</v>
      </c>
      <c r="B36" s="2">
        <v>45030.494189814817</v>
      </c>
      <c r="C36" t="s">
        <v>42</v>
      </c>
      <c r="D36" t="s">
        <v>264</v>
      </c>
      <c r="E36">
        <v>100</v>
      </c>
      <c r="F36">
        <v>459</v>
      </c>
      <c r="G36" t="b">
        <v>1</v>
      </c>
      <c r="H36" s="2">
        <v>45030.494189814817</v>
      </c>
      <c r="I36" t="s">
        <v>265</v>
      </c>
      <c r="N36">
        <v>46.4604</v>
      </c>
      <c r="O36">
        <v>-90.161600000000007</v>
      </c>
      <c r="P36" t="s">
        <v>111</v>
      </c>
      <c r="Q36" t="s">
        <v>112</v>
      </c>
      <c r="R36" t="s">
        <v>266</v>
      </c>
      <c r="S36" t="s">
        <v>114</v>
      </c>
      <c r="W36">
        <v>71</v>
      </c>
      <c r="X36" t="s">
        <v>267</v>
      </c>
      <c r="Z36">
        <v>0.5</v>
      </c>
      <c r="AD36">
        <v>200</v>
      </c>
      <c r="AE36">
        <v>100</v>
      </c>
      <c r="AF36">
        <v>10</v>
      </c>
      <c r="AG36">
        <v>20</v>
      </c>
      <c r="AH36">
        <v>100</v>
      </c>
      <c r="AI36" t="s">
        <v>268</v>
      </c>
      <c r="AJ36" t="s">
        <v>269</v>
      </c>
      <c r="AK36" t="s">
        <v>148</v>
      </c>
      <c r="AL36" t="s">
        <v>266</v>
      </c>
      <c r="AM36" t="s">
        <v>128</v>
      </c>
    </row>
    <row r="37" spans="1:39" x14ac:dyDescent="0.2">
      <c r="A37" s="2">
        <v>45030.487303240741</v>
      </c>
      <c r="B37" s="2">
        <v>45030.49423611111</v>
      </c>
      <c r="C37" t="s">
        <v>42</v>
      </c>
      <c r="D37" t="s">
        <v>270</v>
      </c>
      <c r="E37">
        <v>100</v>
      </c>
      <c r="F37">
        <v>599</v>
      </c>
      <c r="G37" t="b">
        <v>1</v>
      </c>
      <c r="H37" s="2">
        <v>45030.494247685187</v>
      </c>
      <c r="I37" t="s">
        <v>271</v>
      </c>
      <c r="N37">
        <v>41.947600000000001</v>
      </c>
      <c r="O37">
        <v>-80.554199999999994</v>
      </c>
      <c r="P37" t="s">
        <v>111</v>
      </c>
      <c r="Q37" t="s">
        <v>112</v>
      </c>
      <c r="R37" t="s">
        <v>272</v>
      </c>
      <c r="S37" t="s">
        <v>114</v>
      </c>
      <c r="W37">
        <v>76</v>
      </c>
      <c r="X37" t="s">
        <v>273</v>
      </c>
      <c r="Y37">
        <v>3</v>
      </c>
      <c r="AD37">
        <v>510</v>
      </c>
      <c r="AE37">
        <v>10</v>
      </c>
      <c r="AF37">
        <v>1</v>
      </c>
      <c r="AG37">
        <v>20</v>
      </c>
      <c r="AH37">
        <v>100</v>
      </c>
      <c r="AI37" s="3">
        <v>0.1</v>
      </c>
      <c r="AJ37">
        <v>0.1</v>
      </c>
      <c r="AK37">
        <v>100</v>
      </c>
      <c r="AL37" t="s">
        <v>272</v>
      </c>
      <c r="AM37" t="s">
        <v>117</v>
      </c>
    </row>
    <row r="38" spans="1:39" x14ac:dyDescent="0.2">
      <c r="A38" s="2">
        <v>45030.491550925923</v>
      </c>
      <c r="B38" s="2">
        <v>45030.494317129633</v>
      </c>
      <c r="C38" t="s">
        <v>42</v>
      </c>
      <c r="D38" t="s">
        <v>274</v>
      </c>
      <c r="E38">
        <v>100</v>
      </c>
      <c r="F38">
        <v>238</v>
      </c>
      <c r="G38" t="b">
        <v>1</v>
      </c>
      <c r="H38" s="2">
        <v>45030.494317129633</v>
      </c>
      <c r="I38" t="s">
        <v>275</v>
      </c>
      <c r="N38">
        <v>47.724200000000003</v>
      </c>
      <c r="O38">
        <v>-116.7834</v>
      </c>
      <c r="P38" t="s">
        <v>111</v>
      </c>
      <c r="Q38" t="s">
        <v>112</v>
      </c>
      <c r="R38" t="s">
        <v>276</v>
      </c>
      <c r="S38" t="s">
        <v>114</v>
      </c>
      <c r="W38">
        <v>40</v>
      </c>
      <c r="X38" t="s">
        <v>277</v>
      </c>
      <c r="AC38">
        <v>2</v>
      </c>
      <c r="AD38">
        <v>500</v>
      </c>
      <c r="AE38">
        <v>10</v>
      </c>
      <c r="AF38">
        <v>1E-3</v>
      </c>
      <c r="AG38">
        <v>20</v>
      </c>
      <c r="AH38">
        <v>100</v>
      </c>
      <c r="AI38">
        <v>9</v>
      </c>
      <c r="AJ38">
        <v>0.05</v>
      </c>
      <c r="AK38">
        <v>5</v>
      </c>
      <c r="AL38" t="s">
        <v>276</v>
      </c>
      <c r="AM38" t="s">
        <v>135</v>
      </c>
    </row>
    <row r="39" spans="1:39" x14ac:dyDescent="0.2">
      <c r="A39" s="2">
        <v>45030.48940972222</v>
      </c>
      <c r="B39" s="2">
        <v>45030.494375000002</v>
      </c>
      <c r="C39" t="s">
        <v>42</v>
      </c>
      <c r="D39" t="s">
        <v>278</v>
      </c>
      <c r="E39">
        <v>100</v>
      </c>
      <c r="F39">
        <v>429</v>
      </c>
      <c r="G39" t="b">
        <v>1</v>
      </c>
      <c r="H39" s="2">
        <v>45030.494386574072</v>
      </c>
      <c r="I39" t="s">
        <v>279</v>
      </c>
      <c r="N39">
        <v>46.3521</v>
      </c>
      <c r="O39">
        <v>-94.104600000000005</v>
      </c>
      <c r="P39" t="s">
        <v>111</v>
      </c>
      <c r="Q39" t="s">
        <v>112</v>
      </c>
      <c r="R39" t="s">
        <v>280</v>
      </c>
      <c r="S39" t="s">
        <v>114</v>
      </c>
      <c r="W39">
        <v>70</v>
      </c>
      <c r="X39" t="s">
        <v>281</v>
      </c>
      <c r="Y39">
        <v>0.5</v>
      </c>
      <c r="AD39">
        <v>500</v>
      </c>
      <c r="AE39">
        <v>10</v>
      </c>
      <c r="AF39" s="4">
        <v>1E-3</v>
      </c>
      <c r="AG39">
        <v>20</v>
      </c>
      <c r="AH39">
        <v>100</v>
      </c>
      <c r="AI39">
        <v>90</v>
      </c>
      <c r="AJ39">
        <v>0.05</v>
      </c>
      <c r="AK39" t="s">
        <v>159</v>
      </c>
      <c r="AL39" t="s">
        <v>280</v>
      </c>
      <c r="AM39" t="s">
        <v>117</v>
      </c>
    </row>
    <row r="40" spans="1:39" x14ac:dyDescent="0.2">
      <c r="A40" s="2">
        <v>45030.489895833336</v>
      </c>
      <c r="B40" s="2">
        <v>45030.494699074072</v>
      </c>
      <c r="C40" t="s">
        <v>42</v>
      </c>
      <c r="D40" t="s">
        <v>282</v>
      </c>
      <c r="E40">
        <v>100</v>
      </c>
      <c r="F40">
        <v>414</v>
      </c>
      <c r="G40" t="b">
        <v>1</v>
      </c>
      <c r="H40" s="2">
        <v>45030.494699074072</v>
      </c>
      <c r="I40" t="s">
        <v>283</v>
      </c>
      <c r="N40">
        <v>47.613700000000001</v>
      </c>
      <c r="O40">
        <v>-122.3104</v>
      </c>
      <c r="P40" t="s">
        <v>111</v>
      </c>
      <c r="Q40" t="s">
        <v>112</v>
      </c>
      <c r="R40" t="s">
        <v>284</v>
      </c>
      <c r="S40" t="s">
        <v>114</v>
      </c>
      <c r="T40">
        <v>27</v>
      </c>
      <c r="U40">
        <v>1.5</v>
      </c>
      <c r="W40">
        <v>17</v>
      </c>
      <c r="X40" t="s">
        <v>285</v>
      </c>
      <c r="AD40">
        <v>500</v>
      </c>
      <c r="AE40">
        <v>10</v>
      </c>
      <c r="AF40" s="3">
        <v>0.01</v>
      </c>
      <c r="AG40" s="3">
        <v>0.2</v>
      </c>
      <c r="AH40">
        <v>100</v>
      </c>
      <c r="AI40" s="3">
        <v>0.18</v>
      </c>
      <c r="AJ40" s="5">
        <v>0.05</v>
      </c>
      <c r="AK40">
        <v>5</v>
      </c>
      <c r="AL40" t="s">
        <v>284</v>
      </c>
      <c r="AM40" t="s">
        <v>123</v>
      </c>
    </row>
    <row r="41" spans="1:39" x14ac:dyDescent="0.2">
      <c r="A41" s="2">
        <v>45030.491620370369</v>
      </c>
      <c r="B41" s="2">
        <v>45030.494895833333</v>
      </c>
      <c r="C41" t="s">
        <v>42</v>
      </c>
      <c r="D41" t="s">
        <v>286</v>
      </c>
      <c r="E41">
        <v>100</v>
      </c>
      <c r="F41">
        <v>282</v>
      </c>
      <c r="G41" t="b">
        <v>1</v>
      </c>
      <c r="H41" s="2">
        <v>45030.494895833333</v>
      </c>
      <c r="I41" t="s">
        <v>287</v>
      </c>
      <c r="N41">
        <v>39.959699999999998</v>
      </c>
      <c r="O41">
        <v>-75.1995</v>
      </c>
      <c r="P41" t="s">
        <v>111</v>
      </c>
      <c r="Q41" t="s">
        <v>112</v>
      </c>
      <c r="R41" t="s">
        <v>288</v>
      </c>
      <c r="S41" t="s">
        <v>114</v>
      </c>
      <c r="W41">
        <v>0</v>
      </c>
      <c r="X41" t="s">
        <v>289</v>
      </c>
      <c r="AC41">
        <v>2</v>
      </c>
      <c r="AD41">
        <v>500</v>
      </c>
      <c r="AE41">
        <v>10</v>
      </c>
      <c r="AF41">
        <v>0.1</v>
      </c>
      <c r="AG41">
        <v>20</v>
      </c>
      <c r="AH41">
        <v>100</v>
      </c>
      <c r="AI41" s="3">
        <v>0.5</v>
      </c>
      <c r="AJ41" t="s">
        <v>134</v>
      </c>
      <c r="AK41" t="s">
        <v>159</v>
      </c>
      <c r="AL41" t="s">
        <v>288</v>
      </c>
      <c r="AM41" t="s">
        <v>135</v>
      </c>
    </row>
    <row r="42" spans="1:39" x14ac:dyDescent="0.2">
      <c r="A42" s="2">
        <v>45030.492523148147</v>
      </c>
      <c r="B42" s="2">
        <v>45030.495057870372</v>
      </c>
      <c r="C42" t="s">
        <v>42</v>
      </c>
      <c r="D42" t="s">
        <v>290</v>
      </c>
      <c r="E42">
        <v>100</v>
      </c>
      <c r="F42">
        <v>218</v>
      </c>
      <c r="G42" t="b">
        <v>1</v>
      </c>
      <c r="H42" s="2">
        <v>45030.495057870372</v>
      </c>
      <c r="I42" t="s">
        <v>291</v>
      </c>
      <c r="N42">
        <v>40.950899999999997</v>
      </c>
      <c r="O42">
        <v>-90.365799999999993</v>
      </c>
      <c r="P42" t="s">
        <v>111</v>
      </c>
      <c r="Q42" t="s">
        <v>112</v>
      </c>
      <c r="R42" t="s">
        <v>292</v>
      </c>
      <c r="S42" t="s">
        <v>114</v>
      </c>
      <c r="W42">
        <v>30</v>
      </c>
      <c r="X42" t="s">
        <v>293</v>
      </c>
      <c r="AA42">
        <v>1.5</v>
      </c>
      <c r="AD42">
        <v>500</v>
      </c>
      <c r="AE42">
        <v>10</v>
      </c>
      <c r="AF42">
        <v>0.1</v>
      </c>
      <c r="AG42">
        <v>20</v>
      </c>
      <c r="AH42">
        <v>100</v>
      </c>
      <c r="AI42">
        <v>50</v>
      </c>
      <c r="AJ42">
        <v>0.05</v>
      </c>
      <c r="AK42">
        <v>100</v>
      </c>
      <c r="AL42" t="s">
        <v>292</v>
      </c>
      <c r="AM42" t="s">
        <v>128</v>
      </c>
    </row>
    <row r="43" spans="1:39" x14ac:dyDescent="0.2">
      <c r="A43" s="2">
        <v>45030.493761574071</v>
      </c>
      <c r="B43" s="2">
        <v>45030.495682870373</v>
      </c>
      <c r="C43" t="s">
        <v>42</v>
      </c>
      <c r="D43" t="s">
        <v>294</v>
      </c>
      <c r="E43">
        <v>100</v>
      </c>
      <c r="F43">
        <v>166</v>
      </c>
      <c r="G43" t="b">
        <v>1</v>
      </c>
      <c r="H43" s="2">
        <v>45030.495694444442</v>
      </c>
      <c r="I43" t="s">
        <v>295</v>
      </c>
      <c r="N43">
        <v>42.819299999999998</v>
      </c>
      <c r="O43">
        <v>-83.284499999999994</v>
      </c>
      <c r="P43" t="s">
        <v>111</v>
      </c>
      <c r="Q43" t="s">
        <v>112</v>
      </c>
      <c r="R43" t="s">
        <v>296</v>
      </c>
      <c r="S43" t="s">
        <v>114</v>
      </c>
      <c r="T43">
        <v>18</v>
      </c>
      <c r="U43">
        <v>3</v>
      </c>
      <c r="W43">
        <v>20</v>
      </c>
      <c r="X43" t="s">
        <v>297</v>
      </c>
      <c r="AD43">
        <v>500</v>
      </c>
      <c r="AE43">
        <v>10</v>
      </c>
      <c r="AF43">
        <v>0.01</v>
      </c>
      <c r="AG43">
        <v>20</v>
      </c>
      <c r="AH43">
        <v>100</v>
      </c>
      <c r="AI43" s="3">
        <v>0.9</v>
      </c>
      <c r="AJ43">
        <v>0.05</v>
      </c>
      <c r="AK43">
        <v>5</v>
      </c>
      <c r="AL43" t="s">
        <v>296</v>
      </c>
      <c r="AM43" t="s">
        <v>123</v>
      </c>
    </row>
    <row r="44" spans="1:39" x14ac:dyDescent="0.2">
      <c r="A44" s="2">
        <v>45030.492430555554</v>
      </c>
      <c r="B44" s="2">
        <v>45030.495833333334</v>
      </c>
      <c r="C44" t="s">
        <v>42</v>
      </c>
      <c r="D44" t="s">
        <v>298</v>
      </c>
      <c r="E44">
        <v>100</v>
      </c>
      <c r="F44">
        <v>294</v>
      </c>
      <c r="G44" t="b">
        <v>1</v>
      </c>
      <c r="H44" s="2">
        <v>45030.495844907404</v>
      </c>
      <c r="I44" t="s">
        <v>299</v>
      </c>
      <c r="N44">
        <v>28.1404</v>
      </c>
      <c r="O44">
        <v>-80.651399999999995</v>
      </c>
      <c r="P44" t="s">
        <v>111</v>
      </c>
      <c r="Q44" t="s">
        <v>112</v>
      </c>
      <c r="R44" t="s">
        <v>300</v>
      </c>
      <c r="S44" t="s">
        <v>114</v>
      </c>
      <c r="T44">
        <v>0</v>
      </c>
      <c r="U44" t="s">
        <v>301</v>
      </c>
      <c r="W44">
        <v>0</v>
      </c>
      <c r="X44" t="s">
        <v>302</v>
      </c>
      <c r="AD44">
        <v>500</v>
      </c>
      <c r="AE44">
        <v>10</v>
      </c>
      <c r="AF44">
        <v>1</v>
      </c>
      <c r="AG44">
        <v>2</v>
      </c>
      <c r="AH44">
        <v>100</v>
      </c>
      <c r="AI44" t="s">
        <v>303</v>
      </c>
      <c r="AJ44" t="s">
        <v>241</v>
      </c>
      <c r="AK44" t="s">
        <v>164</v>
      </c>
      <c r="AL44" t="s">
        <v>300</v>
      </c>
      <c r="AM44" t="s">
        <v>123</v>
      </c>
    </row>
    <row r="45" spans="1:39" x14ac:dyDescent="0.2">
      <c r="A45" s="2">
        <v>45030.490335648145</v>
      </c>
      <c r="B45" s="2">
        <v>45030.496053240742</v>
      </c>
      <c r="C45" t="s">
        <v>42</v>
      </c>
      <c r="D45" t="s">
        <v>304</v>
      </c>
      <c r="E45">
        <v>100</v>
      </c>
      <c r="F45">
        <v>493</v>
      </c>
      <c r="G45" t="b">
        <v>1</v>
      </c>
      <c r="H45" s="2">
        <v>45030.496064814812</v>
      </c>
      <c r="I45" t="s">
        <v>305</v>
      </c>
      <c r="N45">
        <v>38.253900000000002</v>
      </c>
      <c r="O45">
        <v>-85.76</v>
      </c>
      <c r="P45" t="s">
        <v>111</v>
      </c>
      <c r="Q45" t="s">
        <v>112</v>
      </c>
      <c r="R45" t="s">
        <v>306</v>
      </c>
      <c r="S45" t="s">
        <v>114</v>
      </c>
      <c r="W45">
        <v>67</v>
      </c>
      <c r="X45" t="s">
        <v>307</v>
      </c>
      <c r="Y45" t="s">
        <v>308</v>
      </c>
      <c r="AD45">
        <v>250</v>
      </c>
      <c r="AE45" t="s">
        <v>309</v>
      </c>
      <c r="AF45" s="3">
        <v>0.01</v>
      </c>
      <c r="AG45">
        <v>20</v>
      </c>
      <c r="AH45">
        <v>100</v>
      </c>
      <c r="AI45" t="s">
        <v>310</v>
      </c>
      <c r="AJ45" s="5">
        <v>0.1</v>
      </c>
      <c r="AK45" t="s">
        <v>159</v>
      </c>
      <c r="AL45" t="s">
        <v>306</v>
      </c>
      <c r="AM45" t="s">
        <v>117</v>
      </c>
    </row>
    <row r="46" spans="1:39" x14ac:dyDescent="0.2">
      <c r="A46" s="2">
        <v>45030.494745370372</v>
      </c>
      <c r="B46" s="2">
        <v>45030.496516203704</v>
      </c>
      <c r="C46" t="s">
        <v>42</v>
      </c>
      <c r="D46" t="s">
        <v>311</v>
      </c>
      <c r="E46">
        <v>100</v>
      </c>
      <c r="F46">
        <v>153</v>
      </c>
      <c r="G46" t="b">
        <v>1</v>
      </c>
      <c r="H46" s="2">
        <v>45030.496527777781</v>
      </c>
      <c r="I46" t="s">
        <v>312</v>
      </c>
      <c r="N46">
        <v>30.262699999999999</v>
      </c>
      <c r="O46">
        <v>-97.746700000000004</v>
      </c>
      <c r="P46" t="s">
        <v>111</v>
      </c>
      <c r="Q46" t="s">
        <v>112</v>
      </c>
      <c r="R46" t="s">
        <v>313</v>
      </c>
      <c r="S46" t="s">
        <v>114</v>
      </c>
      <c r="W46">
        <v>41</v>
      </c>
      <c r="X46" t="s">
        <v>314</v>
      </c>
      <c r="Y46">
        <v>0.5</v>
      </c>
      <c r="AD46">
        <v>500</v>
      </c>
      <c r="AE46">
        <v>10</v>
      </c>
      <c r="AF46">
        <v>0.1</v>
      </c>
      <c r="AG46">
        <v>20</v>
      </c>
      <c r="AH46">
        <v>100</v>
      </c>
      <c r="AI46">
        <v>7</v>
      </c>
      <c r="AJ46">
        <v>0.1</v>
      </c>
      <c r="AK46">
        <v>100</v>
      </c>
      <c r="AL46" t="s">
        <v>313</v>
      </c>
      <c r="AM46" t="s">
        <v>117</v>
      </c>
    </row>
    <row r="47" spans="1:39" x14ac:dyDescent="0.2">
      <c r="A47" s="2">
        <v>45030.492662037039</v>
      </c>
      <c r="B47" s="2">
        <v>45030.496539351851</v>
      </c>
      <c r="C47" t="s">
        <v>42</v>
      </c>
      <c r="D47" t="s">
        <v>315</v>
      </c>
      <c r="E47">
        <v>100</v>
      </c>
      <c r="F47">
        <v>334</v>
      </c>
      <c r="G47" t="b">
        <v>1</v>
      </c>
      <c r="H47" s="2">
        <v>45030.496550925927</v>
      </c>
      <c r="I47" t="s">
        <v>316</v>
      </c>
      <c r="N47">
        <v>40.712000000000003</v>
      </c>
      <c r="O47">
        <v>-74.016300000000001</v>
      </c>
      <c r="P47" t="s">
        <v>111</v>
      </c>
      <c r="Q47" t="s">
        <v>112</v>
      </c>
      <c r="R47" t="s">
        <v>317</v>
      </c>
      <c r="S47" t="s">
        <v>114</v>
      </c>
      <c r="W47">
        <v>10</v>
      </c>
      <c r="X47" t="s">
        <v>318</v>
      </c>
      <c r="Y47">
        <v>0.5</v>
      </c>
      <c r="AD47">
        <v>500</v>
      </c>
      <c r="AE47">
        <v>10</v>
      </c>
      <c r="AF47">
        <v>0.1</v>
      </c>
      <c r="AG47">
        <v>20</v>
      </c>
      <c r="AH47">
        <v>100</v>
      </c>
      <c r="AI47" s="3">
        <v>0.5</v>
      </c>
      <c r="AJ47">
        <v>0.05</v>
      </c>
      <c r="AK47">
        <v>5</v>
      </c>
      <c r="AL47" t="s">
        <v>317</v>
      </c>
      <c r="AM47" t="s">
        <v>117</v>
      </c>
    </row>
    <row r="48" spans="1:39" x14ac:dyDescent="0.2">
      <c r="A48" s="2">
        <v>45030.493541666663</v>
      </c>
      <c r="B48" s="2">
        <v>45030.496620370373</v>
      </c>
      <c r="C48" t="s">
        <v>42</v>
      </c>
      <c r="D48" t="s">
        <v>319</v>
      </c>
      <c r="E48">
        <v>100</v>
      </c>
      <c r="F48">
        <v>265</v>
      </c>
      <c r="G48" t="b">
        <v>1</v>
      </c>
      <c r="H48" s="2">
        <v>45030.496620370373</v>
      </c>
      <c r="I48" t="s">
        <v>320</v>
      </c>
      <c r="N48">
        <v>32.381999999999998</v>
      </c>
      <c r="O48">
        <v>-94.868700000000004</v>
      </c>
      <c r="P48" t="s">
        <v>111</v>
      </c>
      <c r="Q48" t="s">
        <v>112</v>
      </c>
      <c r="R48" t="s">
        <v>321</v>
      </c>
      <c r="S48" t="s">
        <v>114</v>
      </c>
      <c r="W48">
        <v>70</v>
      </c>
      <c r="X48" t="s">
        <v>322</v>
      </c>
      <c r="Z48">
        <v>0.5</v>
      </c>
      <c r="AD48">
        <v>765</v>
      </c>
      <c r="AE48">
        <v>0.25</v>
      </c>
      <c r="AF48">
        <v>1</v>
      </c>
      <c r="AG48">
        <v>10</v>
      </c>
      <c r="AH48">
        <v>150</v>
      </c>
      <c r="AI48">
        <v>25</v>
      </c>
      <c r="AJ48">
        <v>0.1</v>
      </c>
      <c r="AK48">
        <v>20</v>
      </c>
      <c r="AL48" t="s">
        <v>321</v>
      </c>
      <c r="AM48" t="s">
        <v>128</v>
      </c>
    </row>
    <row r="49" spans="1:39" x14ac:dyDescent="0.2">
      <c r="A49" s="2">
        <v>45030.494039351855</v>
      </c>
      <c r="B49" s="2">
        <v>45030.496689814812</v>
      </c>
      <c r="C49" t="s">
        <v>42</v>
      </c>
      <c r="D49" t="s">
        <v>323</v>
      </c>
      <c r="E49">
        <v>100</v>
      </c>
      <c r="F49">
        <v>229</v>
      </c>
      <c r="G49" t="b">
        <v>1</v>
      </c>
      <c r="H49" s="2">
        <v>45030.496701388889</v>
      </c>
      <c r="I49" t="s">
        <v>324</v>
      </c>
      <c r="N49">
        <v>33.7485</v>
      </c>
      <c r="O49">
        <v>-84.387100000000004</v>
      </c>
      <c r="P49" t="s">
        <v>111</v>
      </c>
      <c r="Q49" t="s">
        <v>112</v>
      </c>
      <c r="R49" t="s">
        <v>325</v>
      </c>
      <c r="S49" t="s">
        <v>114</v>
      </c>
      <c r="W49">
        <v>35</v>
      </c>
      <c r="X49" t="s">
        <v>326</v>
      </c>
      <c r="AC49" t="s">
        <v>327</v>
      </c>
      <c r="AD49">
        <v>500</v>
      </c>
      <c r="AE49">
        <v>10</v>
      </c>
      <c r="AF49" t="s">
        <v>328</v>
      </c>
      <c r="AG49">
        <v>20</v>
      </c>
      <c r="AH49">
        <v>100</v>
      </c>
      <c r="AI49" t="s">
        <v>329</v>
      </c>
      <c r="AJ49" t="s">
        <v>241</v>
      </c>
      <c r="AK49">
        <v>100</v>
      </c>
      <c r="AL49" t="s">
        <v>325</v>
      </c>
      <c r="AM49" t="s">
        <v>135</v>
      </c>
    </row>
    <row r="50" spans="1:39" x14ac:dyDescent="0.2">
      <c r="A50" s="2">
        <v>45030.49150462963</v>
      </c>
      <c r="B50" s="2">
        <v>45030.496689814812</v>
      </c>
      <c r="C50" t="s">
        <v>42</v>
      </c>
      <c r="D50" t="s">
        <v>330</v>
      </c>
      <c r="E50">
        <v>100</v>
      </c>
      <c r="F50">
        <v>448</v>
      </c>
      <c r="G50" t="b">
        <v>1</v>
      </c>
      <c r="H50" s="2">
        <v>45030.496701388889</v>
      </c>
      <c r="I50" t="s">
        <v>331</v>
      </c>
      <c r="N50">
        <v>41.261200000000002</v>
      </c>
      <c r="O50">
        <v>-95.935400000000001</v>
      </c>
      <c r="P50" t="s">
        <v>111</v>
      </c>
      <c r="Q50" t="s">
        <v>112</v>
      </c>
      <c r="R50" t="s">
        <v>332</v>
      </c>
      <c r="S50" t="s">
        <v>114</v>
      </c>
      <c r="W50">
        <v>65</v>
      </c>
      <c r="X50" t="s">
        <v>333</v>
      </c>
      <c r="Y50">
        <v>5</v>
      </c>
      <c r="AD50">
        <v>50</v>
      </c>
      <c r="AE50">
        <v>10</v>
      </c>
      <c r="AF50" t="s">
        <v>334</v>
      </c>
      <c r="AG50">
        <v>20</v>
      </c>
      <c r="AH50">
        <v>100</v>
      </c>
      <c r="AI50" t="s">
        <v>335</v>
      </c>
      <c r="AJ50">
        <v>10</v>
      </c>
      <c r="AK50">
        <v>140</v>
      </c>
      <c r="AL50" t="s">
        <v>332</v>
      </c>
      <c r="AM50" t="s">
        <v>117</v>
      </c>
    </row>
    <row r="51" spans="1:39" x14ac:dyDescent="0.2">
      <c r="A51" s="2">
        <v>45030.490868055553</v>
      </c>
      <c r="B51" s="2">
        <v>45030.496736111112</v>
      </c>
      <c r="C51" t="s">
        <v>42</v>
      </c>
      <c r="D51" t="s">
        <v>336</v>
      </c>
      <c r="E51">
        <v>100</v>
      </c>
      <c r="F51">
        <v>506</v>
      </c>
      <c r="G51" t="b">
        <v>1</v>
      </c>
      <c r="H51" s="2">
        <v>45030.496747685182</v>
      </c>
      <c r="I51" t="s">
        <v>337</v>
      </c>
      <c r="N51">
        <v>42.274299999999997</v>
      </c>
      <c r="O51">
        <v>-71.097200000000001</v>
      </c>
      <c r="P51" t="s">
        <v>111</v>
      </c>
      <c r="Q51" t="s">
        <v>112</v>
      </c>
      <c r="R51" t="s">
        <v>338</v>
      </c>
      <c r="S51" t="s">
        <v>114</v>
      </c>
      <c r="W51">
        <v>70</v>
      </c>
      <c r="X51" t="s">
        <v>339</v>
      </c>
      <c r="Y51" t="s">
        <v>340</v>
      </c>
      <c r="AD51">
        <v>50010</v>
      </c>
      <c r="AE51">
        <v>10</v>
      </c>
      <c r="AF51">
        <v>1E-3</v>
      </c>
      <c r="AG51">
        <v>20</v>
      </c>
      <c r="AH51">
        <v>100</v>
      </c>
      <c r="AI51" s="3">
        <v>0.01</v>
      </c>
      <c r="AJ51">
        <v>0.105</v>
      </c>
      <c r="AK51" t="s">
        <v>159</v>
      </c>
      <c r="AL51" t="s">
        <v>338</v>
      </c>
      <c r="AM51" t="s">
        <v>117</v>
      </c>
    </row>
    <row r="52" spans="1:39" x14ac:dyDescent="0.2">
      <c r="A52" s="2">
        <v>45030.485844907409</v>
      </c>
      <c r="B52" s="2">
        <v>45030.497094907405</v>
      </c>
      <c r="C52" t="s">
        <v>42</v>
      </c>
      <c r="D52" t="s">
        <v>341</v>
      </c>
      <c r="E52">
        <v>100</v>
      </c>
      <c r="F52">
        <v>972</v>
      </c>
      <c r="G52" t="b">
        <v>1</v>
      </c>
      <c r="H52" s="2">
        <v>45030.497106481482</v>
      </c>
      <c r="I52" t="s">
        <v>342</v>
      </c>
      <c r="N52">
        <v>28.552099999999999</v>
      </c>
      <c r="O52">
        <v>-81.301000000000002</v>
      </c>
      <c r="P52" t="s">
        <v>111</v>
      </c>
      <c r="Q52" t="s">
        <v>112</v>
      </c>
      <c r="R52" t="s">
        <v>343</v>
      </c>
      <c r="S52" t="s">
        <v>114</v>
      </c>
      <c r="T52">
        <v>30</v>
      </c>
      <c r="U52">
        <v>2</v>
      </c>
      <c r="W52">
        <v>8</v>
      </c>
      <c r="X52" t="s">
        <v>344</v>
      </c>
      <c r="AD52">
        <v>500</v>
      </c>
      <c r="AE52">
        <v>10</v>
      </c>
      <c r="AF52">
        <v>0.1</v>
      </c>
      <c r="AG52">
        <v>20</v>
      </c>
      <c r="AH52">
        <v>10</v>
      </c>
      <c r="AI52" s="3">
        <v>0.9</v>
      </c>
      <c r="AJ52" s="5">
        <v>0.1</v>
      </c>
      <c r="AK52" t="s">
        <v>164</v>
      </c>
      <c r="AL52" t="s">
        <v>343</v>
      </c>
      <c r="AM52" t="s">
        <v>123</v>
      </c>
    </row>
    <row r="53" spans="1:39" x14ac:dyDescent="0.2">
      <c r="A53" s="2">
        <v>45030.487847222219</v>
      </c>
      <c r="B53" s="2">
        <v>45030.497337962966</v>
      </c>
      <c r="C53" t="s">
        <v>42</v>
      </c>
      <c r="D53" t="s">
        <v>345</v>
      </c>
      <c r="E53">
        <v>100</v>
      </c>
      <c r="F53">
        <v>819</v>
      </c>
      <c r="G53" t="b">
        <v>1</v>
      </c>
      <c r="H53" s="2">
        <v>45030.497337962966</v>
      </c>
      <c r="I53" t="s">
        <v>346</v>
      </c>
      <c r="N53">
        <v>35.115000000000002</v>
      </c>
      <c r="O53">
        <v>-80.706100000000006</v>
      </c>
      <c r="P53" t="s">
        <v>111</v>
      </c>
      <c r="Q53" t="s">
        <v>112</v>
      </c>
      <c r="R53" t="s">
        <v>347</v>
      </c>
      <c r="S53" t="s">
        <v>114</v>
      </c>
      <c r="W53">
        <v>100</v>
      </c>
      <c r="X53" t="s">
        <v>348</v>
      </c>
      <c r="Y53">
        <v>1.5</v>
      </c>
      <c r="AD53">
        <v>500</v>
      </c>
      <c r="AE53">
        <v>10</v>
      </c>
      <c r="AF53">
        <v>0.1</v>
      </c>
      <c r="AG53">
        <v>20</v>
      </c>
      <c r="AH53">
        <v>100</v>
      </c>
      <c r="AI53">
        <v>50</v>
      </c>
      <c r="AJ53">
        <v>0.1</v>
      </c>
      <c r="AK53">
        <v>2500</v>
      </c>
      <c r="AL53" t="s">
        <v>347</v>
      </c>
      <c r="AM53" t="s">
        <v>117</v>
      </c>
    </row>
    <row r="54" spans="1:39" x14ac:dyDescent="0.2">
      <c r="A54" s="2">
        <v>45030.493946759256</v>
      </c>
      <c r="B54" s="2">
        <v>45030.497627314813</v>
      </c>
      <c r="C54" t="s">
        <v>42</v>
      </c>
      <c r="D54" t="s">
        <v>349</v>
      </c>
      <c r="E54">
        <v>100</v>
      </c>
      <c r="F54">
        <v>318</v>
      </c>
      <c r="G54" t="b">
        <v>1</v>
      </c>
      <c r="H54" s="2">
        <v>45030.49763888889</v>
      </c>
      <c r="I54" t="s">
        <v>350</v>
      </c>
      <c r="N54">
        <v>36.568600000000004</v>
      </c>
      <c r="O54">
        <v>-86.514200000000002</v>
      </c>
      <c r="P54" t="s">
        <v>111</v>
      </c>
      <c r="Q54" t="s">
        <v>112</v>
      </c>
      <c r="R54" s="6" t="s">
        <v>351</v>
      </c>
      <c r="S54" t="s">
        <v>114</v>
      </c>
      <c r="W54">
        <v>0</v>
      </c>
      <c r="X54" t="s">
        <v>352</v>
      </c>
      <c r="Y54">
        <v>2</v>
      </c>
      <c r="AD54">
        <v>500</v>
      </c>
      <c r="AE54">
        <v>10</v>
      </c>
      <c r="AF54" s="4">
        <v>1E-3</v>
      </c>
      <c r="AG54" s="3">
        <v>0.2</v>
      </c>
      <c r="AH54">
        <v>100</v>
      </c>
      <c r="AI54" s="3">
        <v>0.1</v>
      </c>
      <c r="AJ54">
        <v>0.1</v>
      </c>
      <c r="AK54">
        <v>5</v>
      </c>
      <c r="AL54" s="6" t="s">
        <v>351</v>
      </c>
      <c r="AM54" t="s">
        <v>117</v>
      </c>
    </row>
    <row r="55" spans="1:39" x14ac:dyDescent="0.2">
      <c r="A55" s="2">
        <v>45030.493668981479</v>
      </c>
      <c r="B55" s="2">
        <v>45030.497650462959</v>
      </c>
      <c r="C55" t="s">
        <v>42</v>
      </c>
      <c r="D55" t="s">
        <v>353</v>
      </c>
      <c r="E55">
        <v>100</v>
      </c>
      <c r="F55">
        <v>343</v>
      </c>
      <c r="G55" t="b">
        <v>1</v>
      </c>
      <c r="H55" s="2">
        <v>45030.497662037036</v>
      </c>
      <c r="I55" t="s">
        <v>354</v>
      </c>
      <c r="N55">
        <v>35.982500000000002</v>
      </c>
      <c r="O55">
        <v>-78.537599999999998</v>
      </c>
      <c r="P55" t="s">
        <v>111</v>
      </c>
      <c r="Q55" t="s">
        <v>112</v>
      </c>
      <c r="R55" t="s">
        <v>355</v>
      </c>
      <c r="S55" t="s">
        <v>114</v>
      </c>
      <c r="W55">
        <v>30</v>
      </c>
      <c r="X55" t="s">
        <v>356</v>
      </c>
      <c r="AC55">
        <v>2</v>
      </c>
      <c r="AD55">
        <v>500</v>
      </c>
      <c r="AE55">
        <v>10</v>
      </c>
      <c r="AF55" s="4">
        <v>1E-3</v>
      </c>
      <c r="AG55">
        <v>20</v>
      </c>
      <c r="AH55">
        <v>100</v>
      </c>
      <c r="AI55" s="3">
        <v>0.1</v>
      </c>
      <c r="AJ55" s="5">
        <v>0.05</v>
      </c>
      <c r="AK55" t="s">
        <v>159</v>
      </c>
      <c r="AL55" t="s">
        <v>355</v>
      </c>
      <c r="AM55" t="s">
        <v>135</v>
      </c>
    </row>
    <row r="56" spans="1:39" x14ac:dyDescent="0.2">
      <c r="A56" s="2">
        <v>45030.495474537034</v>
      </c>
      <c r="B56" s="2">
        <v>45030.497719907406</v>
      </c>
      <c r="C56" t="s">
        <v>42</v>
      </c>
      <c r="D56" t="s">
        <v>357</v>
      </c>
      <c r="E56">
        <v>100</v>
      </c>
      <c r="F56">
        <v>193</v>
      </c>
      <c r="G56" t="b">
        <v>1</v>
      </c>
      <c r="H56" s="2">
        <v>45030.497719907406</v>
      </c>
      <c r="I56" t="s">
        <v>358</v>
      </c>
      <c r="N56">
        <v>38.027099999999997</v>
      </c>
      <c r="O56">
        <v>-78.479699999999994</v>
      </c>
      <c r="P56" t="s">
        <v>111</v>
      </c>
      <c r="Q56" t="s">
        <v>112</v>
      </c>
      <c r="R56" t="s">
        <v>359</v>
      </c>
      <c r="S56" t="s">
        <v>114</v>
      </c>
      <c r="W56">
        <v>31</v>
      </c>
      <c r="X56" t="s">
        <v>360</v>
      </c>
      <c r="AA56" t="s">
        <v>361</v>
      </c>
      <c r="AD56">
        <v>500</v>
      </c>
      <c r="AE56">
        <v>10</v>
      </c>
      <c r="AF56">
        <v>0.1</v>
      </c>
      <c r="AG56">
        <v>20</v>
      </c>
      <c r="AH56">
        <v>100</v>
      </c>
      <c r="AI56" s="3">
        <v>0.5</v>
      </c>
      <c r="AJ56" t="s">
        <v>134</v>
      </c>
      <c r="AK56" t="s">
        <v>159</v>
      </c>
      <c r="AL56" t="s">
        <v>359</v>
      </c>
      <c r="AM56" t="s">
        <v>128</v>
      </c>
    </row>
    <row r="57" spans="1:39" x14ac:dyDescent="0.2">
      <c r="A57" s="2">
        <v>45030.494340277779</v>
      </c>
      <c r="B57" s="2">
        <v>45030.497789351852</v>
      </c>
      <c r="C57" t="s">
        <v>42</v>
      </c>
      <c r="D57" t="s">
        <v>362</v>
      </c>
      <c r="E57">
        <v>100</v>
      </c>
      <c r="F57">
        <v>298</v>
      </c>
      <c r="G57" t="b">
        <v>1</v>
      </c>
      <c r="H57" s="2">
        <v>45030.497800925928</v>
      </c>
      <c r="I57" t="s">
        <v>363</v>
      </c>
      <c r="N57">
        <v>35.1873</v>
      </c>
      <c r="O57">
        <v>-79.472999999999999</v>
      </c>
      <c r="P57" t="s">
        <v>111</v>
      </c>
      <c r="Q57" t="s">
        <v>112</v>
      </c>
      <c r="R57" t="s">
        <v>364</v>
      </c>
      <c r="S57" t="s">
        <v>114</v>
      </c>
      <c r="T57">
        <v>25</v>
      </c>
      <c r="U57">
        <v>2</v>
      </c>
      <c r="W57">
        <v>12</v>
      </c>
      <c r="X57" t="s">
        <v>365</v>
      </c>
      <c r="AD57">
        <v>400</v>
      </c>
      <c r="AE57">
        <v>10</v>
      </c>
      <c r="AF57" s="4">
        <v>1E-3</v>
      </c>
      <c r="AG57">
        <v>20</v>
      </c>
      <c r="AH57">
        <v>100</v>
      </c>
      <c r="AI57" s="3">
        <v>0.9</v>
      </c>
      <c r="AJ57" s="5">
        <v>0.05</v>
      </c>
      <c r="AK57" t="s">
        <v>208</v>
      </c>
      <c r="AL57" t="s">
        <v>364</v>
      </c>
      <c r="AM57" t="s">
        <v>123</v>
      </c>
    </row>
    <row r="58" spans="1:39" x14ac:dyDescent="0.2">
      <c r="A58" s="2">
        <v>45030.495335648149</v>
      </c>
      <c r="B58" s="2">
        <v>45030.497824074075</v>
      </c>
      <c r="C58" t="s">
        <v>42</v>
      </c>
      <c r="D58" t="s">
        <v>366</v>
      </c>
      <c r="E58">
        <v>100</v>
      </c>
      <c r="F58">
        <v>214</v>
      </c>
      <c r="G58" t="b">
        <v>1</v>
      </c>
      <c r="H58" s="2">
        <v>45030.497824074075</v>
      </c>
      <c r="I58" t="s">
        <v>367</v>
      </c>
      <c r="N58">
        <v>47.634799999999998</v>
      </c>
      <c r="O58">
        <v>-122.3451</v>
      </c>
      <c r="P58" t="s">
        <v>111</v>
      </c>
      <c r="Q58" t="s">
        <v>112</v>
      </c>
      <c r="R58" t="s">
        <v>368</v>
      </c>
      <c r="S58" t="s">
        <v>114</v>
      </c>
      <c r="T58">
        <v>10</v>
      </c>
      <c r="U58">
        <v>5</v>
      </c>
      <c r="W58">
        <v>0</v>
      </c>
      <c r="X58" t="s">
        <v>369</v>
      </c>
      <c r="AD58">
        <v>500</v>
      </c>
      <c r="AE58">
        <v>10</v>
      </c>
      <c r="AF58">
        <v>0.1</v>
      </c>
      <c r="AG58">
        <v>20</v>
      </c>
      <c r="AH58">
        <v>100</v>
      </c>
      <c r="AI58" s="3">
        <v>0.09</v>
      </c>
      <c r="AJ58">
        <v>0.1</v>
      </c>
      <c r="AK58">
        <v>10</v>
      </c>
      <c r="AL58" t="s">
        <v>368</v>
      </c>
      <c r="AM58" t="s">
        <v>123</v>
      </c>
    </row>
    <row r="59" spans="1:39" x14ac:dyDescent="0.2">
      <c r="A59" s="2">
        <v>45030.494745370372</v>
      </c>
      <c r="B59" s="2">
        <v>45030.498055555552</v>
      </c>
      <c r="C59" t="s">
        <v>42</v>
      </c>
      <c r="D59" t="s">
        <v>370</v>
      </c>
      <c r="E59">
        <v>100</v>
      </c>
      <c r="F59">
        <v>286</v>
      </c>
      <c r="G59" t="b">
        <v>1</v>
      </c>
      <c r="H59" s="2">
        <v>45030.498067129629</v>
      </c>
      <c r="I59" t="s">
        <v>371</v>
      </c>
      <c r="N59">
        <v>42.290300000000002</v>
      </c>
      <c r="O59">
        <v>-71.079800000000006</v>
      </c>
      <c r="P59" t="s">
        <v>111</v>
      </c>
      <c r="Q59" t="s">
        <v>112</v>
      </c>
      <c r="R59" t="s">
        <v>372</v>
      </c>
      <c r="S59" t="s">
        <v>114</v>
      </c>
      <c r="W59">
        <v>24</v>
      </c>
      <c r="X59" t="s">
        <v>373</v>
      </c>
      <c r="AA59" t="s">
        <v>374</v>
      </c>
      <c r="AD59">
        <v>500</v>
      </c>
      <c r="AE59">
        <v>10</v>
      </c>
      <c r="AF59" s="4">
        <v>1E-3</v>
      </c>
      <c r="AG59">
        <v>20</v>
      </c>
      <c r="AH59">
        <v>100</v>
      </c>
      <c r="AI59" s="3">
        <v>0.5</v>
      </c>
      <c r="AJ59">
        <v>0.05</v>
      </c>
      <c r="AK59" t="s">
        <v>159</v>
      </c>
      <c r="AL59" t="s">
        <v>372</v>
      </c>
      <c r="AM59" t="s">
        <v>128</v>
      </c>
    </row>
    <row r="60" spans="1:39" x14ac:dyDescent="0.2">
      <c r="A60" s="2">
        <v>45030.494710648149</v>
      </c>
      <c r="B60" s="2">
        <v>45030.498159722221</v>
      </c>
      <c r="C60" t="s">
        <v>42</v>
      </c>
      <c r="D60" t="s">
        <v>375</v>
      </c>
      <c r="E60">
        <v>100</v>
      </c>
      <c r="F60">
        <v>297</v>
      </c>
      <c r="G60" t="b">
        <v>1</v>
      </c>
      <c r="H60" s="2">
        <v>45030.498159722221</v>
      </c>
      <c r="I60" t="s">
        <v>376</v>
      </c>
      <c r="N60">
        <v>33.434199999999997</v>
      </c>
      <c r="O60">
        <v>-111.8454</v>
      </c>
      <c r="P60" t="s">
        <v>111</v>
      </c>
      <c r="Q60" t="s">
        <v>112</v>
      </c>
      <c r="R60" t="s">
        <v>377</v>
      </c>
      <c r="S60" t="s">
        <v>114</v>
      </c>
      <c r="W60">
        <v>70</v>
      </c>
      <c r="X60" t="s">
        <v>378</v>
      </c>
      <c r="Y60">
        <v>2.2999999999999998</v>
      </c>
      <c r="AD60">
        <v>500</v>
      </c>
      <c r="AE60">
        <v>10</v>
      </c>
      <c r="AF60">
        <v>0.01</v>
      </c>
      <c r="AG60">
        <v>20</v>
      </c>
      <c r="AH60">
        <v>100</v>
      </c>
      <c r="AI60">
        <v>18</v>
      </c>
      <c r="AJ60">
        <v>0.05</v>
      </c>
      <c r="AK60" t="s">
        <v>379</v>
      </c>
      <c r="AL60" t="s">
        <v>377</v>
      </c>
      <c r="AM60" t="s">
        <v>117</v>
      </c>
    </row>
    <row r="61" spans="1:39" x14ac:dyDescent="0.2">
      <c r="A61" s="2">
        <v>45030.494490740741</v>
      </c>
      <c r="B61" s="2">
        <v>45030.498287037037</v>
      </c>
      <c r="C61" t="s">
        <v>42</v>
      </c>
      <c r="D61" t="s">
        <v>380</v>
      </c>
      <c r="E61">
        <v>100</v>
      </c>
      <c r="F61">
        <v>328</v>
      </c>
      <c r="G61" t="b">
        <v>1</v>
      </c>
      <c r="H61" s="2">
        <v>45030.498287037037</v>
      </c>
      <c r="I61" t="s">
        <v>381</v>
      </c>
      <c r="N61">
        <v>42.882399999999997</v>
      </c>
      <c r="O61">
        <v>-88.343000000000004</v>
      </c>
      <c r="P61" t="s">
        <v>111</v>
      </c>
      <c r="Q61" t="s">
        <v>112</v>
      </c>
      <c r="R61" t="s">
        <v>382</v>
      </c>
      <c r="S61" t="s">
        <v>114</v>
      </c>
      <c r="W61">
        <v>40</v>
      </c>
      <c r="X61" t="s">
        <v>383</v>
      </c>
      <c r="AA61" t="s">
        <v>384</v>
      </c>
      <c r="AD61">
        <v>500</v>
      </c>
      <c r="AE61">
        <v>10</v>
      </c>
      <c r="AF61" s="4">
        <v>1E-3</v>
      </c>
      <c r="AG61">
        <v>20</v>
      </c>
      <c r="AH61">
        <v>100</v>
      </c>
      <c r="AI61" s="3">
        <v>0.18</v>
      </c>
      <c r="AJ61">
        <v>0.05</v>
      </c>
      <c r="AK61" t="s">
        <v>385</v>
      </c>
      <c r="AL61" t="s">
        <v>382</v>
      </c>
      <c r="AM61" t="s">
        <v>128</v>
      </c>
    </row>
    <row r="62" spans="1:39" x14ac:dyDescent="0.2">
      <c r="A62" s="2">
        <v>45030.494409722225</v>
      </c>
      <c r="B62" s="2">
        <v>45030.498310185183</v>
      </c>
      <c r="C62" t="s">
        <v>42</v>
      </c>
      <c r="D62" t="s">
        <v>386</v>
      </c>
      <c r="E62">
        <v>100</v>
      </c>
      <c r="F62">
        <v>336</v>
      </c>
      <c r="G62" t="b">
        <v>1</v>
      </c>
      <c r="H62" s="2">
        <v>45030.498310185183</v>
      </c>
      <c r="I62" t="s">
        <v>387</v>
      </c>
      <c r="N62">
        <v>30.230399999999999</v>
      </c>
      <c r="O62">
        <v>-97.724299999999999</v>
      </c>
      <c r="P62" t="s">
        <v>111</v>
      </c>
      <c r="Q62" t="s">
        <v>112</v>
      </c>
      <c r="R62" t="s">
        <v>388</v>
      </c>
      <c r="S62" t="s">
        <v>114</v>
      </c>
      <c r="T62">
        <v>21</v>
      </c>
      <c r="U62" t="s">
        <v>389</v>
      </c>
      <c r="W62">
        <v>7</v>
      </c>
      <c r="X62" t="s">
        <v>390</v>
      </c>
      <c r="AD62">
        <v>500</v>
      </c>
      <c r="AE62">
        <v>10</v>
      </c>
      <c r="AF62" s="4">
        <v>1E-3</v>
      </c>
      <c r="AG62">
        <v>20</v>
      </c>
      <c r="AH62">
        <v>100</v>
      </c>
      <c r="AI62" s="3">
        <v>0.9</v>
      </c>
      <c r="AJ62" s="5">
        <v>0.05</v>
      </c>
      <c r="AK62" t="s">
        <v>148</v>
      </c>
      <c r="AL62" t="s">
        <v>388</v>
      </c>
      <c r="AM62" t="s">
        <v>123</v>
      </c>
    </row>
    <row r="63" spans="1:39" x14ac:dyDescent="0.2">
      <c r="A63" s="2">
        <v>45030.492835648147</v>
      </c>
      <c r="B63" s="2">
        <v>45030.498402777775</v>
      </c>
      <c r="C63" t="s">
        <v>42</v>
      </c>
      <c r="D63" t="s">
        <v>391</v>
      </c>
      <c r="E63">
        <v>100</v>
      </c>
      <c r="F63">
        <v>480</v>
      </c>
      <c r="G63" t="b">
        <v>1</v>
      </c>
      <c r="H63" s="2">
        <v>45030.498402777775</v>
      </c>
      <c r="I63" t="s">
        <v>392</v>
      </c>
      <c r="N63">
        <v>45.076900000000002</v>
      </c>
      <c r="O63">
        <v>-93.137200000000007</v>
      </c>
      <c r="P63" t="s">
        <v>111</v>
      </c>
      <c r="Q63" t="s">
        <v>112</v>
      </c>
      <c r="R63" s="6" t="s">
        <v>393</v>
      </c>
      <c r="S63" t="s">
        <v>114</v>
      </c>
      <c r="T63">
        <v>38</v>
      </c>
      <c r="U63" t="s">
        <v>308</v>
      </c>
      <c r="W63">
        <v>34</v>
      </c>
      <c r="X63" t="s">
        <v>394</v>
      </c>
      <c r="AD63">
        <v>500</v>
      </c>
      <c r="AE63">
        <v>10</v>
      </c>
      <c r="AF63" s="3">
        <v>0.01</v>
      </c>
      <c r="AG63">
        <v>5</v>
      </c>
      <c r="AH63">
        <v>100</v>
      </c>
      <c r="AI63" s="3">
        <v>0.1</v>
      </c>
      <c r="AJ63">
        <v>0.1</v>
      </c>
      <c r="AK63">
        <v>5</v>
      </c>
      <c r="AL63" s="6" t="s">
        <v>393</v>
      </c>
      <c r="AM63" t="s">
        <v>123</v>
      </c>
    </row>
    <row r="64" spans="1:39" x14ac:dyDescent="0.2">
      <c r="A64" s="2">
        <v>45030.495983796296</v>
      </c>
      <c r="B64" s="2">
        <v>45030.498402777775</v>
      </c>
      <c r="C64" t="s">
        <v>42</v>
      </c>
      <c r="D64" t="s">
        <v>395</v>
      </c>
      <c r="E64">
        <v>100</v>
      </c>
      <c r="F64">
        <v>208</v>
      </c>
      <c r="G64" t="b">
        <v>1</v>
      </c>
      <c r="H64" s="2">
        <v>45030.498402777775</v>
      </c>
      <c r="I64" t="s">
        <v>396</v>
      </c>
      <c r="N64">
        <v>36.043199999999999</v>
      </c>
      <c r="O64">
        <v>-95.807199999999995</v>
      </c>
      <c r="P64" t="s">
        <v>111</v>
      </c>
      <c r="Q64" t="s">
        <v>112</v>
      </c>
      <c r="R64" t="s">
        <v>397</v>
      </c>
      <c r="S64" t="s">
        <v>114</v>
      </c>
      <c r="T64">
        <v>50</v>
      </c>
      <c r="V64">
        <v>1</v>
      </c>
      <c r="W64">
        <v>50</v>
      </c>
      <c r="X64" t="s">
        <v>398</v>
      </c>
      <c r="AD64">
        <v>500</v>
      </c>
      <c r="AE64">
        <v>1</v>
      </c>
      <c r="AF64">
        <v>1</v>
      </c>
      <c r="AG64">
        <v>20</v>
      </c>
      <c r="AH64">
        <v>10</v>
      </c>
      <c r="AI64">
        <v>10</v>
      </c>
      <c r="AJ64">
        <v>0.1</v>
      </c>
      <c r="AK64">
        <v>100</v>
      </c>
      <c r="AL64" t="s">
        <v>397</v>
      </c>
      <c r="AM64" t="s">
        <v>123</v>
      </c>
    </row>
    <row r="65" spans="1:39" x14ac:dyDescent="0.2">
      <c r="A65" s="2">
        <v>45030.493333333332</v>
      </c>
      <c r="B65" s="2">
        <v>45030.498599537037</v>
      </c>
      <c r="C65" t="s">
        <v>42</v>
      </c>
      <c r="D65" t="s">
        <v>399</v>
      </c>
      <c r="E65">
        <v>100</v>
      </c>
      <c r="F65">
        <v>455</v>
      </c>
      <c r="G65" t="b">
        <v>1</v>
      </c>
      <c r="H65" s="2">
        <v>45030.498611111114</v>
      </c>
      <c r="I65" t="s">
        <v>400</v>
      </c>
      <c r="N65">
        <v>40.3767</v>
      </c>
      <c r="O65">
        <v>-79.811199999999999</v>
      </c>
      <c r="P65" t="s">
        <v>111</v>
      </c>
      <c r="Q65" t="s">
        <v>112</v>
      </c>
      <c r="R65" t="s">
        <v>401</v>
      </c>
      <c r="S65" t="s">
        <v>114</v>
      </c>
      <c r="W65">
        <v>63</v>
      </c>
      <c r="X65" t="s">
        <v>402</v>
      </c>
      <c r="Y65" t="s">
        <v>403</v>
      </c>
      <c r="AD65">
        <v>500</v>
      </c>
      <c r="AE65">
        <v>10</v>
      </c>
      <c r="AF65" s="4">
        <v>1E-3</v>
      </c>
      <c r="AG65">
        <v>20</v>
      </c>
      <c r="AH65">
        <v>100</v>
      </c>
      <c r="AI65" s="3">
        <v>0.5</v>
      </c>
      <c r="AJ65" t="s">
        <v>134</v>
      </c>
      <c r="AK65" t="s">
        <v>404</v>
      </c>
      <c r="AL65" t="s">
        <v>401</v>
      </c>
      <c r="AM65" t="s">
        <v>117</v>
      </c>
    </row>
    <row r="66" spans="1:39" x14ac:dyDescent="0.2">
      <c r="A66" s="2">
        <v>45030.495393518519</v>
      </c>
      <c r="B66" s="2">
        <v>45030.498622685183</v>
      </c>
      <c r="C66" t="s">
        <v>42</v>
      </c>
      <c r="D66" t="s">
        <v>405</v>
      </c>
      <c r="E66">
        <v>100</v>
      </c>
      <c r="F66">
        <v>278</v>
      </c>
      <c r="G66" t="b">
        <v>1</v>
      </c>
      <c r="H66" s="2">
        <v>45030.498622685183</v>
      </c>
      <c r="I66" t="s">
        <v>406</v>
      </c>
      <c r="N66">
        <v>26.297499999999999</v>
      </c>
      <c r="O66">
        <v>-80.181600000000003</v>
      </c>
      <c r="P66" t="s">
        <v>111</v>
      </c>
      <c r="Q66" t="s">
        <v>112</v>
      </c>
      <c r="R66" t="s">
        <v>407</v>
      </c>
      <c r="S66" t="s">
        <v>114</v>
      </c>
      <c r="W66">
        <v>58</v>
      </c>
      <c r="X66" t="s">
        <v>408</v>
      </c>
      <c r="Y66">
        <v>1.5</v>
      </c>
      <c r="AD66">
        <v>6</v>
      </c>
      <c r="AE66">
        <v>1</v>
      </c>
      <c r="AF66">
        <v>1</v>
      </c>
      <c r="AG66">
        <v>20</v>
      </c>
      <c r="AH66">
        <v>100</v>
      </c>
      <c r="AI66" t="s">
        <v>409</v>
      </c>
      <c r="AJ66" t="s">
        <v>241</v>
      </c>
      <c r="AK66" t="s">
        <v>164</v>
      </c>
      <c r="AL66" t="s">
        <v>407</v>
      </c>
      <c r="AM66" t="s">
        <v>117</v>
      </c>
    </row>
    <row r="67" spans="1:39" x14ac:dyDescent="0.2">
      <c r="A67" s="2">
        <v>45030.493784722225</v>
      </c>
      <c r="B67" s="2">
        <v>45030.498715277776</v>
      </c>
      <c r="C67" t="s">
        <v>42</v>
      </c>
      <c r="D67" t="s">
        <v>410</v>
      </c>
      <c r="E67">
        <v>100</v>
      </c>
      <c r="F67">
        <v>426</v>
      </c>
      <c r="G67" t="b">
        <v>1</v>
      </c>
      <c r="H67" s="2">
        <v>45030.498726851853</v>
      </c>
      <c r="I67" t="s">
        <v>411</v>
      </c>
      <c r="N67">
        <v>40.792400000000001</v>
      </c>
      <c r="O67">
        <v>-74.009600000000006</v>
      </c>
      <c r="P67" t="s">
        <v>111</v>
      </c>
      <c r="Q67" t="s">
        <v>112</v>
      </c>
      <c r="R67" t="s">
        <v>412</v>
      </c>
      <c r="S67" t="s">
        <v>114</v>
      </c>
      <c r="W67">
        <v>0</v>
      </c>
      <c r="X67" t="s">
        <v>413</v>
      </c>
      <c r="AA67">
        <v>3</v>
      </c>
      <c r="AD67">
        <v>500</v>
      </c>
      <c r="AE67">
        <v>10</v>
      </c>
      <c r="AF67">
        <v>0.1</v>
      </c>
      <c r="AG67" s="3">
        <v>0.2</v>
      </c>
      <c r="AH67">
        <v>100</v>
      </c>
      <c r="AI67" s="3">
        <v>0.1</v>
      </c>
      <c r="AJ67">
        <v>0.05</v>
      </c>
      <c r="AK67">
        <v>5</v>
      </c>
      <c r="AL67" t="s">
        <v>412</v>
      </c>
      <c r="AM67" t="s">
        <v>128</v>
      </c>
    </row>
    <row r="68" spans="1:39" x14ac:dyDescent="0.2">
      <c r="A68" s="2">
        <v>45030.493819444448</v>
      </c>
      <c r="B68" s="2">
        <v>45030.499097222222</v>
      </c>
      <c r="C68" t="s">
        <v>42</v>
      </c>
      <c r="D68" t="s">
        <v>414</v>
      </c>
      <c r="E68">
        <v>100</v>
      </c>
      <c r="F68">
        <v>456</v>
      </c>
      <c r="G68" t="b">
        <v>1</v>
      </c>
      <c r="H68" s="2">
        <v>45030.499108796299</v>
      </c>
      <c r="I68" t="s">
        <v>415</v>
      </c>
      <c r="N68">
        <v>42.563899999999997</v>
      </c>
      <c r="O68">
        <v>-70.946299999999994</v>
      </c>
      <c r="P68" t="s">
        <v>111</v>
      </c>
      <c r="Q68" t="s">
        <v>112</v>
      </c>
      <c r="R68" t="s">
        <v>416</v>
      </c>
      <c r="S68" t="s">
        <v>114</v>
      </c>
      <c r="W68">
        <v>3</v>
      </c>
      <c r="X68" t="s">
        <v>417</v>
      </c>
      <c r="Y68">
        <v>0.5</v>
      </c>
      <c r="AD68">
        <v>500</v>
      </c>
      <c r="AE68">
        <v>10</v>
      </c>
      <c r="AF68" s="4">
        <v>1E-3</v>
      </c>
      <c r="AG68" s="3">
        <v>0.2</v>
      </c>
      <c r="AH68">
        <v>100</v>
      </c>
      <c r="AI68" s="3">
        <v>0.9</v>
      </c>
      <c r="AJ68">
        <v>0.05</v>
      </c>
      <c r="AK68" t="s">
        <v>159</v>
      </c>
      <c r="AL68" t="s">
        <v>416</v>
      </c>
      <c r="AM68" t="s">
        <v>117</v>
      </c>
    </row>
    <row r="69" spans="1:39" x14ac:dyDescent="0.2">
      <c r="A69" s="2">
        <v>45030.494988425926</v>
      </c>
      <c r="B69" s="2">
        <v>45030.499143518522</v>
      </c>
      <c r="C69" t="s">
        <v>42</v>
      </c>
      <c r="D69" t="s">
        <v>418</v>
      </c>
      <c r="E69">
        <v>100</v>
      </c>
      <c r="F69">
        <v>358</v>
      </c>
      <c r="G69" t="b">
        <v>1</v>
      </c>
      <c r="H69" s="2">
        <v>45030.499143518522</v>
      </c>
      <c r="I69" t="s">
        <v>419</v>
      </c>
      <c r="N69">
        <v>28.552099999999999</v>
      </c>
      <c r="O69">
        <v>-81.301000000000002</v>
      </c>
      <c r="P69" t="s">
        <v>111</v>
      </c>
      <c r="Q69" t="s">
        <v>112</v>
      </c>
      <c r="R69" t="s">
        <v>420</v>
      </c>
      <c r="S69" t="s">
        <v>114</v>
      </c>
      <c r="W69">
        <v>62</v>
      </c>
      <c r="X69" t="s">
        <v>421</v>
      </c>
      <c r="AB69">
        <v>0.4</v>
      </c>
      <c r="AD69">
        <v>500</v>
      </c>
      <c r="AE69">
        <v>10</v>
      </c>
      <c r="AF69" s="4">
        <v>1E-3</v>
      </c>
      <c r="AG69" s="3">
        <v>0.2</v>
      </c>
      <c r="AH69">
        <v>10</v>
      </c>
      <c r="AI69" s="3">
        <v>0.5</v>
      </c>
      <c r="AJ69" s="5">
        <v>0.1</v>
      </c>
      <c r="AK69" t="s">
        <v>164</v>
      </c>
      <c r="AL69" t="s">
        <v>420</v>
      </c>
      <c r="AM69" t="s">
        <v>135</v>
      </c>
    </row>
    <row r="70" spans="1:39" x14ac:dyDescent="0.2">
      <c r="A70" s="2">
        <v>45030.495451388888</v>
      </c>
      <c r="B70" s="2">
        <v>45030.499178240738</v>
      </c>
      <c r="C70" t="s">
        <v>42</v>
      </c>
      <c r="D70" t="s">
        <v>422</v>
      </c>
      <c r="E70">
        <v>100</v>
      </c>
      <c r="F70">
        <v>322</v>
      </c>
      <c r="G70" t="b">
        <v>1</v>
      </c>
      <c r="H70" s="2">
        <v>45030.499178240738</v>
      </c>
      <c r="I70" t="s">
        <v>423</v>
      </c>
      <c r="N70">
        <v>26.9146</v>
      </c>
      <c r="O70">
        <v>-82.055899999999994</v>
      </c>
      <c r="P70" t="s">
        <v>111</v>
      </c>
      <c r="Q70" t="s">
        <v>112</v>
      </c>
      <c r="R70" t="s">
        <v>424</v>
      </c>
      <c r="S70" t="s">
        <v>114</v>
      </c>
      <c r="W70">
        <v>80</v>
      </c>
      <c r="X70" t="s">
        <v>425</v>
      </c>
      <c r="Z70">
        <v>1</v>
      </c>
      <c r="AD70">
        <v>6</v>
      </c>
      <c r="AE70">
        <v>10</v>
      </c>
      <c r="AF70">
        <v>10</v>
      </c>
      <c r="AG70">
        <v>5</v>
      </c>
      <c r="AH70">
        <v>200</v>
      </c>
      <c r="AI70">
        <v>9</v>
      </c>
      <c r="AJ70">
        <v>0.5</v>
      </c>
      <c r="AK70">
        <v>100</v>
      </c>
      <c r="AL70" t="s">
        <v>424</v>
      </c>
      <c r="AM70" t="s">
        <v>128</v>
      </c>
    </row>
    <row r="71" spans="1:39" x14ac:dyDescent="0.2">
      <c r="A71" s="2">
        <v>45030.491111111114</v>
      </c>
      <c r="B71" s="2">
        <v>45030.499212962961</v>
      </c>
      <c r="C71" t="s">
        <v>42</v>
      </c>
      <c r="D71" t="s">
        <v>426</v>
      </c>
      <c r="E71">
        <v>100</v>
      </c>
      <c r="F71">
        <v>699</v>
      </c>
      <c r="G71" t="b">
        <v>1</v>
      </c>
      <c r="H71" s="2">
        <v>45030.499224537038</v>
      </c>
      <c r="I71" t="s">
        <v>427</v>
      </c>
      <c r="N71">
        <v>44.994799999999998</v>
      </c>
      <c r="O71">
        <v>-93.254800000000003</v>
      </c>
      <c r="P71" t="s">
        <v>111</v>
      </c>
      <c r="Q71" t="s">
        <v>112</v>
      </c>
      <c r="R71" t="s">
        <v>428</v>
      </c>
      <c r="S71" t="s">
        <v>114</v>
      </c>
      <c r="T71">
        <v>10</v>
      </c>
      <c r="U71">
        <v>1.5</v>
      </c>
      <c r="W71">
        <v>30</v>
      </c>
      <c r="X71" t="s">
        <v>429</v>
      </c>
      <c r="AD71">
        <v>500</v>
      </c>
      <c r="AE71">
        <v>10</v>
      </c>
      <c r="AF71" s="4">
        <v>1E-3</v>
      </c>
      <c r="AG71">
        <v>20</v>
      </c>
      <c r="AH71">
        <v>10</v>
      </c>
      <c r="AI71" s="3">
        <v>0.9</v>
      </c>
      <c r="AJ71" s="5">
        <v>0.05</v>
      </c>
      <c r="AK71" t="s">
        <v>159</v>
      </c>
      <c r="AL71" t="s">
        <v>428</v>
      </c>
      <c r="AM71" t="s">
        <v>123</v>
      </c>
    </row>
    <row r="72" spans="1:39" x14ac:dyDescent="0.2">
      <c r="A72" s="2">
        <v>45030.496053240742</v>
      </c>
      <c r="B72" s="2">
        <v>45030.499479166669</v>
      </c>
      <c r="C72" t="s">
        <v>42</v>
      </c>
      <c r="D72" t="s">
        <v>430</v>
      </c>
      <c r="E72">
        <v>100</v>
      </c>
      <c r="F72">
        <v>296</v>
      </c>
      <c r="G72" t="b">
        <v>1</v>
      </c>
      <c r="H72" s="2">
        <v>45030.499490740738</v>
      </c>
      <c r="I72" t="s">
        <v>431</v>
      </c>
      <c r="N72">
        <v>35.2316</v>
      </c>
      <c r="O72">
        <v>-80.842799999999997</v>
      </c>
      <c r="P72" t="s">
        <v>111</v>
      </c>
      <c r="Q72" t="s">
        <v>112</v>
      </c>
      <c r="R72" s="6" t="s">
        <v>432</v>
      </c>
      <c r="S72" t="s">
        <v>114</v>
      </c>
      <c r="W72">
        <v>0</v>
      </c>
      <c r="X72" t="s">
        <v>433</v>
      </c>
      <c r="AA72">
        <v>5</v>
      </c>
      <c r="AD72">
        <v>500</v>
      </c>
      <c r="AE72">
        <v>10</v>
      </c>
      <c r="AF72">
        <v>1</v>
      </c>
      <c r="AG72">
        <v>5</v>
      </c>
      <c r="AH72">
        <v>100</v>
      </c>
      <c r="AI72">
        <v>1</v>
      </c>
      <c r="AJ72">
        <v>0.1</v>
      </c>
      <c r="AK72">
        <v>5</v>
      </c>
      <c r="AL72" s="6" t="s">
        <v>432</v>
      </c>
      <c r="AM72" t="s">
        <v>128</v>
      </c>
    </row>
    <row r="73" spans="1:39" x14ac:dyDescent="0.2">
      <c r="A73" s="2">
        <v>45030.496759259258</v>
      </c>
      <c r="B73" s="2">
        <v>45030.499594907407</v>
      </c>
      <c r="C73" t="s">
        <v>42</v>
      </c>
      <c r="D73" t="s">
        <v>434</v>
      </c>
      <c r="E73">
        <v>100</v>
      </c>
      <c r="F73">
        <v>245</v>
      </c>
      <c r="G73" t="b">
        <v>1</v>
      </c>
      <c r="H73" s="2">
        <v>45030.499606481484</v>
      </c>
      <c r="I73" t="s">
        <v>435</v>
      </c>
      <c r="N73">
        <v>33.447499999999998</v>
      </c>
      <c r="O73">
        <v>-112.0866</v>
      </c>
      <c r="P73" t="s">
        <v>111</v>
      </c>
      <c r="Q73" t="s">
        <v>112</v>
      </c>
      <c r="R73" t="s">
        <v>436</v>
      </c>
      <c r="S73" t="s">
        <v>114</v>
      </c>
      <c r="T73">
        <v>0</v>
      </c>
      <c r="U73">
        <v>1</v>
      </c>
      <c r="W73">
        <v>0</v>
      </c>
      <c r="X73" t="s">
        <v>437</v>
      </c>
      <c r="AD73">
        <v>500</v>
      </c>
      <c r="AE73">
        <v>10</v>
      </c>
      <c r="AF73">
        <v>1E-3</v>
      </c>
      <c r="AG73">
        <v>20</v>
      </c>
      <c r="AH73">
        <v>100</v>
      </c>
      <c r="AI73">
        <v>10</v>
      </c>
      <c r="AJ73">
        <v>0.1</v>
      </c>
      <c r="AK73" t="s">
        <v>159</v>
      </c>
      <c r="AL73" t="s">
        <v>436</v>
      </c>
      <c r="AM73" t="s">
        <v>123</v>
      </c>
    </row>
    <row r="74" spans="1:39" x14ac:dyDescent="0.2">
      <c r="A74" s="2">
        <v>45030.496006944442</v>
      </c>
      <c r="B74" s="2">
        <v>45030.4997337963</v>
      </c>
      <c r="C74" t="s">
        <v>42</v>
      </c>
      <c r="D74" t="s">
        <v>438</v>
      </c>
      <c r="E74">
        <v>100</v>
      </c>
      <c r="F74">
        <v>322</v>
      </c>
      <c r="G74" t="b">
        <v>1</v>
      </c>
      <c r="H74" s="2">
        <v>45030.499745370369</v>
      </c>
      <c r="I74" t="s">
        <v>439</v>
      </c>
      <c r="N74">
        <v>41.913699999999999</v>
      </c>
      <c r="O74">
        <v>-70.639300000000006</v>
      </c>
      <c r="P74" t="s">
        <v>111</v>
      </c>
      <c r="Q74" t="s">
        <v>112</v>
      </c>
      <c r="R74" t="s">
        <v>440</v>
      </c>
      <c r="S74" t="s">
        <v>114</v>
      </c>
      <c r="W74">
        <v>51</v>
      </c>
      <c r="X74" t="s">
        <v>441</v>
      </c>
      <c r="AB74">
        <v>1</v>
      </c>
      <c r="AD74">
        <v>500</v>
      </c>
      <c r="AE74">
        <v>10</v>
      </c>
      <c r="AF74" s="4">
        <v>1E-3</v>
      </c>
      <c r="AG74">
        <v>20</v>
      </c>
      <c r="AH74">
        <v>100</v>
      </c>
      <c r="AI74" s="3">
        <v>0.1</v>
      </c>
      <c r="AJ74">
        <v>0.05</v>
      </c>
      <c r="AK74" t="s">
        <v>404</v>
      </c>
      <c r="AL74" t="s">
        <v>440</v>
      </c>
      <c r="AM74" t="s">
        <v>135</v>
      </c>
    </row>
    <row r="75" spans="1:39" x14ac:dyDescent="0.2">
      <c r="A75" s="2">
        <v>45030.49832175926</v>
      </c>
      <c r="B75" s="2">
        <v>45030.499745370369</v>
      </c>
      <c r="C75" t="s">
        <v>42</v>
      </c>
      <c r="D75" t="s">
        <v>442</v>
      </c>
      <c r="E75">
        <v>100</v>
      </c>
      <c r="F75">
        <v>123</v>
      </c>
      <c r="G75" t="b">
        <v>1</v>
      </c>
      <c r="H75" s="2">
        <v>45030.499745370369</v>
      </c>
      <c r="I75" t="s">
        <v>443</v>
      </c>
      <c r="N75">
        <v>40.7637</v>
      </c>
      <c r="O75">
        <v>-73.769499999999994</v>
      </c>
      <c r="P75" t="s">
        <v>111</v>
      </c>
      <c r="Q75" t="s">
        <v>112</v>
      </c>
      <c r="R75" t="s">
        <v>444</v>
      </c>
      <c r="S75" t="s">
        <v>114</v>
      </c>
      <c r="W75">
        <v>20</v>
      </c>
      <c r="X75" t="s">
        <v>445</v>
      </c>
      <c r="AC75">
        <v>1.2</v>
      </c>
      <c r="AD75">
        <v>500</v>
      </c>
      <c r="AE75">
        <v>10</v>
      </c>
      <c r="AF75">
        <v>0.01</v>
      </c>
      <c r="AG75">
        <v>20</v>
      </c>
      <c r="AH75">
        <v>100</v>
      </c>
      <c r="AI75">
        <v>90</v>
      </c>
      <c r="AJ75">
        <v>0.05</v>
      </c>
      <c r="AK75">
        <v>5</v>
      </c>
      <c r="AL75" t="s">
        <v>444</v>
      </c>
      <c r="AM75" t="s">
        <v>135</v>
      </c>
    </row>
    <row r="76" spans="1:39" x14ac:dyDescent="0.2">
      <c r="A76" s="2">
        <v>45030.496388888889</v>
      </c>
      <c r="B76" s="2">
        <v>45030.499814814815</v>
      </c>
      <c r="C76" t="s">
        <v>42</v>
      </c>
      <c r="D76" t="s">
        <v>446</v>
      </c>
      <c r="E76">
        <v>100</v>
      </c>
      <c r="F76">
        <v>295</v>
      </c>
      <c r="G76" t="b">
        <v>1</v>
      </c>
      <c r="H76" s="2">
        <v>45030.499814814815</v>
      </c>
      <c r="I76" t="s">
        <v>447</v>
      </c>
      <c r="N76">
        <v>39.953400000000002</v>
      </c>
      <c r="O76">
        <v>-76.794200000000004</v>
      </c>
      <c r="P76" t="s">
        <v>111</v>
      </c>
      <c r="Q76" t="s">
        <v>112</v>
      </c>
      <c r="R76" t="s">
        <v>448</v>
      </c>
      <c r="S76" t="s">
        <v>114</v>
      </c>
      <c r="T76">
        <v>84</v>
      </c>
      <c r="V76" t="s">
        <v>449</v>
      </c>
      <c r="W76">
        <v>20</v>
      </c>
      <c r="X76" t="s">
        <v>450</v>
      </c>
      <c r="AD76">
        <v>500</v>
      </c>
      <c r="AE76">
        <v>10</v>
      </c>
      <c r="AF76" t="s">
        <v>451</v>
      </c>
      <c r="AG76" s="3">
        <v>0.2</v>
      </c>
      <c r="AH76">
        <v>100</v>
      </c>
      <c r="AI76" s="3">
        <v>0.05</v>
      </c>
      <c r="AJ76" t="s">
        <v>241</v>
      </c>
      <c r="AK76" t="s">
        <v>452</v>
      </c>
      <c r="AL76" t="s">
        <v>448</v>
      </c>
      <c r="AM76" t="s">
        <v>123</v>
      </c>
    </row>
    <row r="77" spans="1:39" x14ac:dyDescent="0.2">
      <c r="A77" s="2">
        <v>45030.489444444444</v>
      </c>
      <c r="B77" s="2">
        <v>45030.499861111108</v>
      </c>
      <c r="C77" t="s">
        <v>42</v>
      </c>
      <c r="D77" t="s">
        <v>453</v>
      </c>
      <c r="E77">
        <v>100</v>
      </c>
      <c r="F77">
        <v>899</v>
      </c>
      <c r="G77" t="b">
        <v>1</v>
      </c>
      <c r="H77" s="2">
        <v>45030.499861111108</v>
      </c>
      <c r="I77" t="s">
        <v>454</v>
      </c>
      <c r="N77">
        <v>34.065100000000001</v>
      </c>
      <c r="O77">
        <v>-81.028099999999995</v>
      </c>
      <c r="P77" t="s">
        <v>111</v>
      </c>
      <c r="Q77" t="s">
        <v>112</v>
      </c>
      <c r="R77" t="s">
        <v>455</v>
      </c>
      <c r="S77" t="s">
        <v>114</v>
      </c>
      <c r="W77">
        <v>80</v>
      </c>
      <c r="X77" t="s">
        <v>456</v>
      </c>
      <c r="Z77">
        <v>0.5</v>
      </c>
      <c r="AD77">
        <v>500</v>
      </c>
      <c r="AE77">
        <v>10</v>
      </c>
      <c r="AF77">
        <v>0.1</v>
      </c>
      <c r="AG77">
        <v>20</v>
      </c>
      <c r="AH77">
        <v>100</v>
      </c>
      <c r="AI77" s="3">
        <v>0.9</v>
      </c>
      <c r="AJ77">
        <v>0.05</v>
      </c>
      <c r="AK77" t="s">
        <v>159</v>
      </c>
      <c r="AL77" t="s">
        <v>455</v>
      </c>
      <c r="AM77" t="s">
        <v>128</v>
      </c>
    </row>
    <row r="78" spans="1:39" x14ac:dyDescent="0.2">
      <c r="A78" s="2">
        <v>45030.496886574074</v>
      </c>
      <c r="B78" s="2">
        <v>45030.500219907408</v>
      </c>
      <c r="C78" t="s">
        <v>42</v>
      </c>
      <c r="D78" t="s">
        <v>457</v>
      </c>
      <c r="E78">
        <v>100</v>
      </c>
      <c r="F78">
        <v>287</v>
      </c>
      <c r="G78" t="b">
        <v>1</v>
      </c>
      <c r="H78" s="2">
        <v>45030.500231481485</v>
      </c>
      <c r="I78" t="s">
        <v>458</v>
      </c>
      <c r="N78">
        <v>42.558300000000003</v>
      </c>
      <c r="O78">
        <v>-70.878200000000007</v>
      </c>
      <c r="P78" t="s">
        <v>111</v>
      </c>
      <c r="Q78" t="s">
        <v>112</v>
      </c>
      <c r="R78" t="s">
        <v>459</v>
      </c>
      <c r="S78" t="s">
        <v>114</v>
      </c>
      <c r="W78">
        <v>10</v>
      </c>
      <c r="X78" t="s">
        <v>460</v>
      </c>
      <c r="Y78">
        <v>2.5</v>
      </c>
      <c r="AD78">
        <v>500</v>
      </c>
      <c r="AE78">
        <v>10</v>
      </c>
      <c r="AF78" s="4">
        <v>1.0000000000000001E-5</v>
      </c>
      <c r="AG78">
        <v>20</v>
      </c>
      <c r="AH78">
        <v>100</v>
      </c>
      <c r="AI78" s="3">
        <v>0.1</v>
      </c>
      <c r="AJ78">
        <v>0.1</v>
      </c>
      <c r="AK78">
        <v>100</v>
      </c>
      <c r="AL78" t="s">
        <v>459</v>
      </c>
      <c r="AM78" t="s">
        <v>117</v>
      </c>
    </row>
    <row r="79" spans="1:39" x14ac:dyDescent="0.2">
      <c r="A79" s="2">
        <v>45030.494386574072</v>
      </c>
      <c r="B79" s="2">
        <v>45030.500416666669</v>
      </c>
      <c r="C79" t="s">
        <v>42</v>
      </c>
      <c r="D79" t="s">
        <v>461</v>
      </c>
      <c r="E79">
        <v>100</v>
      </c>
      <c r="F79">
        <v>520</v>
      </c>
      <c r="G79" t="b">
        <v>1</v>
      </c>
      <c r="H79" s="2">
        <v>45030.500416666669</v>
      </c>
      <c r="I79" t="s">
        <v>462</v>
      </c>
      <c r="N79">
        <v>42.058100000000003</v>
      </c>
      <c r="O79">
        <v>-86.480800000000002</v>
      </c>
      <c r="P79" t="s">
        <v>111</v>
      </c>
      <c r="Q79" t="s">
        <v>112</v>
      </c>
      <c r="R79" t="s">
        <v>463</v>
      </c>
      <c r="S79" t="s">
        <v>114</v>
      </c>
      <c r="W79">
        <v>10</v>
      </c>
      <c r="X79" t="s">
        <v>464</v>
      </c>
      <c r="AC79">
        <v>3</v>
      </c>
      <c r="AD79">
        <v>500</v>
      </c>
      <c r="AE79">
        <v>10</v>
      </c>
      <c r="AF79">
        <v>0.1</v>
      </c>
      <c r="AG79">
        <v>20</v>
      </c>
      <c r="AH79">
        <v>100</v>
      </c>
      <c r="AI79">
        <v>95</v>
      </c>
      <c r="AJ79">
        <v>0.1</v>
      </c>
      <c r="AK79">
        <v>1</v>
      </c>
      <c r="AL79" t="s">
        <v>463</v>
      </c>
      <c r="AM79" t="s">
        <v>135</v>
      </c>
    </row>
    <row r="80" spans="1:39" x14ac:dyDescent="0.2">
      <c r="A80" s="2">
        <v>45030.496990740743</v>
      </c>
      <c r="B80" s="2">
        <v>45030.500439814816</v>
      </c>
      <c r="C80" t="s">
        <v>42</v>
      </c>
      <c r="D80" t="s">
        <v>465</v>
      </c>
      <c r="E80">
        <v>100</v>
      </c>
      <c r="F80">
        <v>297</v>
      </c>
      <c r="G80" t="b">
        <v>1</v>
      </c>
      <c r="H80" s="2">
        <v>45030.500451388885</v>
      </c>
      <c r="I80" t="s">
        <v>466</v>
      </c>
      <c r="N80">
        <v>40.558500000000002</v>
      </c>
      <c r="O80">
        <v>-122.4139</v>
      </c>
      <c r="P80" t="s">
        <v>111</v>
      </c>
      <c r="Q80" t="s">
        <v>112</v>
      </c>
      <c r="R80" t="s">
        <v>467</v>
      </c>
      <c r="S80" t="s">
        <v>114</v>
      </c>
      <c r="W80">
        <v>75</v>
      </c>
      <c r="X80" t="s">
        <v>468</v>
      </c>
      <c r="Z80">
        <v>3</v>
      </c>
      <c r="AD80">
        <v>500</v>
      </c>
      <c r="AE80">
        <v>5</v>
      </c>
      <c r="AF80">
        <v>10</v>
      </c>
      <c r="AG80">
        <v>25</v>
      </c>
      <c r="AH80">
        <v>100</v>
      </c>
      <c r="AI80">
        <v>50</v>
      </c>
      <c r="AJ80">
        <v>10</v>
      </c>
      <c r="AK80">
        <v>100</v>
      </c>
      <c r="AL80" t="s">
        <v>467</v>
      </c>
      <c r="AM80" t="s">
        <v>128</v>
      </c>
    </row>
    <row r="81" spans="1:39" x14ac:dyDescent="0.2">
      <c r="A81" s="2">
        <v>45030.496504629627</v>
      </c>
      <c r="B81" s="2">
        <v>45030.500520833331</v>
      </c>
      <c r="C81" t="s">
        <v>42</v>
      </c>
      <c r="D81" t="s">
        <v>469</v>
      </c>
      <c r="E81">
        <v>100</v>
      </c>
      <c r="F81">
        <v>347</v>
      </c>
      <c r="G81" t="b">
        <v>1</v>
      </c>
      <c r="H81" s="2">
        <v>45030.500543981485</v>
      </c>
      <c r="I81" t="s">
        <v>470</v>
      </c>
      <c r="N81">
        <v>35.061399999999999</v>
      </c>
      <c r="O81">
        <v>-85.247799999999998</v>
      </c>
      <c r="P81" t="s">
        <v>111</v>
      </c>
      <c r="Q81" t="s">
        <v>112</v>
      </c>
      <c r="R81" t="s">
        <v>471</v>
      </c>
      <c r="S81" t="s">
        <v>114</v>
      </c>
      <c r="W81">
        <v>40</v>
      </c>
      <c r="X81" t="s">
        <v>472</v>
      </c>
      <c r="Y81">
        <v>0.5</v>
      </c>
      <c r="AD81">
        <v>500</v>
      </c>
      <c r="AE81">
        <v>10</v>
      </c>
      <c r="AF81">
        <v>0.01</v>
      </c>
      <c r="AG81">
        <v>20</v>
      </c>
      <c r="AH81">
        <v>100</v>
      </c>
      <c r="AI81">
        <v>9</v>
      </c>
      <c r="AJ81">
        <v>0.1</v>
      </c>
      <c r="AK81" t="s">
        <v>164</v>
      </c>
      <c r="AL81" t="s">
        <v>471</v>
      </c>
      <c r="AM81" t="s">
        <v>117</v>
      </c>
    </row>
    <row r="82" spans="1:39" x14ac:dyDescent="0.2">
      <c r="A82" s="2">
        <v>45030.496319444443</v>
      </c>
      <c r="B82" s="2">
        <v>45030.500752314816</v>
      </c>
      <c r="C82" t="s">
        <v>42</v>
      </c>
      <c r="D82" t="s">
        <v>473</v>
      </c>
      <c r="E82">
        <v>100</v>
      </c>
      <c r="F82">
        <v>382</v>
      </c>
      <c r="G82" t="b">
        <v>1</v>
      </c>
      <c r="H82" s="2">
        <v>45030.500763888886</v>
      </c>
      <c r="I82" t="s">
        <v>474</v>
      </c>
      <c r="N82">
        <v>39.082799999999999</v>
      </c>
      <c r="O82">
        <v>-77.167400000000001</v>
      </c>
      <c r="P82" t="s">
        <v>111</v>
      </c>
      <c r="Q82" t="s">
        <v>112</v>
      </c>
      <c r="R82" t="s">
        <v>475</v>
      </c>
      <c r="S82" t="s">
        <v>114</v>
      </c>
      <c r="W82">
        <v>10</v>
      </c>
      <c r="X82" t="s">
        <v>476</v>
      </c>
      <c r="AC82">
        <v>3</v>
      </c>
      <c r="AD82">
        <v>500</v>
      </c>
      <c r="AE82">
        <v>10</v>
      </c>
      <c r="AF82">
        <v>0.1</v>
      </c>
      <c r="AG82">
        <v>20</v>
      </c>
      <c r="AH82">
        <v>100</v>
      </c>
      <c r="AI82">
        <v>50</v>
      </c>
      <c r="AJ82">
        <v>0.05</v>
      </c>
      <c r="AK82" t="s">
        <v>159</v>
      </c>
      <c r="AL82" t="s">
        <v>475</v>
      </c>
      <c r="AM82" t="s">
        <v>135</v>
      </c>
    </row>
    <row r="83" spans="1:39" x14ac:dyDescent="0.2">
      <c r="A83" s="2">
        <v>45030.497349537036</v>
      </c>
      <c r="B83" s="2">
        <v>45030.500821759262</v>
      </c>
      <c r="C83" t="s">
        <v>42</v>
      </c>
      <c r="D83" t="s">
        <v>477</v>
      </c>
      <c r="E83">
        <v>100</v>
      </c>
      <c r="F83">
        <v>299</v>
      </c>
      <c r="G83" t="b">
        <v>1</v>
      </c>
      <c r="H83" s="2">
        <v>45030.500821759262</v>
      </c>
      <c r="I83" t="s">
        <v>478</v>
      </c>
      <c r="N83">
        <v>40.760899999999999</v>
      </c>
      <c r="O83">
        <v>-73.911500000000004</v>
      </c>
      <c r="P83" t="s">
        <v>111</v>
      </c>
      <c r="Q83" t="s">
        <v>112</v>
      </c>
      <c r="R83" t="s">
        <v>479</v>
      </c>
      <c r="S83" t="s">
        <v>114</v>
      </c>
      <c r="T83">
        <v>35</v>
      </c>
      <c r="U83">
        <v>2</v>
      </c>
      <c r="W83">
        <v>30</v>
      </c>
      <c r="X83" t="s">
        <v>480</v>
      </c>
      <c r="AD83">
        <v>500</v>
      </c>
      <c r="AE83">
        <v>1</v>
      </c>
      <c r="AF83">
        <v>5</v>
      </c>
      <c r="AG83">
        <v>25</v>
      </c>
      <c r="AH83">
        <v>1</v>
      </c>
      <c r="AI83">
        <v>15</v>
      </c>
      <c r="AJ83">
        <v>0.5</v>
      </c>
      <c r="AK83">
        <v>25</v>
      </c>
      <c r="AL83" t="s">
        <v>479</v>
      </c>
      <c r="AM83" t="s">
        <v>123</v>
      </c>
    </row>
    <row r="84" spans="1:39" x14ac:dyDescent="0.2">
      <c r="A84" s="2">
        <v>45030.49895833333</v>
      </c>
      <c r="B84" s="2">
        <v>45030.500856481478</v>
      </c>
      <c r="C84" t="s">
        <v>42</v>
      </c>
      <c r="D84" t="s">
        <v>481</v>
      </c>
      <c r="E84">
        <v>100</v>
      </c>
      <c r="F84">
        <v>163</v>
      </c>
      <c r="G84" t="b">
        <v>1</v>
      </c>
      <c r="H84" s="2">
        <v>45030.500856481478</v>
      </c>
      <c r="I84" t="s">
        <v>482</v>
      </c>
      <c r="N84">
        <v>41.384700000000002</v>
      </c>
      <c r="O84">
        <v>-81.798199999999994</v>
      </c>
      <c r="P84" t="s">
        <v>111</v>
      </c>
      <c r="Q84" t="s">
        <v>112</v>
      </c>
      <c r="R84" t="s">
        <v>483</v>
      </c>
      <c r="S84" t="s">
        <v>114</v>
      </c>
      <c r="W84">
        <v>15</v>
      </c>
      <c r="X84" t="s">
        <v>484</v>
      </c>
      <c r="Y84">
        <v>3</v>
      </c>
      <c r="AD84">
        <v>500</v>
      </c>
      <c r="AE84">
        <v>10</v>
      </c>
      <c r="AF84">
        <v>0.01</v>
      </c>
      <c r="AG84">
        <v>20</v>
      </c>
      <c r="AH84">
        <v>100</v>
      </c>
      <c r="AI84">
        <v>9</v>
      </c>
      <c r="AJ84">
        <v>0.1</v>
      </c>
      <c r="AK84">
        <v>100</v>
      </c>
      <c r="AL84" t="s">
        <v>483</v>
      </c>
      <c r="AM84" t="s">
        <v>117</v>
      </c>
    </row>
    <row r="85" spans="1:39" x14ac:dyDescent="0.2">
      <c r="A85" s="2">
        <v>45030.498171296298</v>
      </c>
      <c r="B85" s="2">
        <v>45030.500902777778</v>
      </c>
      <c r="C85" t="s">
        <v>42</v>
      </c>
      <c r="D85" t="s">
        <v>485</v>
      </c>
      <c r="E85">
        <v>100</v>
      </c>
      <c r="F85">
        <v>236</v>
      </c>
      <c r="G85" t="b">
        <v>1</v>
      </c>
      <c r="H85" s="2">
        <v>45030.500902777778</v>
      </c>
      <c r="I85" t="s">
        <v>486</v>
      </c>
      <c r="N85">
        <v>40.888100000000001</v>
      </c>
      <c r="O85">
        <v>-73.841399999999993</v>
      </c>
      <c r="P85" t="s">
        <v>111</v>
      </c>
      <c r="Q85" t="s">
        <v>112</v>
      </c>
      <c r="R85" t="s">
        <v>487</v>
      </c>
      <c r="S85" t="s">
        <v>114</v>
      </c>
      <c r="W85">
        <v>26</v>
      </c>
      <c r="X85" t="s">
        <v>488</v>
      </c>
      <c r="Y85">
        <v>1.5</v>
      </c>
      <c r="AD85">
        <v>600</v>
      </c>
      <c r="AE85">
        <v>0.1</v>
      </c>
      <c r="AF85">
        <v>1</v>
      </c>
      <c r="AG85">
        <v>0.02</v>
      </c>
      <c r="AH85">
        <v>1</v>
      </c>
      <c r="AI85" t="s">
        <v>489</v>
      </c>
      <c r="AJ85">
        <v>0.1</v>
      </c>
      <c r="AK85">
        <v>100</v>
      </c>
      <c r="AL85" t="s">
        <v>487</v>
      </c>
      <c r="AM85" t="s">
        <v>117</v>
      </c>
    </row>
    <row r="86" spans="1:39" x14ac:dyDescent="0.2">
      <c r="A86" s="2">
        <v>45030.49695601852</v>
      </c>
      <c r="B86" s="2">
        <v>45030.500902777778</v>
      </c>
      <c r="C86" t="s">
        <v>42</v>
      </c>
      <c r="D86" t="s">
        <v>490</v>
      </c>
      <c r="E86">
        <v>100</v>
      </c>
      <c r="F86">
        <v>341</v>
      </c>
      <c r="G86" t="b">
        <v>1</v>
      </c>
      <c r="H86" s="2">
        <v>45030.500914351855</v>
      </c>
      <c r="I86" t="s">
        <v>491</v>
      </c>
      <c r="N86">
        <v>34.301400000000001</v>
      </c>
      <c r="O86">
        <v>-83.672700000000006</v>
      </c>
      <c r="P86" t="s">
        <v>111</v>
      </c>
      <c r="Q86" t="s">
        <v>112</v>
      </c>
      <c r="R86" t="s">
        <v>492</v>
      </c>
      <c r="S86" t="s">
        <v>114</v>
      </c>
      <c r="W86">
        <v>21</v>
      </c>
      <c r="X86" t="s">
        <v>493</v>
      </c>
      <c r="AA86">
        <v>5</v>
      </c>
      <c r="AD86">
        <v>100</v>
      </c>
      <c r="AE86">
        <v>10</v>
      </c>
      <c r="AF86">
        <v>5</v>
      </c>
      <c r="AG86">
        <v>15</v>
      </c>
      <c r="AH86">
        <v>100</v>
      </c>
      <c r="AI86" s="3">
        <v>0.1</v>
      </c>
      <c r="AJ86">
        <v>0.1</v>
      </c>
      <c r="AK86">
        <v>100</v>
      </c>
      <c r="AL86" t="s">
        <v>492</v>
      </c>
      <c r="AM86" t="s">
        <v>128</v>
      </c>
    </row>
    <row r="87" spans="1:39" x14ac:dyDescent="0.2">
      <c r="A87" s="2">
        <v>45030.497025462966</v>
      </c>
      <c r="B87" s="2">
        <v>45030.500949074078</v>
      </c>
      <c r="C87" t="s">
        <v>42</v>
      </c>
      <c r="D87" t="s">
        <v>494</v>
      </c>
      <c r="E87">
        <v>100</v>
      </c>
      <c r="F87">
        <v>338</v>
      </c>
      <c r="G87" t="b">
        <v>1</v>
      </c>
      <c r="H87" s="2">
        <v>45030.500960648147</v>
      </c>
      <c r="I87" t="s">
        <v>495</v>
      </c>
      <c r="N87">
        <v>32.779699999999998</v>
      </c>
      <c r="O87">
        <v>-96.802199999999999</v>
      </c>
      <c r="P87" t="s">
        <v>111</v>
      </c>
      <c r="Q87" t="s">
        <v>112</v>
      </c>
      <c r="R87" t="s">
        <v>496</v>
      </c>
      <c r="S87" t="s">
        <v>114</v>
      </c>
      <c r="W87">
        <v>50</v>
      </c>
      <c r="X87" t="s">
        <v>497</v>
      </c>
      <c r="AB87">
        <v>3</v>
      </c>
      <c r="AD87">
        <v>500</v>
      </c>
      <c r="AE87">
        <v>100</v>
      </c>
      <c r="AF87" s="4">
        <v>1E-3</v>
      </c>
      <c r="AG87">
        <v>20</v>
      </c>
      <c r="AH87">
        <v>100</v>
      </c>
      <c r="AI87">
        <v>0.9</v>
      </c>
      <c r="AJ87">
        <v>0.1</v>
      </c>
      <c r="AK87" t="s">
        <v>208</v>
      </c>
      <c r="AL87" t="s">
        <v>496</v>
      </c>
      <c r="AM87" t="s">
        <v>135</v>
      </c>
    </row>
    <row r="88" spans="1:39" x14ac:dyDescent="0.2">
      <c r="A88" s="2">
        <v>45030.49554398148</v>
      </c>
      <c r="B88" s="2">
        <v>45030.50099537037</v>
      </c>
      <c r="C88" t="s">
        <v>42</v>
      </c>
      <c r="D88" t="s">
        <v>498</v>
      </c>
      <c r="E88">
        <v>100</v>
      </c>
      <c r="F88">
        <v>471</v>
      </c>
      <c r="G88" t="b">
        <v>1</v>
      </c>
      <c r="H88" s="2">
        <v>45030.501006944447</v>
      </c>
      <c r="I88" t="s">
        <v>499</v>
      </c>
      <c r="N88">
        <v>32.6387</v>
      </c>
      <c r="O88">
        <v>-117.0801</v>
      </c>
      <c r="P88" t="s">
        <v>111</v>
      </c>
      <c r="Q88" t="s">
        <v>112</v>
      </c>
      <c r="R88" t="s">
        <v>500</v>
      </c>
      <c r="S88" t="s">
        <v>114</v>
      </c>
      <c r="W88">
        <v>90</v>
      </c>
      <c r="X88" t="s">
        <v>501</v>
      </c>
      <c r="Z88" t="s">
        <v>502</v>
      </c>
      <c r="AD88">
        <v>200</v>
      </c>
      <c r="AE88">
        <v>3</v>
      </c>
      <c r="AF88" s="3">
        <v>0.05</v>
      </c>
      <c r="AG88">
        <v>20</v>
      </c>
      <c r="AH88">
        <v>100</v>
      </c>
      <c r="AI88" t="s">
        <v>503</v>
      </c>
      <c r="AJ88">
        <v>0.1</v>
      </c>
      <c r="AK88">
        <v>20</v>
      </c>
      <c r="AL88" t="s">
        <v>500</v>
      </c>
      <c r="AM88" t="s">
        <v>128</v>
      </c>
    </row>
    <row r="89" spans="1:39" x14ac:dyDescent="0.2">
      <c r="A89" s="2">
        <v>45030.497650462959</v>
      </c>
      <c r="B89" s="2">
        <v>45030.501030092593</v>
      </c>
      <c r="C89" t="s">
        <v>42</v>
      </c>
      <c r="D89" t="s">
        <v>504</v>
      </c>
      <c r="E89">
        <v>100</v>
      </c>
      <c r="F89">
        <v>291</v>
      </c>
      <c r="G89" t="b">
        <v>1</v>
      </c>
      <c r="H89" s="2">
        <v>45030.501030092593</v>
      </c>
      <c r="I89" t="s">
        <v>505</v>
      </c>
      <c r="N89">
        <v>37.987400000000001</v>
      </c>
      <c r="O89">
        <v>-84.480400000000003</v>
      </c>
      <c r="P89" t="s">
        <v>111</v>
      </c>
      <c r="Q89" t="s">
        <v>112</v>
      </c>
      <c r="R89" t="s">
        <v>506</v>
      </c>
      <c r="S89" t="s">
        <v>114</v>
      </c>
      <c r="W89">
        <v>66</v>
      </c>
      <c r="X89" t="s">
        <v>507</v>
      </c>
      <c r="Z89">
        <v>0.5</v>
      </c>
      <c r="AD89">
        <v>500</v>
      </c>
      <c r="AE89">
        <v>10</v>
      </c>
      <c r="AF89">
        <v>0.1</v>
      </c>
      <c r="AG89">
        <v>20</v>
      </c>
      <c r="AH89">
        <v>100</v>
      </c>
      <c r="AI89" s="3">
        <v>0.5</v>
      </c>
      <c r="AJ89">
        <v>0.05</v>
      </c>
      <c r="AK89" t="s">
        <v>159</v>
      </c>
      <c r="AL89" t="s">
        <v>506</v>
      </c>
      <c r="AM89" t="s">
        <v>128</v>
      </c>
    </row>
    <row r="90" spans="1:39" x14ac:dyDescent="0.2">
      <c r="A90" s="2">
        <v>45030.494490740741</v>
      </c>
      <c r="B90" s="2">
        <v>45030.501076388886</v>
      </c>
      <c r="C90" t="s">
        <v>42</v>
      </c>
      <c r="D90" t="s">
        <v>508</v>
      </c>
      <c r="E90">
        <v>100</v>
      </c>
      <c r="F90">
        <v>569</v>
      </c>
      <c r="G90" t="b">
        <v>1</v>
      </c>
      <c r="H90" s="2">
        <v>45030.501076388886</v>
      </c>
      <c r="I90" t="s">
        <v>509</v>
      </c>
      <c r="N90">
        <v>38.566200000000002</v>
      </c>
      <c r="O90">
        <v>-121.55249999999999</v>
      </c>
      <c r="P90" t="s">
        <v>111</v>
      </c>
      <c r="Q90" t="s">
        <v>112</v>
      </c>
      <c r="R90" t="s">
        <v>510</v>
      </c>
      <c r="S90" t="s">
        <v>114</v>
      </c>
      <c r="T90">
        <v>30</v>
      </c>
      <c r="U90">
        <v>5</v>
      </c>
      <c r="W90">
        <v>35</v>
      </c>
      <c r="X90" t="s">
        <v>511</v>
      </c>
      <c r="AD90">
        <v>500</v>
      </c>
      <c r="AE90">
        <v>10</v>
      </c>
      <c r="AF90">
        <v>0.1</v>
      </c>
      <c r="AG90">
        <v>20</v>
      </c>
      <c r="AH90">
        <v>100</v>
      </c>
      <c r="AI90">
        <v>18</v>
      </c>
      <c r="AJ90" s="5">
        <v>0.05</v>
      </c>
      <c r="AK90" t="s">
        <v>208</v>
      </c>
      <c r="AL90" t="s">
        <v>510</v>
      </c>
      <c r="AM90" t="s">
        <v>123</v>
      </c>
    </row>
    <row r="91" spans="1:39" x14ac:dyDescent="0.2">
      <c r="A91" s="2">
        <v>45030.495740740742</v>
      </c>
      <c r="B91" s="2">
        <v>45030.501261574071</v>
      </c>
      <c r="C91" t="s">
        <v>42</v>
      </c>
      <c r="D91" t="s">
        <v>512</v>
      </c>
      <c r="E91">
        <v>100</v>
      </c>
      <c r="F91">
        <v>477</v>
      </c>
      <c r="G91" t="b">
        <v>1</v>
      </c>
      <c r="H91" s="2">
        <v>45030.501273148147</v>
      </c>
      <c r="I91" t="s">
        <v>513</v>
      </c>
      <c r="N91">
        <v>30.404199999999999</v>
      </c>
      <c r="O91">
        <v>-91.143100000000004</v>
      </c>
      <c r="P91" t="s">
        <v>111</v>
      </c>
      <c r="Q91" t="s">
        <v>112</v>
      </c>
      <c r="R91" t="s">
        <v>514</v>
      </c>
      <c r="S91" t="s">
        <v>114</v>
      </c>
      <c r="T91">
        <v>80</v>
      </c>
      <c r="V91">
        <v>4</v>
      </c>
      <c r="W91">
        <v>80</v>
      </c>
      <c r="X91" t="s">
        <v>515</v>
      </c>
      <c r="AD91">
        <v>500</v>
      </c>
      <c r="AE91">
        <v>5</v>
      </c>
      <c r="AF91" s="3">
        <v>0.01</v>
      </c>
      <c r="AG91" s="3">
        <v>0.05</v>
      </c>
      <c r="AH91">
        <v>100</v>
      </c>
      <c r="AI91" s="3">
        <v>0.25</v>
      </c>
      <c r="AJ91" t="s">
        <v>241</v>
      </c>
      <c r="AK91" t="s">
        <v>516</v>
      </c>
      <c r="AL91" t="s">
        <v>514</v>
      </c>
      <c r="AM91" t="s">
        <v>123</v>
      </c>
    </row>
    <row r="92" spans="1:39" x14ac:dyDescent="0.2">
      <c r="A92" s="2">
        <v>45030.4922337963</v>
      </c>
      <c r="B92" s="2">
        <v>45030.501331018517</v>
      </c>
      <c r="C92" t="s">
        <v>42</v>
      </c>
      <c r="D92" t="s">
        <v>517</v>
      </c>
      <c r="E92">
        <v>100</v>
      </c>
      <c r="F92">
        <v>786</v>
      </c>
      <c r="G92" t="b">
        <v>1</v>
      </c>
      <c r="H92" s="2">
        <v>45030.501342592594</v>
      </c>
      <c r="I92" t="s">
        <v>518</v>
      </c>
      <c r="N92">
        <v>39.9544</v>
      </c>
      <c r="O92">
        <v>-75.165700000000001</v>
      </c>
      <c r="P92" t="s">
        <v>111</v>
      </c>
      <c r="Q92" t="s">
        <v>112</v>
      </c>
      <c r="R92" t="s">
        <v>519</v>
      </c>
      <c r="S92" t="s">
        <v>114</v>
      </c>
      <c r="T92">
        <v>0</v>
      </c>
      <c r="U92">
        <v>99999</v>
      </c>
      <c r="W92">
        <v>0</v>
      </c>
      <c r="X92" t="s">
        <v>520</v>
      </c>
      <c r="AD92">
        <v>500</v>
      </c>
      <c r="AE92">
        <v>10</v>
      </c>
      <c r="AF92" s="4">
        <v>1E-3</v>
      </c>
      <c r="AG92" s="3">
        <v>0.2</v>
      </c>
      <c r="AH92">
        <v>100</v>
      </c>
      <c r="AI92" s="3">
        <v>0.5</v>
      </c>
      <c r="AJ92" s="5">
        <v>0.05</v>
      </c>
      <c r="AK92" t="s">
        <v>164</v>
      </c>
      <c r="AL92" t="s">
        <v>519</v>
      </c>
      <c r="AM92" t="s">
        <v>123</v>
      </c>
    </row>
    <row r="93" spans="1:39" x14ac:dyDescent="0.2">
      <c r="A93" s="2">
        <v>45030.498252314814</v>
      </c>
      <c r="B93" s="2">
        <v>45030.501504629632</v>
      </c>
      <c r="C93" t="s">
        <v>42</v>
      </c>
      <c r="D93" t="s">
        <v>521</v>
      </c>
      <c r="E93">
        <v>100</v>
      </c>
      <c r="F93">
        <v>280</v>
      </c>
      <c r="G93" t="b">
        <v>1</v>
      </c>
      <c r="H93" s="2">
        <v>45030.501516203702</v>
      </c>
      <c r="I93" t="s">
        <v>522</v>
      </c>
      <c r="N93">
        <v>32.248600000000003</v>
      </c>
      <c r="O93">
        <v>-96.216099999999997</v>
      </c>
      <c r="P93" t="s">
        <v>111</v>
      </c>
      <c r="Q93" t="s">
        <v>112</v>
      </c>
      <c r="R93" t="s">
        <v>523</v>
      </c>
      <c r="S93" t="s">
        <v>114</v>
      </c>
      <c r="T93">
        <v>0</v>
      </c>
      <c r="U93">
        <v>5</v>
      </c>
      <c r="W93">
        <v>0</v>
      </c>
      <c r="X93" t="s">
        <v>524</v>
      </c>
      <c r="AD93">
        <v>500</v>
      </c>
      <c r="AE93">
        <v>1</v>
      </c>
      <c r="AF93">
        <v>0.1</v>
      </c>
      <c r="AG93">
        <v>20</v>
      </c>
      <c r="AH93">
        <v>100</v>
      </c>
      <c r="AI93">
        <v>10</v>
      </c>
      <c r="AJ93">
        <v>0.1</v>
      </c>
      <c r="AK93" t="s">
        <v>159</v>
      </c>
      <c r="AL93" t="s">
        <v>523</v>
      </c>
      <c r="AM93" t="s">
        <v>123</v>
      </c>
    </row>
    <row r="94" spans="1:39" x14ac:dyDescent="0.2">
      <c r="A94" s="2">
        <v>45030.497986111113</v>
      </c>
      <c r="B94" s="2">
        <v>45030.501527777778</v>
      </c>
      <c r="C94" t="s">
        <v>42</v>
      </c>
      <c r="D94" t="s">
        <v>525</v>
      </c>
      <c r="E94">
        <v>100</v>
      </c>
      <c r="F94">
        <v>306</v>
      </c>
      <c r="G94" t="b">
        <v>1</v>
      </c>
      <c r="H94" s="2">
        <v>45030.501539351855</v>
      </c>
      <c r="I94" t="s">
        <v>526</v>
      </c>
      <c r="N94">
        <v>42.649299999999997</v>
      </c>
      <c r="O94">
        <v>-84.650700000000001</v>
      </c>
      <c r="P94" t="s">
        <v>111</v>
      </c>
      <c r="Q94" t="s">
        <v>112</v>
      </c>
      <c r="R94" t="s">
        <v>527</v>
      </c>
      <c r="S94" t="s">
        <v>114</v>
      </c>
      <c r="W94">
        <v>0</v>
      </c>
      <c r="X94" t="s">
        <v>528</v>
      </c>
      <c r="Y94" t="s">
        <v>449</v>
      </c>
      <c r="AD94">
        <v>500</v>
      </c>
      <c r="AE94">
        <v>10</v>
      </c>
      <c r="AF94" s="4">
        <v>1E-3</v>
      </c>
      <c r="AG94">
        <v>20</v>
      </c>
      <c r="AH94">
        <v>100</v>
      </c>
      <c r="AI94" s="3">
        <v>0.5</v>
      </c>
      <c r="AJ94">
        <v>0.05</v>
      </c>
      <c r="AK94" t="s">
        <v>159</v>
      </c>
      <c r="AL94" t="s">
        <v>527</v>
      </c>
      <c r="AM94" t="s">
        <v>117</v>
      </c>
    </row>
    <row r="95" spans="1:39" x14ac:dyDescent="0.2">
      <c r="A95" s="2">
        <v>45030.498101851852</v>
      </c>
      <c r="B95" s="2">
        <v>45030.501527777778</v>
      </c>
      <c r="C95" t="s">
        <v>42</v>
      </c>
      <c r="D95" t="s">
        <v>529</v>
      </c>
      <c r="E95">
        <v>100</v>
      </c>
      <c r="F95">
        <v>295</v>
      </c>
      <c r="G95" t="b">
        <v>1</v>
      </c>
      <c r="H95" s="2">
        <v>45030.501539351855</v>
      </c>
      <c r="I95" t="s">
        <v>530</v>
      </c>
      <c r="N95">
        <v>47.535699999999999</v>
      </c>
      <c r="O95">
        <v>-122.3503</v>
      </c>
      <c r="P95" t="s">
        <v>111</v>
      </c>
      <c r="Q95" t="s">
        <v>112</v>
      </c>
      <c r="R95" t="s">
        <v>531</v>
      </c>
      <c r="S95" t="s">
        <v>114</v>
      </c>
      <c r="T95">
        <v>15</v>
      </c>
      <c r="U95" t="s">
        <v>532</v>
      </c>
      <c r="W95">
        <v>40</v>
      </c>
      <c r="X95" t="s">
        <v>533</v>
      </c>
      <c r="AD95" t="s">
        <v>534</v>
      </c>
      <c r="AE95" t="s">
        <v>535</v>
      </c>
      <c r="AF95" s="4">
        <v>1E-4</v>
      </c>
      <c r="AG95" s="3">
        <v>0.2</v>
      </c>
      <c r="AH95" t="s">
        <v>536</v>
      </c>
      <c r="AI95" t="s">
        <v>537</v>
      </c>
      <c r="AJ95" t="s">
        <v>241</v>
      </c>
      <c r="AK95" t="s">
        <v>538</v>
      </c>
      <c r="AL95" t="s">
        <v>531</v>
      </c>
      <c r="AM95" t="s">
        <v>123</v>
      </c>
    </row>
    <row r="96" spans="1:39" x14ac:dyDescent="0.2">
      <c r="A96" s="2">
        <v>45030.493958333333</v>
      </c>
      <c r="B96" s="2">
        <v>45030.501550925925</v>
      </c>
      <c r="C96" t="s">
        <v>42</v>
      </c>
      <c r="D96" t="s">
        <v>539</v>
      </c>
      <c r="E96">
        <v>100</v>
      </c>
      <c r="F96">
        <v>655</v>
      </c>
      <c r="G96" t="b">
        <v>1</v>
      </c>
      <c r="H96" s="2">
        <v>45030.501550925925</v>
      </c>
      <c r="I96" t="s">
        <v>540</v>
      </c>
      <c r="N96">
        <v>43.634900000000002</v>
      </c>
      <c r="O96">
        <v>-116.20229999999999</v>
      </c>
      <c r="P96" t="s">
        <v>111</v>
      </c>
      <c r="Q96" t="s">
        <v>112</v>
      </c>
      <c r="R96" t="s">
        <v>541</v>
      </c>
      <c r="S96" t="s">
        <v>114</v>
      </c>
      <c r="W96">
        <v>70</v>
      </c>
      <c r="X96" t="s">
        <v>542</v>
      </c>
      <c r="Z96">
        <v>1</v>
      </c>
      <c r="AD96">
        <v>4000</v>
      </c>
      <c r="AE96" s="3">
        <v>0.01</v>
      </c>
      <c r="AF96">
        <v>120</v>
      </c>
      <c r="AG96">
        <v>2</v>
      </c>
      <c r="AH96">
        <v>100</v>
      </c>
      <c r="AI96" s="3">
        <v>0.1</v>
      </c>
      <c r="AJ96">
        <v>0.05</v>
      </c>
      <c r="AK96" t="s">
        <v>385</v>
      </c>
      <c r="AL96" t="s">
        <v>541</v>
      </c>
      <c r="AM96" t="s">
        <v>128</v>
      </c>
    </row>
    <row r="97" spans="1:39" x14ac:dyDescent="0.2">
      <c r="A97" s="2">
        <v>45030.498344907406</v>
      </c>
      <c r="B97" s="2">
        <v>45030.501666666663</v>
      </c>
      <c r="C97" t="s">
        <v>42</v>
      </c>
      <c r="D97" t="s">
        <v>543</v>
      </c>
      <c r="E97">
        <v>100</v>
      </c>
      <c r="F97">
        <v>287</v>
      </c>
      <c r="G97" t="b">
        <v>1</v>
      </c>
      <c r="H97" s="2">
        <v>45030.50167824074</v>
      </c>
      <c r="I97" t="s">
        <v>544</v>
      </c>
      <c r="N97">
        <v>29.764600000000002</v>
      </c>
      <c r="O97">
        <v>-95.365700000000004</v>
      </c>
      <c r="P97" t="s">
        <v>111</v>
      </c>
      <c r="Q97" t="s">
        <v>112</v>
      </c>
      <c r="R97" t="s">
        <v>545</v>
      </c>
      <c r="S97" t="s">
        <v>114</v>
      </c>
      <c r="W97">
        <v>81</v>
      </c>
      <c r="X97" t="s">
        <v>546</v>
      </c>
      <c r="Z97">
        <v>2</v>
      </c>
      <c r="AD97">
        <v>500</v>
      </c>
      <c r="AE97">
        <v>10</v>
      </c>
      <c r="AF97" t="s">
        <v>547</v>
      </c>
      <c r="AG97">
        <v>20</v>
      </c>
      <c r="AH97">
        <v>100</v>
      </c>
      <c r="AI97" s="3">
        <v>0.1</v>
      </c>
      <c r="AJ97">
        <v>0.1</v>
      </c>
      <c r="AK97">
        <v>500</v>
      </c>
      <c r="AL97" t="s">
        <v>545</v>
      </c>
      <c r="AM97" t="s">
        <v>128</v>
      </c>
    </row>
    <row r="98" spans="1:39" x14ac:dyDescent="0.2">
      <c r="A98" s="2">
        <v>45030.497037037036</v>
      </c>
      <c r="B98" s="2">
        <v>45030.501770833333</v>
      </c>
      <c r="C98" t="s">
        <v>42</v>
      </c>
      <c r="D98" t="s">
        <v>548</v>
      </c>
      <c r="E98">
        <v>100</v>
      </c>
      <c r="F98">
        <v>408</v>
      </c>
      <c r="G98" t="b">
        <v>1</v>
      </c>
      <c r="H98" s="2">
        <v>45030.501770833333</v>
      </c>
      <c r="I98" t="s">
        <v>549</v>
      </c>
      <c r="N98">
        <v>40.469299999999997</v>
      </c>
      <c r="O98">
        <v>-88.942400000000006</v>
      </c>
      <c r="P98" t="s">
        <v>111</v>
      </c>
      <c r="Q98" t="s">
        <v>112</v>
      </c>
      <c r="R98" s="6" t="s">
        <v>550</v>
      </c>
      <c r="S98" t="s">
        <v>114</v>
      </c>
      <c r="T98">
        <v>0</v>
      </c>
      <c r="U98">
        <v>4</v>
      </c>
      <c r="W98">
        <v>0</v>
      </c>
      <c r="X98" t="s">
        <v>551</v>
      </c>
      <c r="AD98">
        <v>500</v>
      </c>
      <c r="AE98">
        <v>10</v>
      </c>
      <c r="AF98">
        <v>1</v>
      </c>
      <c r="AG98">
        <v>20</v>
      </c>
      <c r="AH98">
        <v>100</v>
      </c>
      <c r="AI98" s="7">
        <v>45179</v>
      </c>
      <c r="AJ98">
        <v>0.1</v>
      </c>
      <c r="AK98">
        <v>100</v>
      </c>
      <c r="AL98" s="6" t="s">
        <v>550</v>
      </c>
      <c r="AM98" t="s">
        <v>123</v>
      </c>
    </row>
    <row r="99" spans="1:39" x14ac:dyDescent="0.2">
      <c r="A99" s="2">
        <v>45030.498020833336</v>
      </c>
      <c r="B99" s="2">
        <v>45030.501979166664</v>
      </c>
      <c r="C99" t="s">
        <v>42</v>
      </c>
      <c r="D99" t="s">
        <v>552</v>
      </c>
      <c r="E99">
        <v>100</v>
      </c>
      <c r="F99">
        <v>341</v>
      </c>
      <c r="G99" t="b">
        <v>1</v>
      </c>
      <c r="H99" s="2">
        <v>45030.501979166664</v>
      </c>
      <c r="I99" t="s">
        <v>553</v>
      </c>
      <c r="N99">
        <v>36.167099999999998</v>
      </c>
      <c r="O99">
        <v>-86.786100000000005</v>
      </c>
      <c r="P99" t="s">
        <v>111</v>
      </c>
      <c r="Q99" t="s">
        <v>112</v>
      </c>
      <c r="R99" t="s">
        <v>554</v>
      </c>
      <c r="S99" t="s">
        <v>114</v>
      </c>
      <c r="W99">
        <v>70</v>
      </c>
      <c r="X99" t="s">
        <v>555</v>
      </c>
      <c r="Z99" t="s">
        <v>556</v>
      </c>
      <c r="AD99">
        <v>500</v>
      </c>
      <c r="AE99">
        <v>10</v>
      </c>
      <c r="AF99">
        <v>0.1</v>
      </c>
      <c r="AG99">
        <v>20</v>
      </c>
      <c r="AH99">
        <v>100</v>
      </c>
      <c r="AI99" s="3">
        <v>0.09</v>
      </c>
      <c r="AJ99">
        <v>0.05</v>
      </c>
      <c r="AK99" t="s">
        <v>164</v>
      </c>
      <c r="AL99" t="s">
        <v>554</v>
      </c>
      <c r="AM99" t="s">
        <v>128</v>
      </c>
    </row>
    <row r="100" spans="1:39" x14ac:dyDescent="0.2">
      <c r="A100" s="2">
        <v>45030.495023148149</v>
      </c>
      <c r="B100" s="2">
        <v>45030.502152777779</v>
      </c>
      <c r="C100" t="s">
        <v>42</v>
      </c>
      <c r="D100" t="s">
        <v>557</v>
      </c>
      <c r="E100">
        <v>100</v>
      </c>
      <c r="F100">
        <v>615</v>
      </c>
      <c r="G100" t="b">
        <v>1</v>
      </c>
      <c r="H100" s="2">
        <v>45030.502164351848</v>
      </c>
      <c r="I100" t="s">
        <v>558</v>
      </c>
      <c r="N100">
        <v>41.901400000000002</v>
      </c>
      <c r="O100">
        <v>-88.751499999999993</v>
      </c>
      <c r="P100" t="s">
        <v>111</v>
      </c>
      <c r="Q100" t="s">
        <v>112</v>
      </c>
      <c r="R100" t="s">
        <v>559</v>
      </c>
      <c r="S100" t="s">
        <v>114</v>
      </c>
      <c r="W100">
        <v>10</v>
      </c>
      <c r="X100" t="s">
        <v>560</v>
      </c>
      <c r="AC100" t="s">
        <v>561</v>
      </c>
      <c r="AD100">
        <v>500</v>
      </c>
      <c r="AE100">
        <v>10</v>
      </c>
      <c r="AF100" s="4">
        <v>1E-3</v>
      </c>
      <c r="AG100" s="3">
        <v>0.2</v>
      </c>
      <c r="AH100">
        <v>100</v>
      </c>
      <c r="AI100" s="3">
        <v>0.5</v>
      </c>
      <c r="AJ100" s="5">
        <v>0.1</v>
      </c>
      <c r="AK100" t="s">
        <v>164</v>
      </c>
      <c r="AL100" t="s">
        <v>559</v>
      </c>
      <c r="AM100" t="s">
        <v>135</v>
      </c>
    </row>
    <row r="101" spans="1:39" x14ac:dyDescent="0.2">
      <c r="A101" s="2">
        <v>45030.498437499999</v>
      </c>
      <c r="B101" s="2">
        <v>45030.502164351848</v>
      </c>
      <c r="C101" t="s">
        <v>42</v>
      </c>
      <c r="D101" t="s">
        <v>562</v>
      </c>
      <c r="E101">
        <v>100</v>
      </c>
      <c r="F101">
        <v>321</v>
      </c>
      <c r="G101" t="b">
        <v>1</v>
      </c>
      <c r="H101" s="2">
        <v>45030.502175925925</v>
      </c>
      <c r="I101" t="s">
        <v>563</v>
      </c>
      <c r="N101">
        <v>39.944400000000002</v>
      </c>
      <c r="O101">
        <v>-75.587500000000006</v>
      </c>
      <c r="P101" t="s">
        <v>111</v>
      </c>
      <c r="Q101" t="s">
        <v>112</v>
      </c>
      <c r="R101" t="s">
        <v>564</v>
      </c>
      <c r="S101" t="s">
        <v>114</v>
      </c>
      <c r="W101">
        <v>18</v>
      </c>
      <c r="X101" t="s">
        <v>565</v>
      </c>
      <c r="Y101">
        <v>1</v>
      </c>
      <c r="AD101">
        <v>500</v>
      </c>
      <c r="AE101">
        <v>11</v>
      </c>
      <c r="AF101">
        <v>1</v>
      </c>
      <c r="AG101">
        <v>20</v>
      </c>
      <c r="AH101">
        <v>10</v>
      </c>
      <c r="AI101">
        <v>5</v>
      </c>
      <c r="AJ101">
        <v>0.1</v>
      </c>
      <c r="AK101">
        <v>5</v>
      </c>
      <c r="AL101" t="s">
        <v>564</v>
      </c>
      <c r="AM101" t="s">
        <v>117</v>
      </c>
    </row>
    <row r="102" spans="1:39" x14ac:dyDescent="0.2">
      <c r="A102" s="2">
        <v>45030.49895833333</v>
      </c>
      <c r="B102" s="2">
        <v>45030.502557870372</v>
      </c>
      <c r="C102" t="s">
        <v>42</v>
      </c>
      <c r="D102" t="s">
        <v>566</v>
      </c>
      <c r="E102">
        <v>100</v>
      </c>
      <c r="F102">
        <v>311</v>
      </c>
      <c r="G102" t="b">
        <v>1</v>
      </c>
      <c r="H102" s="2">
        <v>45030.502569444441</v>
      </c>
      <c r="I102" t="s">
        <v>567</v>
      </c>
      <c r="N102">
        <v>39.959699999999998</v>
      </c>
      <c r="O102">
        <v>-75.1995</v>
      </c>
      <c r="P102" t="s">
        <v>111</v>
      </c>
      <c r="Q102" t="s">
        <v>112</v>
      </c>
      <c r="R102" t="s">
        <v>568</v>
      </c>
      <c r="S102" t="s">
        <v>114</v>
      </c>
      <c r="W102">
        <v>35</v>
      </c>
      <c r="X102" t="s">
        <v>569</v>
      </c>
      <c r="AA102">
        <v>1.5</v>
      </c>
      <c r="AD102">
        <v>500</v>
      </c>
      <c r="AE102">
        <v>10</v>
      </c>
      <c r="AF102">
        <v>10</v>
      </c>
      <c r="AG102">
        <v>20</v>
      </c>
      <c r="AH102">
        <v>1</v>
      </c>
      <c r="AI102">
        <v>10</v>
      </c>
      <c r="AJ102">
        <v>0.1</v>
      </c>
      <c r="AK102">
        <v>100</v>
      </c>
      <c r="AL102" t="s">
        <v>568</v>
      </c>
      <c r="AM102" t="s">
        <v>128</v>
      </c>
    </row>
    <row r="103" spans="1:39" x14ac:dyDescent="0.2">
      <c r="A103" s="2">
        <v>45030.497118055559</v>
      </c>
      <c r="B103" s="2">
        <v>45030.502766203703</v>
      </c>
      <c r="C103" t="s">
        <v>42</v>
      </c>
      <c r="D103" t="s">
        <v>570</v>
      </c>
      <c r="E103">
        <v>100</v>
      </c>
      <c r="F103">
        <v>488</v>
      </c>
      <c r="G103" t="b">
        <v>1</v>
      </c>
      <c r="H103" s="2">
        <v>45030.50277777778</v>
      </c>
      <c r="I103" t="s">
        <v>571</v>
      </c>
      <c r="N103">
        <v>40.100499999999997</v>
      </c>
      <c r="O103">
        <v>-75.370900000000006</v>
      </c>
      <c r="P103" t="s">
        <v>111</v>
      </c>
      <c r="Q103" t="s">
        <v>112</v>
      </c>
      <c r="R103" t="s">
        <v>572</v>
      </c>
      <c r="S103" t="s">
        <v>114</v>
      </c>
      <c r="W103">
        <v>86</v>
      </c>
      <c r="X103" t="s">
        <v>573</v>
      </c>
      <c r="AB103">
        <v>1</v>
      </c>
      <c r="AD103" t="s">
        <v>574</v>
      </c>
      <c r="AE103" t="s">
        <v>575</v>
      </c>
      <c r="AF103" s="4">
        <v>1E-3</v>
      </c>
      <c r="AG103" s="3">
        <v>0.2</v>
      </c>
      <c r="AH103">
        <v>100</v>
      </c>
      <c r="AI103" t="s">
        <v>576</v>
      </c>
      <c r="AJ103">
        <v>0.05</v>
      </c>
      <c r="AK103" t="s">
        <v>164</v>
      </c>
      <c r="AL103" t="s">
        <v>572</v>
      </c>
      <c r="AM103" t="s">
        <v>135</v>
      </c>
    </row>
    <row r="104" spans="1:39" x14ac:dyDescent="0.2">
      <c r="A104" s="2">
        <v>45030.499675925923</v>
      </c>
      <c r="B104" s="2">
        <v>45030.502986111111</v>
      </c>
      <c r="C104" t="s">
        <v>42</v>
      </c>
      <c r="D104" t="s">
        <v>577</v>
      </c>
      <c r="E104">
        <v>100</v>
      </c>
      <c r="F104">
        <v>286</v>
      </c>
      <c r="G104" t="b">
        <v>1</v>
      </c>
      <c r="H104" s="2">
        <v>45030.502997685187</v>
      </c>
      <c r="I104" t="s">
        <v>578</v>
      </c>
      <c r="N104">
        <v>40.646900000000002</v>
      </c>
      <c r="O104">
        <v>-73.934399999999997</v>
      </c>
      <c r="P104" t="s">
        <v>111</v>
      </c>
      <c r="Q104" t="s">
        <v>112</v>
      </c>
      <c r="R104" t="s">
        <v>579</v>
      </c>
      <c r="S104" t="s">
        <v>114</v>
      </c>
      <c r="W104">
        <v>55</v>
      </c>
      <c r="X104" t="s">
        <v>580</v>
      </c>
      <c r="AB104">
        <v>1.5</v>
      </c>
      <c r="AD104">
        <v>500</v>
      </c>
      <c r="AE104">
        <v>10</v>
      </c>
      <c r="AF104">
        <v>0.1</v>
      </c>
      <c r="AG104">
        <v>20</v>
      </c>
      <c r="AH104">
        <v>100</v>
      </c>
      <c r="AI104">
        <v>18</v>
      </c>
      <c r="AJ104">
        <v>5</v>
      </c>
      <c r="AK104">
        <v>5</v>
      </c>
      <c r="AL104" t="s">
        <v>579</v>
      </c>
      <c r="AM104" t="s">
        <v>135</v>
      </c>
    </row>
    <row r="105" spans="1:39" x14ac:dyDescent="0.2">
      <c r="A105" s="2">
        <v>45030.49490740741</v>
      </c>
      <c r="B105" s="2">
        <v>45030.503113425926</v>
      </c>
      <c r="C105" t="s">
        <v>42</v>
      </c>
      <c r="D105" t="s">
        <v>581</v>
      </c>
      <c r="E105">
        <v>100</v>
      </c>
      <c r="F105">
        <v>708</v>
      </c>
      <c r="G105" t="b">
        <v>1</v>
      </c>
      <c r="H105" s="2">
        <v>45030.503113425926</v>
      </c>
      <c r="I105" t="s">
        <v>582</v>
      </c>
      <c r="N105">
        <v>42.075299999999999</v>
      </c>
      <c r="O105">
        <v>-80.067099999999996</v>
      </c>
      <c r="P105" t="s">
        <v>111</v>
      </c>
      <c r="Q105" t="s">
        <v>112</v>
      </c>
      <c r="R105" t="s">
        <v>583</v>
      </c>
      <c r="S105" t="s">
        <v>114</v>
      </c>
      <c r="W105">
        <v>78</v>
      </c>
      <c r="X105" t="s">
        <v>584</v>
      </c>
      <c r="Y105">
        <v>0.3</v>
      </c>
      <c r="AD105">
        <v>500</v>
      </c>
      <c r="AE105">
        <v>10</v>
      </c>
      <c r="AF105">
        <v>0.1</v>
      </c>
      <c r="AG105">
        <v>20</v>
      </c>
      <c r="AH105">
        <v>100</v>
      </c>
      <c r="AI105" t="s">
        <v>585</v>
      </c>
      <c r="AJ105">
        <v>5</v>
      </c>
      <c r="AK105" t="s">
        <v>159</v>
      </c>
      <c r="AL105" t="s">
        <v>583</v>
      </c>
      <c r="AM105" t="s">
        <v>117</v>
      </c>
    </row>
    <row r="106" spans="1:39" x14ac:dyDescent="0.2">
      <c r="A106" s="2">
        <v>45030.500300925924</v>
      </c>
      <c r="B106" s="2">
        <v>45030.503136574072</v>
      </c>
      <c r="C106" t="s">
        <v>42</v>
      </c>
      <c r="D106" t="s">
        <v>586</v>
      </c>
      <c r="E106">
        <v>100</v>
      </c>
      <c r="F106">
        <v>244</v>
      </c>
      <c r="G106" t="b">
        <v>1</v>
      </c>
      <c r="H106" s="2">
        <v>45030.503136574072</v>
      </c>
      <c r="I106" t="s">
        <v>587</v>
      </c>
      <c r="N106">
        <v>33.937600000000003</v>
      </c>
      <c r="O106">
        <v>-118.3582</v>
      </c>
      <c r="P106" t="s">
        <v>111</v>
      </c>
      <c r="Q106" t="s">
        <v>112</v>
      </c>
      <c r="R106" t="s">
        <v>588</v>
      </c>
      <c r="S106" t="s">
        <v>114</v>
      </c>
      <c r="W106">
        <v>69</v>
      </c>
      <c r="X106" t="s">
        <v>589</v>
      </c>
      <c r="Y106" t="s">
        <v>308</v>
      </c>
      <c r="AD106">
        <v>500</v>
      </c>
      <c r="AE106">
        <v>10</v>
      </c>
      <c r="AF106">
        <v>0.1</v>
      </c>
      <c r="AG106">
        <v>20</v>
      </c>
      <c r="AH106">
        <v>100</v>
      </c>
      <c r="AI106" t="s">
        <v>590</v>
      </c>
      <c r="AJ106">
        <v>0.1</v>
      </c>
      <c r="AK106">
        <v>100</v>
      </c>
      <c r="AL106" t="s">
        <v>588</v>
      </c>
      <c r="AM106" t="s">
        <v>117</v>
      </c>
    </row>
    <row r="107" spans="1:39" x14ac:dyDescent="0.2">
      <c r="A107" s="2">
        <v>45030.499791666669</v>
      </c>
      <c r="B107" s="2">
        <v>45030.503206018519</v>
      </c>
      <c r="C107" t="s">
        <v>42</v>
      </c>
      <c r="D107" t="s">
        <v>591</v>
      </c>
      <c r="E107">
        <v>100</v>
      </c>
      <c r="F107">
        <v>295</v>
      </c>
      <c r="G107" t="b">
        <v>1</v>
      </c>
      <c r="H107" s="2">
        <v>45030.503217592595</v>
      </c>
      <c r="I107" t="s">
        <v>592</v>
      </c>
      <c r="N107">
        <v>33.447499999999998</v>
      </c>
      <c r="O107">
        <v>-112.0866</v>
      </c>
      <c r="P107" t="s">
        <v>111</v>
      </c>
      <c r="Q107" t="s">
        <v>112</v>
      </c>
      <c r="R107" t="s">
        <v>593</v>
      </c>
      <c r="S107" t="s">
        <v>114</v>
      </c>
      <c r="T107">
        <v>55</v>
      </c>
      <c r="V107">
        <v>0.2</v>
      </c>
      <c r="W107">
        <v>0</v>
      </c>
      <c r="X107" t="s">
        <v>594</v>
      </c>
      <c r="AD107">
        <v>500</v>
      </c>
      <c r="AE107">
        <v>10</v>
      </c>
      <c r="AF107" s="4">
        <v>1E-3</v>
      </c>
      <c r="AG107" s="3">
        <v>0.2</v>
      </c>
      <c r="AH107">
        <v>100</v>
      </c>
      <c r="AI107" s="3">
        <v>0.18</v>
      </c>
      <c r="AJ107" s="5">
        <v>0.05</v>
      </c>
      <c r="AK107" t="s">
        <v>159</v>
      </c>
      <c r="AL107" t="s">
        <v>593</v>
      </c>
      <c r="AM107" t="s">
        <v>123</v>
      </c>
    </row>
    <row r="108" spans="1:39" x14ac:dyDescent="0.2">
      <c r="A108" s="2">
        <v>45030.499965277777</v>
      </c>
      <c r="B108" s="2">
        <v>45030.503657407404</v>
      </c>
      <c r="C108" t="s">
        <v>42</v>
      </c>
      <c r="D108" t="s">
        <v>595</v>
      </c>
      <c r="E108">
        <v>100</v>
      </c>
      <c r="F108">
        <v>318</v>
      </c>
      <c r="G108" t="b">
        <v>1</v>
      </c>
      <c r="H108" s="2">
        <v>45030.503657407404</v>
      </c>
      <c r="I108" t="s">
        <v>596</v>
      </c>
      <c r="N108">
        <v>37.353000000000002</v>
      </c>
      <c r="O108">
        <v>-79.155699999999996</v>
      </c>
      <c r="P108" t="s">
        <v>111</v>
      </c>
      <c r="Q108" t="s">
        <v>112</v>
      </c>
      <c r="R108" t="s">
        <v>597</v>
      </c>
      <c r="S108" t="s">
        <v>114</v>
      </c>
      <c r="T108">
        <v>20</v>
      </c>
      <c r="U108">
        <v>7</v>
      </c>
      <c r="W108">
        <v>8</v>
      </c>
      <c r="X108" t="s">
        <v>598</v>
      </c>
      <c r="AD108">
        <v>500</v>
      </c>
      <c r="AE108">
        <v>10</v>
      </c>
      <c r="AF108">
        <v>1</v>
      </c>
      <c r="AG108">
        <v>20</v>
      </c>
      <c r="AH108">
        <v>100</v>
      </c>
      <c r="AI108">
        <v>10</v>
      </c>
      <c r="AJ108">
        <v>0.1</v>
      </c>
      <c r="AK108">
        <v>500</v>
      </c>
      <c r="AL108" t="s">
        <v>597</v>
      </c>
      <c r="AM108" t="s">
        <v>123</v>
      </c>
    </row>
    <row r="109" spans="1:39" x14ac:dyDescent="0.2">
      <c r="A109" s="2">
        <v>45030.499201388891</v>
      </c>
      <c r="B109" s="2">
        <v>45030.503761574073</v>
      </c>
      <c r="C109" t="s">
        <v>42</v>
      </c>
      <c r="D109" t="s">
        <v>599</v>
      </c>
      <c r="E109">
        <v>100</v>
      </c>
      <c r="F109">
        <v>394</v>
      </c>
      <c r="G109" t="b">
        <v>1</v>
      </c>
      <c r="H109" s="2">
        <v>45030.50377314815</v>
      </c>
      <c r="I109" t="s">
        <v>600</v>
      </c>
      <c r="N109">
        <v>35.252200000000002</v>
      </c>
      <c r="O109">
        <v>-80.826300000000003</v>
      </c>
      <c r="P109" t="s">
        <v>111</v>
      </c>
      <c r="Q109" t="s">
        <v>112</v>
      </c>
      <c r="R109" t="s">
        <v>601</v>
      </c>
      <c r="S109" t="s">
        <v>114</v>
      </c>
      <c r="W109">
        <v>55</v>
      </c>
      <c r="X109" t="s">
        <v>602</v>
      </c>
      <c r="AB109">
        <v>1</v>
      </c>
      <c r="AD109">
        <v>500</v>
      </c>
      <c r="AE109">
        <v>10</v>
      </c>
      <c r="AF109" s="4">
        <v>1E-3</v>
      </c>
      <c r="AG109" s="3">
        <v>0.2</v>
      </c>
      <c r="AH109">
        <v>100</v>
      </c>
      <c r="AI109" s="3">
        <v>0.5</v>
      </c>
      <c r="AJ109">
        <v>0.05</v>
      </c>
      <c r="AK109" t="s">
        <v>159</v>
      </c>
      <c r="AL109" t="s">
        <v>601</v>
      </c>
      <c r="AM109" t="s">
        <v>135</v>
      </c>
    </row>
    <row r="110" spans="1:39" x14ac:dyDescent="0.2">
      <c r="A110" s="2">
        <v>45030.497002314813</v>
      </c>
      <c r="B110" s="2">
        <v>45030.503796296296</v>
      </c>
      <c r="C110" t="s">
        <v>42</v>
      </c>
      <c r="D110" t="s">
        <v>603</v>
      </c>
      <c r="E110">
        <v>100</v>
      </c>
      <c r="F110">
        <v>586</v>
      </c>
      <c r="G110" t="b">
        <v>1</v>
      </c>
      <c r="H110" s="2">
        <v>45030.503807870373</v>
      </c>
      <c r="I110" t="s">
        <v>604</v>
      </c>
      <c r="N110">
        <v>37.783799999999999</v>
      </c>
      <c r="O110">
        <v>-99.895200000000003</v>
      </c>
      <c r="P110" t="s">
        <v>111</v>
      </c>
      <c r="Q110" t="s">
        <v>112</v>
      </c>
      <c r="R110" t="s">
        <v>605</v>
      </c>
      <c r="S110" t="s">
        <v>114</v>
      </c>
      <c r="W110">
        <v>10</v>
      </c>
      <c r="X110" t="s">
        <v>606</v>
      </c>
      <c r="Y110">
        <v>2</v>
      </c>
      <c r="AD110">
        <v>500</v>
      </c>
      <c r="AE110">
        <v>10</v>
      </c>
      <c r="AF110">
        <v>0.5</v>
      </c>
      <c r="AG110">
        <v>20</v>
      </c>
      <c r="AH110">
        <v>100</v>
      </c>
      <c r="AI110">
        <v>0.9</v>
      </c>
      <c r="AJ110">
        <v>0.1</v>
      </c>
      <c r="AK110" t="s">
        <v>208</v>
      </c>
      <c r="AL110" t="s">
        <v>605</v>
      </c>
      <c r="AM110" t="s">
        <v>117</v>
      </c>
    </row>
    <row r="111" spans="1:39" x14ac:dyDescent="0.2">
      <c r="A111" s="2">
        <v>45030.501585648148</v>
      </c>
      <c r="B111" s="2">
        <v>45030.503842592596</v>
      </c>
      <c r="C111" t="s">
        <v>42</v>
      </c>
      <c r="D111" t="s">
        <v>607</v>
      </c>
      <c r="E111">
        <v>100</v>
      </c>
      <c r="F111">
        <v>194</v>
      </c>
      <c r="G111" t="b">
        <v>1</v>
      </c>
      <c r="H111" s="2">
        <v>45030.503842592596</v>
      </c>
      <c r="I111" t="s">
        <v>608</v>
      </c>
      <c r="N111">
        <v>28.534400000000002</v>
      </c>
      <c r="O111">
        <v>-81.378299999999996</v>
      </c>
      <c r="P111" t="s">
        <v>111</v>
      </c>
      <c r="Q111" t="s">
        <v>112</v>
      </c>
      <c r="R111" t="s">
        <v>609</v>
      </c>
      <c r="S111" t="s">
        <v>114</v>
      </c>
      <c r="W111">
        <v>0</v>
      </c>
      <c r="X111" t="s">
        <v>610</v>
      </c>
      <c r="AC111" t="s">
        <v>611</v>
      </c>
      <c r="AD111">
        <v>500</v>
      </c>
      <c r="AE111">
        <v>10</v>
      </c>
      <c r="AF111" t="s">
        <v>612</v>
      </c>
      <c r="AG111">
        <v>20</v>
      </c>
      <c r="AH111">
        <v>100</v>
      </c>
      <c r="AI111">
        <v>9</v>
      </c>
      <c r="AJ111" t="s">
        <v>241</v>
      </c>
      <c r="AK111">
        <v>5</v>
      </c>
      <c r="AL111" t="s">
        <v>609</v>
      </c>
      <c r="AM111" t="s">
        <v>135</v>
      </c>
    </row>
    <row r="112" spans="1:39" x14ac:dyDescent="0.2">
      <c r="A112" s="2">
        <v>45030.499768518515</v>
      </c>
      <c r="B112" s="2">
        <v>45030.50403935185</v>
      </c>
      <c r="C112" t="s">
        <v>42</v>
      </c>
      <c r="D112" t="s">
        <v>613</v>
      </c>
      <c r="E112">
        <v>100</v>
      </c>
      <c r="F112">
        <v>368</v>
      </c>
      <c r="G112" t="b">
        <v>1</v>
      </c>
      <c r="H112" s="2">
        <v>45030.504050925927</v>
      </c>
      <c r="I112" t="s">
        <v>614</v>
      </c>
      <c r="N112">
        <v>30.4421</v>
      </c>
      <c r="O112">
        <v>-97.633899999999997</v>
      </c>
      <c r="P112" t="s">
        <v>111</v>
      </c>
      <c r="Q112" t="s">
        <v>112</v>
      </c>
      <c r="R112" t="s">
        <v>615</v>
      </c>
      <c r="S112" t="s">
        <v>114</v>
      </c>
      <c r="W112">
        <v>20</v>
      </c>
      <c r="X112" t="s">
        <v>616</v>
      </c>
      <c r="AC112">
        <v>2</v>
      </c>
      <c r="AD112">
        <v>500</v>
      </c>
      <c r="AE112">
        <v>10</v>
      </c>
      <c r="AF112">
        <v>1</v>
      </c>
      <c r="AG112">
        <v>20</v>
      </c>
      <c r="AH112">
        <v>100</v>
      </c>
      <c r="AI112">
        <v>10</v>
      </c>
      <c r="AJ112">
        <v>10</v>
      </c>
      <c r="AK112">
        <v>5</v>
      </c>
      <c r="AL112" t="s">
        <v>615</v>
      </c>
      <c r="AM112" t="s">
        <v>135</v>
      </c>
    </row>
    <row r="113" spans="1:39" x14ac:dyDescent="0.2">
      <c r="A113" s="2">
        <v>45030.500115740739</v>
      </c>
      <c r="B113" s="2">
        <v>45030.50403935185</v>
      </c>
      <c r="C113" t="s">
        <v>42</v>
      </c>
      <c r="D113" t="s">
        <v>617</v>
      </c>
      <c r="E113">
        <v>100</v>
      </c>
      <c r="F113">
        <v>339</v>
      </c>
      <c r="G113" t="b">
        <v>1</v>
      </c>
      <c r="H113" s="2">
        <v>45030.504050925927</v>
      </c>
      <c r="I113" t="s">
        <v>618</v>
      </c>
      <c r="N113">
        <v>27.7728</v>
      </c>
      <c r="O113">
        <v>-82.637900000000002</v>
      </c>
      <c r="P113" t="s">
        <v>111</v>
      </c>
      <c r="Q113" t="s">
        <v>112</v>
      </c>
      <c r="R113" t="s">
        <v>619</v>
      </c>
      <c r="S113" t="s">
        <v>114</v>
      </c>
      <c r="T113">
        <v>64</v>
      </c>
      <c r="V113">
        <v>0.5</v>
      </c>
      <c r="W113">
        <v>58</v>
      </c>
      <c r="X113" t="s">
        <v>620</v>
      </c>
      <c r="AD113">
        <v>500</v>
      </c>
      <c r="AE113">
        <v>10</v>
      </c>
      <c r="AF113">
        <v>1</v>
      </c>
      <c r="AG113">
        <v>20</v>
      </c>
      <c r="AH113">
        <v>100</v>
      </c>
      <c r="AI113">
        <v>9</v>
      </c>
      <c r="AJ113">
        <v>0.1</v>
      </c>
      <c r="AK113">
        <v>5</v>
      </c>
      <c r="AL113" t="s">
        <v>619</v>
      </c>
      <c r="AM113" t="s">
        <v>123</v>
      </c>
    </row>
    <row r="114" spans="1:39" x14ac:dyDescent="0.2">
      <c r="A114" s="2">
        <v>45030.50099537037</v>
      </c>
      <c r="B114" s="2">
        <v>45030.504143518519</v>
      </c>
      <c r="C114" t="s">
        <v>42</v>
      </c>
      <c r="D114" t="s">
        <v>621</v>
      </c>
      <c r="E114">
        <v>100</v>
      </c>
      <c r="F114">
        <v>272</v>
      </c>
      <c r="G114" t="b">
        <v>1</v>
      </c>
      <c r="H114" s="2">
        <v>45030.504155092596</v>
      </c>
      <c r="I114" t="s">
        <v>622</v>
      </c>
      <c r="N114">
        <v>40.840899999999998</v>
      </c>
      <c r="O114">
        <v>-79.859200000000001</v>
      </c>
      <c r="P114" t="s">
        <v>111</v>
      </c>
      <c r="Q114" t="s">
        <v>112</v>
      </c>
      <c r="R114" s="6" t="s">
        <v>623</v>
      </c>
      <c r="S114" t="s">
        <v>114</v>
      </c>
      <c r="W114">
        <v>10</v>
      </c>
      <c r="X114" t="s">
        <v>624</v>
      </c>
      <c r="AC114">
        <v>4</v>
      </c>
      <c r="AD114">
        <v>500</v>
      </c>
      <c r="AE114">
        <v>10</v>
      </c>
      <c r="AF114">
        <v>0.1</v>
      </c>
      <c r="AG114">
        <v>20</v>
      </c>
      <c r="AH114">
        <v>100</v>
      </c>
      <c r="AI114" t="s">
        <v>625</v>
      </c>
      <c r="AJ114">
        <v>0.1</v>
      </c>
      <c r="AK114" t="s">
        <v>164</v>
      </c>
      <c r="AL114" s="6" t="s">
        <v>623</v>
      </c>
      <c r="AM114" t="s">
        <v>135</v>
      </c>
    </row>
    <row r="115" spans="1:39" x14ac:dyDescent="0.2">
      <c r="A115" s="2">
        <v>45030.500324074077</v>
      </c>
      <c r="B115" s="2">
        <v>45030.504178240742</v>
      </c>
      <c r="C115" t="s">
        <v>42</v>
      </c>
      <c r="D115" t="s">
        <v>626</v>
      </c>
      <c r="E115">
        <v>100</v>
      </c>
      <c r="F115">
        <v>332</v>
      </c>
      <c r="G115" t="b">
        <v>1</v>
      </c>
      <c r="H115" s="2">
        <v>45030.504178240742</v>
      </c>
      <c r="I115" t="s">
        <v>627</v>
      </c>
      <c r="N115">
        <v>38.253900000000002</v>
      </c>
      <c r="O115">
        <v>-85.76</v>
      </c>
      <c r="P115" t="s">
        <v>111</v>
      </c>
      <c r="Q115" t="s">
        <v>112</v>
      </c>
      <c r="R115" t="s">
        <v>628</v>
      </c>
      <c r="S115" t="s">
        <v>114</v>
      </c>
      <c r="W115">
        <v>76</v>
      </c>
      <c r="X115" t="s">
        <v>629</v>
      </c>
      <c r="Z115">
        <v>5</v>
      </c>
      <c r="AD115">
        <v>400</v>
      </c>
      <c r="AE115">
        <v>10</v>
      </c>
      <c r="AF115">
        <v>10</v>
      </c>
      <c r="AG115">
        <v>20</v>
      </c>
      <c r="AH115">
        <v>10</v>
      </c>
      <c r="AI115">
        <v>10</v>
      </c>
      <c r="AJ115">
        <v>0.1</v>
      </c>
      <c r="AK115">
        <v>100</v>
      </c>
      <c r="AL115" t="s">
        <v>628</v>
      </c>
      <c r="AM115" t="s">
        <v>128</v>
      </c>
    </row>
    <row r="116" spans="1:39" x14ac:dyDescent="0.2">
      <c r="A116" s="2">
        <v>45030.500578703701</v>
      </c>
      <c r="B116" s="2">
        <v>45030.504247685189</v>
      </c>
      <c r="C116" t="s">
        <v>42</v>
      </c>
      <c r="D116" t="s">
        <v>630</v>
      </c>
      <c r="E116">
        <v>100</v>
      </c>
      <c r="F116">
        <v>316</v>
      </c>
      <c r="G116" t="b">
        <v>1</v>
      </c>
      <c r="H116" s="2">
        <v>45030.504259259258</v>
      </c>
      <c r="I116" t="s">
        <v>631</v>
      </c>
      <c r="N116">
        <v>37.492800000000003</v>
      </c>
      <c r="O116">
        <v>-77.47</v>
      </c>
      <c r="P116" t="s">
        <v>111</v>
      </c>
      <c r="Q116" t="s">
        <v>112</v>
      </c>
      <c r="R116" t="s">
        <v>632</v>
      </c>
      <c r="S116" t="s">
        <v>114</v>
      </c>
      <c r="W116">
        <v>42</v>
      </c>
      <c r="X116" t="s">
        <v>633</v>
      </c>
      <c r="AA116" t="s">
        <v>634</v>
      </c>
      <c r="AD116">
        <v>500</v>
      </c>
      <c r="AE116">
        <v>10</v>
      </c>
      <c r="AF116" s="4">
        <v>1E-3</v>
      </c>
      <c r="AG116">
        <v>20</v>
      </c>
      <c r="AH116" s="3">
        <v>0.01</v>
      </c>
      <c r="AI116" s="3">
        <v>0.1</v>
      </c>
      <c r="AJ116">
        <v>0.1</v>
      </c>
      <c r="AK116" t="s">
        <v>164</v>
      </c>
      <c r="AL116" t="s">
        <v>632</v>
      </c>
      <c r="AM116" t="s">
        <v>128</v>
      </c>
    </row>
    <row r="117" spans="1:39" x14ac:dyDescent="0.2">
      <c r="A117" s="2">
        <v>45030.501851851855</v>
      </c>
      <c r="B117" s="2">
        <v>45030.504328703704</v>
      </c>
      <c r="C117" t="s">
        <v>42</v>
      </c>
      <c r="D117" t="s">
        <v>635</v>
      </c>
      <c r="E117">
        <v>100</v>
      </c>
      <c r="F117">
        <v>213</v>
      </c>
      <c r="G117" t="b">
        <v>1</v>
      </c>
      <c r="H117" s="2">
        <v>45030.504328703704</v>
      </c>
      <c r="I117" t="s">
        <v>636</v>
      </c>
      <c r="N117">
        <v>28.0303</v>
      </c>
      <c r="O117">
        <v>-82.781599999999997</v>
      </c>
      <c r="P117" t="s">
        <v>111</v>
      </c>
      <c r="Q117" t="s">
        <v>112</v>
      </c>
      <c r="R117" t="s">
        <v>637</v>
      </c>
      <c r="S117" t="s">
        <v>114</v>
      </c>
      <c r="W117">
        <v>0</v>
      </c>
      <c r="X117" t="s">
        <v>638</v>
      </c>
      <c r="Y117">
        <v>3</v>
      </c>
      <c r="AD117">
        <v>500</v>
      </c>
      <c r="AE117">
        <v>10</v>
      </c>
      <c r="AF117">
        <v>0.01</v>
      </c>
      <c r="AG117">
        <v>20</v>
      </c>
      <c r="AH117">
        <v>100</v>
      </c>
      <c r="AI117">
        <v>90</v>
      </c>
      <c r="AJ117">
        <v>0.1</v>
      </c>
      <c r="AK117">
        <v>5</v>
      </c>
      <c r="AL117" t="s">
        <v>637</v>
      </c>
      <c r="AM117" t="s">
        <v>117</v>
      </c>
    </row>
    <row r="118" spans="1:39" x14ac:dyDescent="0.2">
      <c r="A118" s="2">
        <v>45030.496736111112</v>
      </c>
      <c r="B118" s="2">
        <v>45030.504351851851</v>
      </c>
      <c r="C118" t="s">
        <v>42</v>
      </c>
      <c r="D118" t="s">
        <v>639</v>
      </c>
      <c r="E118">
        <v>100</v>
      </c>
      <c r="F118">
        <v>657</v>
      </c>
      <c r="G118" t="b">
        <v>1</v>
      </c>
      <c r="H118" s="2">
        <v>45030.504351851851</v>
      </c>
      <c r="I118" t="s">
        <v>640</v>
      </c>
      <c r="N118">
        <v>35.149900000000002</v>
      </c>
      <c r="O118">
        <v>-90.055800000000005</v>
      </c>
      <c r="P118" t="s">
        <v>111</v>
      </c>
      <c r="Q118" t="s">
        <v>112</v>
      </c>
      <c r="R118" t="s">
        <v>641</v>
      </c>
      <c r="S118" t="s">
        <v>114</v>
      </c>
      <c r="W118">
        <v>50</v>
      </c>
      <c r="X118" t="s">
        <v>642</v>
      </c>
      <c r="Z118" t="s">
        <v>611</v>
      </c>
      <c r="AD118" s="3">
        <v>0.5</v>
      </c>
      <c r="AE118">
        <v>10</v>
      </c>
      <c r="AF118" s="3">
        <v>0.01</v>
      </c>
      <c r="AG118" s="3">
        <v>0.2</v>
      </c>
      <c r="AH118">
        <v>100</v>
      </c>
      <c r="AI118" s="3">
        <v>0.1</v>
      </c>
      <c r="AJ118">
        <v>1.05</v>
      </c>
      <c r="AK118" t="s">
        <v>643</v>
      </c>
      <c r="AL118" t="s">
        <v>641</v>
      </c>
      <c r="AM118" t="s">
        <v>128</v>
      </c>
    </row>
    <row r="119" spans="1:39" x14ac:dyDescent="0.2">
      <c r="A119" s="2">
        <v>45030.499467592592</v>
      </c>
      <c r="B119" s="2">
        <v>45030.504386574074</v>
      </c>
      <c r="C119" t="s">
        <v>42</v>
      </c>
      <c r="D119" t="s">
        <v>644</v>
      </c>
      <c r="E119">
        <v>100</v>
      </c>
      <c r="F119">
        <v>425</v>
      </c>
      <c r="G119" t="b">
        <v>1</v>
      </c>
      <c r="H119" s="2">
        <v>45030.50439814815</v>
      </c>
      <c r="I119" t="s">
        <v>645</v>
      </c>
      <c r="N119">
        <v>38.456099999999999</v>
      </c>
      <c r="O119">
        <v>-122.6401</v>
      </c>
      <c r="P119" t="s">
        <v>111</v>
      </c>
      <c r="Q119" t="s">
        <v>112</v>
      </c>
      <c r="R119" t="s">
        <v>646</v>
      </c>
      <c r="S119" t="s">
        <v>114</v>
      </c>
      <c r="W119">
        <v>84</v>
      </c>
      <c r="X119" t="s">
        <v>647</v>
      </c>
      <c r="Z119">
        <v>0.5</v>
      </c>
      <c r="AD119">
        <v>500</v>
      </c>
      <c r="AE119">
        <v>10</v>
      </c>
      <c r="AF119" s="4">
        <v>1E-3</v>
      </c>
      <c r="AG119">
        <v>20</v>
      </c>
      <c r="AH119">
        <v>100</v>
      </c>
      <c r="AI119" s="3">
        <v>0.1</v>
      </c>
      <c r="AJ119">
        <v>0.1</v>
      </c>
      <c r="AK119" t="s">
        <v>159</v>
      </c>
      <c r="AL119" t="s">
        <v>646</v>
      </c>
      <c r="AM119" t="s">
        <v>128</v>
      </c>
    </row>
    <row r="120" spans="1:39" x14ac:dyDescent="0.2">
      <c r="A120" s="2">
        <v>45030.495486111111</v>
      </c>
      <c r="B120" s="2">
        <v>45030.504583333335</v>
      </c>
      <c r="C120" t="s">
        <v>42</v>
      </c>
      <c r="D120" t="s">
        <v>648</v>
      </c>
      <c r="E120">
        <v>100</v>
      </c>
      <c r="F120">
        <v>785</v>
      </c>
      <c r="G120" t="b">
        <v>1</v>
      </c>
      <c r="H120" s="2">
        <v>45030.504594907405</v>
      </c>
      <c r="I120" t="s">
        <v>649</v>
      </c>
      <c r="N120">
        <v>42.280700000000003</v>
      </c>
      <c r="O120">
        <v>-83.780100000000004</v>
      </c>
      <c r="P120" t="s">
        <v>111</v>
      </c>
      <c r="Q120" t="s">
        <v>112</v>
      </c>
      <c r="R120" t="s">
        <v>650</v>
      </c>
      <c r="S120" t="s">
        <v>114</v>
      </c>
      <c r="W120">
        <v>10</v>
      </c>
      <c r="X120" t="s">
        <v>651</v>
      </c>
      <c r="AC120" t="s">
        <v>652</v>
      </c>
      <c r="AD120">
        <v>500</v>
      </c>
      <c r="AE120">
        <v>10</v>
      </c>
      <c r="AF120">
        <v>1E-3</v>
      </c>
      <c r="AG120">
        <v>20</v>
      </c>
      <c r="AH120">
        <v>100</v>
      </c>
      <c r="AI120" s="3">
        <v>0.1</v>
      </c>
      <c r="AJ120">
        <v>0.05</v>
      </c>
      <c r="AK120">
        <v>5</v>
      </c>
      <c r="AL120" t="s">
        <v>650</v>
      </c>
      <c r="AM120" t="s">
        <v>135</v>
      </c>
    </row>
    <row r="121" spans="1:39" x14ac:dyDescent="0.2">
      <c r="A121" s="2">
        <v>45030.497303240743</v>
      </c>
      <c r="B121" s="2">
        <v>45030.504780092589</v>
      </c>
      <c r="C121" t="s">
        <v>42</v>
      </c>
      <c r="D121" t="s">
        <v>653</v>
      </c>
      <c r="E121">
        <v>100</v>
      </c>
      <c r="F121">
        <v>646</v>
      </c>
      <c r="G121" t="b">
        <v>1</v>
      </c>
      <c r="H121" s="2">
        <v>45030.504791666666</v>
      </c>
      <c r="I121" t="s">
        <v>654</v>
      </c>
      <c r="N121">
        <v>41.850200000000001</v>
      </c>
      <c r="O121">
        <v>-87.673599999999993</v>
      </c>
      <c r="P121" t="s">
        <v>111</v>
      </c>
      <c r="Q121" t="s">
        <v>112</v>
      </c>
      <c r="R121" t="s">
        <v>655</v>
      </c>
      <c r="S121" t="s">
        <v>114</v>
      </c>
      <c r="W121">
        <v>73</v>
      </c>
      <c r="X121" t="s">
        <v>656</v>
      </c>
      <c r="Z121">
        <v>2</v>
      </c>
      <c r="AD121">
        <v>500</v>
      </c>
      <c r="AE121">
        <v>0.01</v>
      </c>
      <c r="AF121">
        <v>0.01</v>
      </c>
      <c r="AG121">
        <v>20</v>
      </c>
      <c r="AH121">
        <v>1</v>
      </c>
      <c r="AI121">
        <v>50</v>
      </c>
      <c r="AJ121">
        <v>0.05</v>
      </c>
      <c r="AK121">
        <v>1</v>
      </c>
      <c r="AL121" t="s">
        <v>655</v>
      </c>
      <c r="AM121" t="s">
        <v>128</v>
      </c>
    </row>
    <row r="122" spans="1:39" x14ac:dyDescent="0.2">
      <c r="A122" s="2">
        <v>45030.497546296298</v>
      </c>
      <c r="B122" s="2">
        <v>45030.504826388889</v>
      </c>
      <c r="C122" t="s">
        <v>42</v>
      </c>
      <c r="D122" t="s">
        <v>657</v>
      </c>
      <c r="E122">
        <v>100</v>
      </c>
      <c r="F122">
        <v>629</v>
      </c>
      <c r="G122" t="b">
        <v>1</v>
      </c>
      <c r="H122" s="2">
        <v>45030.504826388889</v>
      </c>
      <c r="I122" t="s">
        <v>658</v>
      </c>
      <c r="N122">
        <v>32.744100000000003</v>
      </c>
      <c r="O122">
        <v>-100.9228</v>
      </c>
      <c r="P122" t="s">
        <v>111</v>
      </c>
      <c r="Q122" t="s">
        <v>112</v>
      </c>
      <c r="R122" t="s">
        <v>659</v>
      </c>
      <c r="S122" t="s">
        <v>114</v>
      </c>
      <c r="T122">
        <v>65</v>
      </c>
      <c r="V122">
        <v>0.02</v>
      </c>
      <c r="W122">
        <v>75</v>
      </c>
      <c r="X122" t="s">
        <v>660</v>
      </c>
      <c r="AD122">
        <v>50</v>
      </c>
      <c r="AE122">
        <v>10</v>
      </c>
      <c r="AF122">
        <v>1</v>
      </c>
      <c r="AG122">
        <v>5</v>
      </c>
      <c r="AH122">
        <v>100</v>
      </c>
      <c r="AI122" s="3">
        <v>0.2</v>
      </c>
      <c r="AJ122">
        <v>0.1</v>
      </c>
      <c r="AK122">
        <v>100</v>
      </c>
      <c r="AL122" t="s">
        <v>659</v>
      </c>
      <c r="AM122" t="s">
        <v>123</v>
      </c>
    </row>
    <row r="123" spans="1:39" x14ac:dyDescent="0.2">
      <c r="A123" s="2">
        <v>45030.503576388888</v>
      </c>
      <c r="B123" s="2">
        <v>45030.504918981482</v>
      </c>
      <c r="C123" t="s">
        <v>42</v>
      </c>
      <c r="D123" t="s">
        <v>661</v>
      </c>
      <c r="E123">
        <v>100</v>
      </c>
      <c r="F123">
        <v>115</v>
      </c>
      <c r="G123" t="b">
        <v>1</v>
      </c>
      <c r="H123" s="2">
        <v>45030.504930555559</v>
      </c>
      <c r="I123" t="s">
        <v>662</v>
      </c>
      <c r="N123">
        <v>26.305099999999999</v>
      </c>
      <c r="O123">
        <v>-80.244699999999995</v>
      </c>
      <c r="P123" t="s">
        <v>111</v>
      </c>
      <c r="Q123" t="s">
        <v>112</v>
      </c>
      <c r="R123" t="s">
        <v>663</v>
      </c>
      <c r="S123" t="s">
        <v>114</v>
      </c>
      <c r="W123">
        <v>60</v>
      </c>
      <c r="X123" t="s">
        <v>664</v>
      </c>
      <c r="AB123">
        <v>2</v>
      </c>
      <c r="AD123">
        <v>234</v>
      </c>
      <c r="AE123">
        <v>10</v>
      </c>
      <c r="AF123">
        <v>10</v>
      </c>
      <c r="AG123">
        <v>5</v>
      </c>
      <c r="AH123">
        <v>10</v>
      </c>
      <c r="AI123">
        <v>18</v>
      </c>
      <c r="AJ123">
        <v>0.1</v>
      </c>
      <c r="AK123">
        <v>100</v>
      </c>
      <c r="AL123" t="s">
        <v>663</v>
      </c>
      <c r="AM123" t="s">
        <v>135</v>
      </c>
    </row>
    <row r="124" spans="1:39" x14ac:dyDescent="0.2">
      <c r="A124" s="2">
        <v>45030.501284722224</v>
      </c>
      <c r="B124" s="2">
        <v>45030.505127314813</v>
      </c>
      <c r="C124" t="s">
        <v>42</v>
      </c>
      <c r="D124" t="s">
        <v>665</v>
      </c>
      <c r="E124">
        <v>100</v>
      </c>
      <c r="F124">
        <v>331</v>
      </c>
      <c r="G124" t="b">
        <v>1</v>
      </c>
      <c r="H124" s="2">
        <v>45030.505127314813</v>
      </c>
      <c r="I124" t="s">
        <v>666</v>
      </c>
      <c r="N124">
        <v>28.565100000000001</v>
      </c>
      <c r="O124">
        <v>-82.375500000000002</v>
      </c>
      <c r="P124" t="s">
        <v>111</v>
      </c>
      <c r="Q124" t="s">
        <v>112</v>
      </c>
      <c r="R124" t="s">
        <v>667</v>
      </c>
      <c r="S124" t="s">
        <v>114</v>
      </c>
      <c r="W124">
        <v>40</v>
      </c>
      <c r="X124" t="s">
        <v>668</v>
      </c>
      <c r="AA124">
        <v>0.5</v>
      </c>
      <c r="AD124">
        <v>500</v>
      </c>
      <c r="AE124">
        <v>1</v>
      </c>
      <c r="AF124">
        <v>1000</v>
      </c>
      <c r="AG124">
        <v>20</v>
      </c>
      <c r="AH124">
        <v>100</v>
      </c>
      <c r="AI124" s="3">
        <v>0.5</v>
      </c>
      <c r="AJ124" t="s">
        <v>241</v>
      </c>
      <c r="AK124" t="s">
        <v>164</v>
      </c>
      <c r="AL124" t="s">
        <v>667</v>
      </c>
      <c r="AM124" t="s">
        <v>128</v>
      </c>
    </row>
    <row r="125" spans="1:39" x14ac:dyDescent="0.2">
      <c r="A125" s="2">
        <v>45030.502245370371</v>
      </c>
      <c r="B125" s="2">
        <v>45030.505219907405</v>
      </c>
      <c r="C125" t="s">
        <v>42</v>
      </c>
      <c r="D125" t="s">
        <v>669</v>
      </c>
      <c r="E125">
        <v>100</v>
      </c>
      <c r="F125">
        <v>257</v>
      </c>
      <c r="G125" t="b">
        <v>1</v>
      </c>
      <c r="H125" s="2">
        <v>45030.505231481482</v>
      </c>
      <c r="I125" t="s">
        <v>670</v>
      </c>
      <c r="N125">
        <v>42.437800000000003</v>
      </c>
      <c r="O125">
        <v>-71.2239</v>
      </c>
      <c r="P125" t="s">
        <v>111</v>
      </c>
      <c r="Q125" t="s">
        <v>112</v>
      </c>
      <c r="R125" t="s">
        <v>671</v>
      </c>
      <c r="S125" t="s">
        <v>114</v>
      </c>
      <c r="W125">
        <v>18</v>
      </c>
      <c r="X125" t="s">
        <v>672</v>
      </c>
      <c r="AC125">
        <v>2</v>
      </c>
      <c r="AD125">
        <v>500</v>
      </c>
      <c r="AE125">
        <v>10</v>
      </c>
      <c r="AF125">
        <v>0.1</v>
      </c>
      <c r="AG125">
        <v>20</v>
      </c>
      <c r="AH125">
        <v>100</v>
      </c>
      <c r="AI125" s="3">
        <v>0.5</v>
      </c>
      <c r="AJ125">
        <v>0.05</v>
      </c>
      <c r="AK125" t="s">
        <v>159</v>
      </c>
      <c r="AL125" t="s">
        <v>671</v>
      </c>
      <c r="AM125" t="s">
        <v>135</v>
      </c>
    </row>
    <row r="126" spans="1:39" x14ac:dyDescent="0.2">
      <c r="A126" s="2">
        <v>45030.493414351855</v>
      </c>
      <c r="B126" s="2">
        <v>45030.505231481482</v>
      </c>
      <c r="C126" t="s">
        <v>42</v>
      </c>
      <c r="D126" t="s">
        <v>673</v>
      </c>
      <c r="E126">
        <v>100</v>
      </c>
      <c r="F126">
        <v>1020</v>
      </c>
      <c r="G126" t="b">
        <v>1</v>
      </c>
      <c r="H126" s="2">
        <v>45030.505231481482</v>
      </c>
      <c r="I126" t="s">
        <v>674</v>
      </c>
      <c r="N126">
        <v>41.8095</v>
      </c>
      <c r="O126">
        <v>-87.652199999999993</v>
      </c>
      <c r="P126" t="s">
        <v>111</v>
      </c>
      <c r="Q126" t="s">
        <v>112</v>
      </c>
      <c r="R126" t="s">
        <v>675</v>
      </c>
      <c r="S126" t="s">
        <v>114</v>
      </c>
      <c r="W126">
        <v>0</v>
      </c>
      <c r="X126" t="s">
        <v>676</v>
      </c>
      <c r="AC126" t="s">
        <v>308</v>
      </c>
      <c r="AD126" t="s">
        <v>534</v>
      </c>
      <c r="AE126" t="s">
        <v>535</v>
      </c>
      <c r="AF126" s="4">
        <v>1E-3</v>
      </c>
      <c r="AG126" s="3">
        <v>0.2</v>
      </c>
      <c r="AH126">
        <v>100</v>
      </c>
      <c r="AI126" t="s">
        <v>677</v>
      </c>
      <c r="AJ126" s="5">
        <v>0.1</v>
      </c>
      <c r="AK126" t="s">
        <v>208</v>
      </c>
      <c r="AL126" t="s">
        <v>675</v>
      </c>
      <c r="AM126" t="s">
        <v>135</v>
      </c>
    </row>
    <row r="127" spans="1:39" x14ac:dyDescent="0.2">
      <c r="A127" s="2">
        <v>45030.501979166664</v>
      </c>
      <c r="B127" s="2">
        <v>45030.505243055559</v>
      </c>
      <c r="C127" t="s">
        <v>42</v>
      </c>
      <c r="D127" t="s">
        <v>678</v>
      </c>
      <c r="E127">
        <v>100</v>
      </c>
      <c r="F127">
        <v>281</v>
      </c>
      <c r="G127" t="b">
        <v>1</v>
      </c>
      <c r="H127" s="2">
        <v>45030.505243055559</v>
      </c>
      <c r="I127" t="s">
        <v>679</v>
      </c>
      <c r="N127">
        <v>39.534799999999997</v>
      </c>
      <c r="O127">
        <v>-82.409599999999998</v>
      </c>
      <c r="P127" t="s">
        <v>111</v>
      </c>
      <c r="Q127" t="s">
        <v>112</v>
      </c>
      <c r="R127" t="s">
        <v>680</v>
      </c>
      <c r="S127" t="s">
        <v>114</v>
      </c>
      <c r="W127">
        <v>22</v>
      </c>
      <c r="X127" t="s">
        <v>681</v>
      </c>
      <c r="AC127">
        <v>2.5</v>
      </c>
      <c r="AD127">
        <v>100</v>
      </c>
      <c r="AE127">
        <v>10</v>
      </c>
      <c r="AF127">
        <v>1</v>
      </c>
      <c r="AG127">
        <v>20</v>
      </c>
      <c r="AH127">
        <v>10</v>
      </c>
      <c r="AI127" s="3">
        <v>0.09</v>
      </c>
      <c r="AJ127">
        <v>10</v>
      </c>
      <c r="AK127">
        <v>100</v>
      </c>
      <c r="AL127" t="s">
        <v>680</v>
      </c>
      <c r="AM127" t="s">
        <v>135</v>
      </c>
    </row>
    <row r="128" spans="1:39" x14ac:dyDescent="0.2">
      <c r="A128" s="2">
        <v>45030.499467592592</v>
      </c>
      <c r="B128" s="2">
        <v>45030.505312499998</v>
      </c>
      <c r="C128" t="s">
        <v>42</v>
      </c>
      <c r="D128" t="s">
        <v>682</v>
      </c>
      <c r="E128">
        <v>100</v>
      </c>
      <c r="F128">
        <v>504</v>
      </c>
      <c r="G128" t="b">
        <v>1</v>
      </c>
      <c r="H128" s="2">
        <v>45030.505324074074</v>
      </c>
      <c r="I128" t="s">
        <v>683</v>
      </c>
      <c r="N128">
        <v>34.849499999999999</v>
      </c>
      <c r="O128">
        <v>-87.323700000000002</v>
      </c>
      <c r="P128" t="s">
        <v>111</v>
      </c>
      <c r="Q128" t="s">
        <v>112</v>
      </c>
      <c r="R128" t="s">
        <v>684</v>
      </c>
      <c r="S128" t="s">
        <v>114</v>
      </c>
      <c r="W128">
        <v>75</v>
      </c>
      <c r="X128" t="s">
        <v>685</v>
      </c>
      <c r="Y128">
        <v>2.5</v>
      </c>
      <c r="AD128">
        <v>500</v>
      </c>
      <c r="AE128">
        <v>10</v>
      </c>
      <c r="AF128">
        <v>1</v>
      </c>
      <c r="AG128">
        <v>20</v>
      </c>
      <c r="AH128">
        <v>100</v>
      </c>
      <c r="AI128">
        <v>90</v>
      </c>
      <c r="AJ128">
        <v>0.05</v>
      </c>
      <c r="AK128">
        <v>100</v>
      </c>
      <c r="AL128" t="s">
        <v>684</v>
      </c>
      <c r="AM128" t="s">
        <v>117</v>
      </c>
    </row>
    <row r="129" spans="1:39" x14ac:dyDescent="0.2">
      <c r="A129" s="2">
        <v>45030.503437500003</v>
      </c>
      <c r="B129" s="2">
        <v>45030.505532407406</v>
      </c>
      <c r="C129" t="s">
        <v>42</v>
      </c>
      <c r="D129" t="s">
        <v>686</v>
      </c>
      <c r="E129">
        <v>100</v>
      </c>
      <c r="F129">
        <v>180</v>
      </c>
      <c r="G129" t="b">
        <v>1</v>
      </c>
      <c r="H129" s="2">
        <v>45030.505532407406</v>
      </c>
      <c r="I129" t="s">
        <v>687</v>
      </c>
      <c r="N129">
        <v>26.213999999999999</v>
      </c>
      <c r="O129">
        <v>-98.326700000000002</v>
      </c>
      <c r="P129" t="s">
        <v>111</v>
      </c>
      <c r="Q129" t="s">
        <v>112</v>
      </c>
      <c r="R129" t="s">
        <v>688</v>
      </c>
      <c r="S129" t="s">
        <v>114</v>
      </c>
      <c r="T129">
        <v>27</v>
      </c>
      <c r="U129">
        <v>5</v>
      </c>
      <c r="W129">
        <v>50</v>
      </c>
      <c r="X129" t="s">
        <v>689</v>
      </c>
      <c r="AD129">
        <v>500</v>
      </c>
      <c r="AE129">
        <v>10</v>
      </c>
      <c r="AF129">
        <v>1E-3</v>
      </c>
      <c r="AG129">
        <v>20</v>
      </c>
      <c r="AH129">
        <v>100</v>
      </c>
      <c r="AI129">
        <v>90</v>
      </c>
      <c r="AJ129">
        <v>0.05</v>
      </c>
      <c r="AK129">
        <v>5</v>
      </c>
      <c r="AL129" t="s">
        <v>688</v>
      </c>
      <c r="AM129" t="s">
        <v>123</v>
      </c>
    </row>
    <row r="130" spans="1:39" x14ac:dyDescent="0.2">
      <c r="A130" s="2">
        <v>45030.503796296296</v>
      </c>
      <c r="B130" s="2">
        <v>45030.505555555559</v>
      </c>
      <c r="C130" t="s">
        <v>42</v>
      </c>
      <c r="D130" t="s">
        <v>690</v>
      </c>
      <c r="E130">
        <v>100</v>
      </c>
      <c r="F130">
        <v>151</v>
      </c>
      <c r="G130" t="b">
        <v>1</v>
      </c>
      <c r="H130" s="2">
        <v>45030.505555555559</v>
      </c>
      <c r="I130" t="s">
        <v>691</v>
      </c>
      <c r="N130">
        <v>40.177300000000002</v>
      </c>
      <c r="O130">
        <v>-105.1009</v>
      </c>
      <c r="P130" t="s">
        <v>111</v>
      </c>
      <c r="Q130" t="s">
        <v>112</v>
      </c>
      <c r="R130" t="s">
        <v>692</v>
      </c>
      <c r="S130" t="s">
        <v>114</v>
      </c>
      <c r="W130">
        <v>37</v>
      </c>
      <c r="X130" t="s">
        <v>693</v>
      </c>
      <c r="Y130" t="s">
        <v>625</v>
      </c>
      <c r="AD130">
        <v>500</v>
      </c>
      <c r="AE130">
        <v>10</v>
      </c>
      <c r="AF130">
        <v>0.1</v>
      </c>
      <c r="AG130">
        <v>20</v>
      </c>
      <c r="AH130">
        <v>100</v>
      </c>
      <c r="AI130" s="3">
        <v>0.5</v>
      </c>
      <c r="AJ130">
        <v>10</v>
      </c>
      <c r="AK130">
        <v>5</v>
      </c>
      <c r="AL130" t="s">
        <v>692</v>
      </c>
      <c r="AM130" t="s">
        <v>117</v>
      </c>
    </row>
    <row r="131" spans="1:39" x14ac:dyDescent="0.2">
      <c r="A131" s="2">
        <v>45030.502465277779</v>
      </c>
      <c r="B131" s="2">
        <v>45030.505601851852</v>
      </c>
      <c r="C131" t="s">
        <v>42</v>
      </c>
      <c r="D131" t="s">
        <v>694</v>
      </c>
      <c r="E131">
        <v>100</v>
      </c>
      <c r="F131">
        <v>271</v>
      </c>
      <c r="G131" t="b">
        <v>1</v>
      </c>
      <c r="H131" s="2">
        <v>45030.505613425928</v>
      </c>
      <c r="I131" t="s">
        <v>695</v>
      </c>
      <c r="N131">
        <v>39.919199999999996</v>
      </c>
      <c r="O131">
        <v>-85.367599999999996</v>
      </c>
      <c r="P131" t="s">
        <v>111</v>
      </c>
      <c r="Q131" t="s">
        <v>112</v>
      </c>
      <c r="R131" t="s">
        <v>696</v>
      </c>
      <c r="S131" t="s">
        <v>114</v>
      </c>
      <c r="W131">
        <v>10</v>
      </c>
      <c r="X131" t="s">
        <v>697</v>
      </c>
      <c r="AA131">
        <v>3</v>
      </c>
      <c r="AD131">
        <v>500</v>
      </c>
      <c r="AE131">
        <v>10</v>
      </c>
      <c r="AF131">
        <v>99</v>
      </c>
      <c r="AG131">
        <v>20</v>
      </c>
      <c r="AH131">
        <v>100</v>
      </c>
      <c r="AI131">
        <v>50</v>
      </c>
      <c r="AJ131">
        <v>0.1</v>
      </c>
      <c r="AK131" t="s">
        <v>159</v>
      </c>
      <c r="AL131" t="s">
        <v>696</v>
      </c>
      <c r="AM131" t="s">
        <v>128</v>
      </c>
    </row>
    <row r="132" spans="1:39" x14ac:dyDescent="0.2">
      <c r="A132" s="2">
        <v>45030.498611111114</v>
      </c>
      <c r="B132" s="2">
        <v>45030.505636574075</v>
      </c>
      <c r="C132" t="s">
        <v>42</v>
      </c>
      <c r="D132" t="s">
        <v>698</v>
      </c>
      <c r="E132">
        <v>100</v>
      </c>
      <c r="F132">
        <v>606</v>
      </c>
      <c r="G132" t="b">
        <v>1</v>
      </c>
      <c r="H132" s="2">
        <v>45030.505636574075</v>
      </c>
      <c r="I132" t="s">
        <v>699</v>
      </c>
      <c r="N132">
        <v>42.650799999999997</v>
      </c>
      <c r="O132">
        <v>-71.160700000000006</v>
      </c>
      <c r="P132" t="s">
        <v>111</v>
      </c>
      <c r="Q132" t="s">
        <v>112</v>
      </c>
      <c r="R132" t="s">
        <v>700</v>
      </c>
      <c r="S132" t="s">
        <v>114</v>
      </c>
      <c r="W132">
        <v>9</v>
      </c>
      <c r="X132" t="s">
        <v>701</v>
      </c>
      <c r="Y132" t="s">
        <v>702</v>
      </c>
      <c r="AD132">
        <v>500</v>
      </c>
      <c r="AE132">
        <v>10</v>
      </c>
      <c r="AF132" s="4">
        <v>1E-3</v>
      </c>
      <c r="AG132">
        <v>20</v>
      </c>
      <c r="AH132">
        <v>100</v>
      </c>
      <c r="AI132" s="3">
        <v>0.5</v>
      </c>
      <c r="AJ132" t="s">
        <v>703</v>
      </c>
      <c r="AK132" t="s">
        <v>159</v>
      </c>
      <c r="AL132" t="s">
        <v>700</v>
      </c>
      <c r="AM132" t="s">
        <v>117</v>
      </c>
    </row>
    <row r="133" spans="1:39" x14ac:dyDescent="0.2">
      <c r="A133" s="2">
        <v>45030.497824074075</v>
      </c>
      <c r="B133" s="2">
        <v>45030.505833333336</v>
      </c>
      <c r="C133" t="s">
        <v>42</v>
      </c>
      <c r="D133" t="s">
        <v>704</v>
      </c>
      <c r="E133">
        <v>100</v>
      </c>
      <c r="F133">
        <v>692</v>
      </c>
      <c r="G133" t="b">
        <v>1</v>
      </c>
      <c r="H133" s="2">
        <v>45030.505844907406</v>
      </c>
      <c r="I133" t="s">
        <v>705</v>
      </c>
      <c r="N133">
        <v>29.9177</v>
      </c>
      <c r="O133">
        <v>-93.924400000000006</v>
      </c>
      <c r="P133" t="s">
        <v>111</v>
      </c>
      <c r="Q133" t="s">
        <v>112</v>
      </c>
      <c r="R133" t="s">
        <v>706</v>
      </c>
      <c r="S133" t="s">
        <v>114</v>
      </c>
      <c r="T133">
        <v>80</v>
      </c>
      <c r="V133">
        <v>2</v>
      </c>
      <c r="W133">
        <v>91</v>
      </c>
      <c r="X133" t="s">
        <v>707</v>
      </c>
      <c r="AD133">
        <v>300</v>
      </c>
      <c r="AE133">
        <v>10</v>
      </c>
      <c r="AF133">
        <v>10</v>
      </c>
      <c r="AG133">
        <v>10</v>
      </c>
      <c r="AH133">
        <v>100</v>
      </c>
      <c r="AI133">
        <v>10</v>
      </c>
      <c r="AJ133">
        <v>10</v>
      </c>
      <c r="AK133">
        <v>10</v>
      </c>
      <c r="AL133" t="s">
        <v>706</v>
      </c>
      <c r="AM133" t="s">
        <v>123</v>
      </c>
    </row>
    <row r="134" spans="1:39" x14ac:dyDescent="0.2">
      <c r="A134" s="2">
        <v>45030.501944444448</v>
      </c>
      <c r="B134" s="2">
        <v>45030.505902777775</v>
      </c>
      <c r="C134" t="s">
        <v>42</v>
      </c>
      <c r="D134" t="s">
        <v>708</v>
      </c>
      <c r="E134">
        <v>100</v>
      </c>
      <c r="F134">
        <v>341</v>
      </c>
      <c r="G134" t="b">
        <v>1</v>
      </c>
      <c r="H134" s="2">
        <v>45030.505914351852</v>
      </c>
      <c r="I134" t="s">
        <v>709</v>
      </c>
      <c r="N134">
        <v>39.830399999999997</v>
      </c>
      <c r="O134">
        <v>-89.649799999999999</v>
      </c>
      <c r="P134" t="s">
        <v>111</v>
      </c>
      <c r="Q134" t="s">
        <v>112</v>
      </c>
      <c r="R134" t="s">
        <v>710</v>
      </c>
      <c r="S134" t="s">
        <v>114</v>
      </c>
      <c r="T134">
        <v>10</v>
      </c>
      <c r="U134">
        <v>2</v>
      </c>
      <c r="W134">
        <v>10</v>
      </c>
      <c r="X134" t="s">
        <v>711</v>
      </c>
      <c r="AD134">
        <v>500</v>
      </c>
      <c r="AE134">
        <v>10</v>
      </c>
      <c r="AF134" s="4">
        <v>1E-3</v>
      </c>
      <c r="AG134" s="3">
        <v>0.2</v>
      </c>
      <c r="AH134">
        <v>100</v>
      </c>
      <c r="AI134" s="3">
        <v>0.55000000000000004</v>
      </c>
      <c r="AJ134" s="5">
        <v>0.05</v>
      </c>
      <c r="AK134" t="s">
        <v>208</v>
      </c>
      <c r="AL134" t="s">
        <v>710</v>
      </c>
      <c r="AM134" t="s">
        <v>123</v>
      </c>
    </row>
    <row r="135" spans="1:39" x14ac:dyDescent="0.2">
      <c r="A135" s="2">
        <v>45030.503275462965</v>
      </c>
      <c r="B135" s="2">
        <v>45030.506076388891</v>
      </c>
      <c r="C135" t="s">
        <v>42</v>
      </c>
      <c r="D135" t="s">
        <v>712</v>
      </c>
      <c r="E135">
        <v>100</v>
      </c>
      <c r="F135">
        <v>242</v>
      </c>
      <c r="G135" t="b">
        <v>1</v>
      </c>
      <c r="H135" s="2">
        <v>45030.50608796296</v>
      </c>
      <c r="I135" t="s">
        <v>713</v>
      </c>
      <c r="N135">
        <v>30.5045</v>
      </c>
      <c r="O135">
        <v>-97.820899999999995</v>
      </c>
      <c r="P135" t="s">
        <v>111</v>
      </c>
      <c r="Q135" t="s">
        <v>112</v>
      </c>
      <c r="R135" t="s">
        <v>714</v>
      </c>
      <c r="S135" t="s">
        <v>114</v>
      </c>
      <c r="W135">
        <v>50</v>
      </c>
      <c r="X135" t="s">
        <v>715</v>
      </c>
      <c r="AB135">
        <v>2</v>
      </c>
      <c r="AD135">
        <v>500</v>
      </c>
      <c r="AE135">
        <v>1</v>
      </c>
      <c r="AF135" s="3">
        <v>0.2</v>
      </c>
      <c r="AG135" s="3">
        <v>0.2</v>
      </c>
      <c r="AH135">
        <v>100</v>
      </c>
      <c r="AI135" s="3">
        <v>0.3</v>
      </c>
      <c r="AJ135">
        <v>0.2</v>
      </c>
      <c r="AK135" t="s">
        <v>716</v>
      </c>
      <c r="AL135" t="s">
        <v>714</v>
      </c>
      <c r="AM135" t="s">
        <v>135</v>
      </c>
    </row>
    <row r="136" spans="1:39" x14ac:dyDescent="0.2">
      <c r="A136" s="2">
        <v>45030.502199074072</v>
      </c>
      <c r="B136" s="2">
        <v>45030.506215277775</v>
      </c>
      <c r="C136" t="s">
        <v>42</v>
      </c>
      <c r="D136" t="s">
        <v>717</v>
      </c>
      <c r="E136">
        <v>100</v>
      </c>
      <c r="F136">
        <v>346</v>
      </c>
      <c r="G136" t="b">
        <v>1</v>
      </c>
      <c r="H136" s="2">
        <v>45030.506215277775</v>
      </c>
      <c r="I136" t="s">
        <v>718</v>
      </c>
      <c r="N136">
        <v>29.469799999999999</v>
      </c>
      <c r="O136">
        <v>-98.535700000000006</v>
      </c>
      <c r="P136" t="s">
        <v>111</v>
      </c>
      <c r="Q136" t="s">
        <v>112</v>
      </c>
      <c r="R136" t="s">
        <v>719</v>
      </c>
      <c r="S136" t="s">
        <v>114</v>
      </c>
      <c r="W136">
        <v>100</v>
      </c>
      <c r="X136" t="s">
        <v>720</v>
      </c>
      <c r="Z136">
        <v>1.5</v>
      </c>
      <c r="AD136">
        <v>500</v>
      </c>
      <c r="AE136">
        <v>1</v>
      </c>
      <c r="AF136">
        <v>0.01</v>
      </c>
      <c r="AG136">
        <v>20</v>
      </c>
      <c r="AH136">
        <v>100</v>
      </c>
      <c r="AI136">
        <v>1</v>
      </c>
      <c r="AJ136">
        <v>0.1</v>
      </c>
      <c r="AK136">
        <v>5</v>
      </c>
      <c r="AL136" t="s">
        <v>719</v>
      </c>
      <c r="AM136" t="s">
        <v>128</v>
      </c>
    </row>
    <row r="137" spans="1:39" x14ac:dyDescent="0.2">
      <c r="A137" s="2">
        <v>45030.503611111111</v>
      </c>
      <c r="B137" s="2">
        <v>45030.50644675926</v>
      </c>
      <c r="C137" t="s">
        <v>42</v>
      </c>
      <c r="D137" t="s">
        <v>721</v>
      </c>
      <c r="E137">
        <v>100</v>
      </c>
      <c r="F137">
        <v>244</v>
      </c>
      <c r="G137" t="b">
        <v>1</v>
      </c>
      <c r="H137" s="2">
        <v>45030.50644675926</v>
      </c>
      <c r="I137" t="s">
        <v>722</v>
      </c>
      <c r="N137">
        <v>37.553699999999999</v>
      </c>
      <c r="O137">
        <v>-77.4602</v>
      </c>
      <c r="P137" t="s">
        <v>111</v>
      </c>
      <c r="Q137" t="s">
        <v>112</v>
      </c>
      <c r="R137" t="s">
        <v>723</v>
      </c>
      <c r="S137" t="s">
        <v>114</v>
      </c>
      <c r="W137">
        <v>12</v>
      </c>
      <c r="X137" t="s">
        <v>724</v>
      </c>
      <c r="AC137">
        <v>2.5</v>
      </c>
      <c r="AD137">
        <v>500</v>
      </c>
      <c r="AE137">
        <v>10</v>
      </c>
      <c r="AF137" s="4">
        <v>1E-3</v>
      </c>
      <c r="AG137">
        <v>20</v>
      </c>
      <c r="AH137">
        <v>100</v>
      </c>
      <c r="AI137" s="3">
        <v>0.5</v>
      </c>
      <c r="AJ137" s="5">
        <v>0.05</v>
      </c>
      <c r="AK137" t="s">
        <v>159</v>
      </c>
      <c r="AL137" t="s">
        <v>723</v>
      </c>
      <c r="AM137" t="s">
        <v>135</v>
      </c>
    </row>
    <row r="138" spans="1:39" x14ac:dyDescent="0.2">
      <c r="A138" s="2">
        <v>45030.504687499997</v>
      </c>
      <c r="B138" s="2">
        <v>45030.506666666668</v>
      </c>
      <c r="C138" t="s">
        <v>42</v>
      </c>
      <c r="D138" t="s">
        <v>725</v>
      </c>
      <c r="E138">
        <v>100</v>
      </c>
      <c r="F138">
        <v>170</v>
      </c>
      <c r="G138" t="b">
        <v>1</v>
      </c>
      <c r="H138" s="2">
        <v>45030.506666666668</v>
      </c>
      <c r="I138" t="s">
        <v>726</v>
      </c>
      <c r="N138">
        <v>41.892000000000003</v>
      </c>
      <c r="O138">
        <v>-87.641599999999997</v>
      </c>
      <c r="P138" t="s">
        <v>111</v>
      </c>
      <c r="Q138" t="s">
        <v>112</v>
      </c>
      <c r="R138" t="s">
        <v>727</v>
      </c>
      <c r="S138" t="s">
        <v>114</v>
      </c>
      <c r="W138">
        <v>78</v>
      </c>
      <c r="X138" t="s">
        <v>728</v>
      </c>
      <c r="Z138" t="s">
        <v>729</v>
      </c>
      <c r="AD138">
        <v>500</v>
      </c>
      <c r="AE138">
        <v>100</v>
      </c>
      <c r="AF138" s="4">
        <v>1E-3</v>
      </c>
      <c r="AG138" s="3">
        <v>0.2</v>
      </c>
      <c r="AH138">
        <v>100</v>
      </c>
      <c r="AI138">
        <v>1</v>
      </c>
      <c r="AJ138">
        <v>0.05</v>
      </c>
      <c r="AK138">
        <v>100</v>
      </c>
      <c r="AL138" t="s">
        <v>727</v>
      </c>
      <c r="AM138" t="s">
        <v>128</v>
      </c>
    </row>
    <row r="139" spans="1:39" x14ac:dyDescent="0.2">
      <c r="A139" s="2">
        <v>45030.503611111111</v>
      </c>
      <c r="B139" s="2">
        <v>45030.506724537037</v>
      </c>
      <c r="C139" t="s">
        <v>42</v>
      </c>
      <c r="D139" t="s">
        <v>730</v>
      </c>
      <c r="E139">
        <v>100</v>
      </c>
      <c r="F139">
        <v>269</v>
      </c>
      <c r="G139" t="b">
        <v>1</v>
      </c>
      <c r="H139" s="2">
        <v>45030.506747685184</v>
      </c>
      <c r="I139" t="s">
        <v>731</v>
      </c>
      <c r="N139">
        <v>41.902700000000003</v>
      </c>
      <c r="O139">
        <v>-91.274799999999999</v>
      </c>
      <c r="P139" t="s">
        <v>111</v>
      </c>
      <c r="Q139" t="s">
        <v>112</v>
      </c>
      <c r="R139" t="s">
        <v>732</v>
      </c>
      <c r="S139" t="s">
        <v>114</v>
      </c>
      <c r="W139">
        <v>71</v>
      </c>
      <c r="X139" t="s">
        <v>733</v>
      </c>
      <c r="Z139">
        <v>1</v>
      </c>
      <c r="AD139">
        <v>500</v>
      </c>
      <c r="AE139">
        <v>10</v>
      </c>
      <c r="AF139" s="3">
        <v>0.01</v>
      </c>
      <c r="AG139" s="3">
        <v>0.2</v>
      </c>
      <c r="AH139">
        <v>100</v>
      </c>
      <c r="AI139" s="3">
        <v>0.1</v>
      </c>
      <c r="AJ139">
        <v>0.1</v>
      </c>
      <c r="AK139" t="s">
        <v>164</v>
      </c>
      <c r="AL139" t="s">
        <v>732</v>
      </c>
      <c r="AM139" t="s">
        <v>128</v>
      </c>
    </row>
    <row r="140" spans="1:39" x14ac:dyDescent="0.2">
      <c r="A140" s="2">
        <v>45030.503530092596</v>
      </c>
      <c r="B140" s="2">
        <v>45030.506932870368</v>
      </c>
      <c r="C140" t="s">
        <v>42</v>
      </c>
      <c r="D140" t="s">
        <v>734</v>
      </c>
      <c r="E140">
        <v>100</v>
      </c>
      <c r="F140">
        <v>294</v>
      </c>
      <c r="G140" t="b">
        <v>1</v>
      </c>
      <c r="H140" s="2">
        <v>45030.506944444445</v>
      </c>
      <c r="I140" t="s">
        <v>735</v>
      </c>
      <c r="N140">
        <v>29.422699999999999</v>
      </c>
      <c r="O140">
        <v>-98.492699999999999</v>
      </c>
      <c r="P140" t="s">
        <v>111</v>
      </c>
      <c r="Q140" t="s">
        <v>112</v>
      </c>
      <c r="R140" t="s">
        <v>736</v>
      </c>
      <c r="S140" t="s">
        <v>114</v>
      </c>
      <c r="W140">
        <v>71</v>
      </c>
      <c r="X140" t="s">
        <v>737</v>
      </c>
      <c r="Y140">
        <v>1.5</v>
      </c>
      <c r="AD140">
        <v>500</v>
      </c>
      <c r="AE140">
        <v>10</v>
      </c>
      <c r="AF140">
        <v>10</v>
      </c>
      <c r="AG140">
        <v>20</v>
      </c>
      <c r="AH140">
        <v>100</v>
      </c>
      <c r="AI140">
        <v>90</v>
      </c>
      <c r="AJ140">
        <v>0.1</v>
      </c>
      <c r="AK140" t="s">
        <v>208</v>
      </c>
      <c r="AL140" t="s">
        <v>736</v>
      </c>
      <c r="AM140" t="s">
        <v>117</v>
      </c>
    </row>
    <row r="141" spans="1:39" x14ac:dyDescent="0.2">
      <c r="A141" s="2">
        <v>45030.50371527778</v>
      </c>
      <c r="B141" s="2">
        <v>45030.507071759261</v>
      </c>
      <c r="C141" t="s">
        <v>42</v>
      </c>
      <c r="D141" t="s">
        <v>738</v>
      </c>
      <c r="E141">
        <v>100</v>
      </c>
      <c r="F141">
        <v>290</v>
      </c>
      <c r="G141" t="b">
        <v>1</v>
      </c>
      <c r="H141" s="2">
        <v>45030.50708333333</v>
      </c>
      <c r="I141" t="s">
        <v>739</v>
      </c>
      <c r="N141">
        <v>35.770400000000002</v>
      </c>
      <c r="O141">
        <v>-78.629300000000001</v>
      </c>
      <c r="P141" t="s">
        <v>111</v>
      </c>
      <c r="Q141" t="s">
        <v>112</v>
      </c>
      <c r="R141" t="s">
        <v>740</v>
      </c>
      <c r="S141" t="s">
        <v>114</v>
      </c>
      <c r="W141">
        <v>71</v>
      </c>
      <c r="X141" t="s">
        <v>741</v>
      </c>
      <c r="Y141">
        <v>0.7</v>
      </c>
      <c r="AD141">
        <v>500</v>
      </c>
      <c r="AE141">
        <v>10</v>
      </c>
      <c r="AF141">
        <v>0.1</v>
      </c>
      <c r="AG141">
        <v>20</v>
      </c>
      <c r="AH141">
        <v>100</v>
      </c>
      <c r="AI141" s="3">
        <v>0.09</v>
      </c>
      <c r="AJ141" s="5">
        <v>0.05</v>
      </c>
      <c r="AK141" t="s">
        <v>164</v>
      </c>
      <c r="AL141" t="s">
        <v>740</v>
      </c>
      <c r="AM141" t="s">
        <v>117</v>
      </c>
    </row>
    <row r="142" spans="1:39" x14ac:dyDescent="0.2">
      <c r="A142" s="2">
        <v>45030.504618055558</v>
      </c>
      <c r="B142" s="2">
        <v>45030.507071759261</v>
      </c>
      <c r="C142" t="s">
        <v>42</v>
      </c>
      <c r="D142" t="s">
        <v>742</v>
      </c>
      <c r="E142">
        <v>100</v>
      </c>
      <c r="F142">
        <v>212</v>
      </c>
      <c r="G142" t="b">
        <v>1</v>
      </c>
      <c r="H142" s="2">
        <v>45030.50708333333</v>
      </c>
      <c r="I142" t="s">
        <v>743</v>
      </c>
      <c r="N142">
        <v>37.985100000000003</v>
      </c>
      <c r="O142">
        <v>-84.172399999999996</v>
      </c>
      <c r="P142" t="s">
        <v>111</v>
      </c>
      <c r="Q142" t="s">
        <v>112</v>
      </c>
      <c r="R142" t="s">
        <v>744</v>
      </c>
      <c r="S142" t="s">
        <v>114</v>
      </c>
      <c r="W142">
        <v>17</v>
      </c>
      <c r="X142" t="s">
        <v>745</v>
      </c>
      <c r="AA142">
        <v>4</v>
      </c>
      <c r="AD142">
        <v>500</v>
      </c>
      <c r="AE142">
        <v>10</v>
      </c>
      <c r="AF142">
        <v>0.1</v>
      </c>
      <c r="AG142">
        <v>20</v>
      </c>
      <c r="AH142">
        <v>100</v>
      </c>
      <c r="AI142">
        <v>90</v>
      </c>
      <c r="AJ142">
        <v>0.05</v>
      </c>
      <c r="AK142">
        <v>5</v>
      </c>
      <c r="AL142" t="s">
        <v>744</v>
      </c>
      <c r="AM142" t="s">
        <v>128</v>
      </c>
    </row>
    <row r="143" spans="1:39" x14ac:dyDescent="0.2">
      <c r="A143" s="2">
        <v>45030.497847222221</v>
      </c>
      <c r="B143" s="2">
        <v>45030.507106481484</v>
      </c>
      <c r="C143" t="s">
        <v>42</v>
      </c>
      <c r="D143" t="s">
        <v>746</v>
      </c>
      <c r="E143">
        <v>100</v>
      </c>
      <c r="F143">
        <v>799</v>
      </c>
      <c r="G143" t="b">
        <v>1</v>
      </c>
      <c r="H143" s="2">
        <v>45030.507106481484</v>
      </c>
      <c r="I143" t="s">
        <v>747</v>
      </c>
      <c r="N143">
        <v>39.9544</v>
      </c>
      <c r="O143">
        <v>-75.165700000000001</v>
      </c>
      <c r="P143" t="s">
        <v>111</v>
      </c>
      <c r="Q143" t="s">
        <v>112</v>
      </c>
      <c r="R143" t="s">
        <v>748</v>
      </c>
      <c r="S143" t="s">
        <v>114</v>
      </c>
      <c r="W143">
        <v>0</v>
      </c>
      <c r="X143" t="s">
        <v>749</v>
      </c>
      <c r="AC143">
        <v>2</v>
      </c>
      <c r="AD143">
        <v>500</v>
      </c>
      <c r="AE143">
        <v>10</v>
      </c>
      <c r="AF143" s="4">
        <v>1E-3</v>
      </c>
      <c r="AG143">
        <v>20</v>
      </c>
      <c r="AH143">
        <v>100</v>
      </c>
      <c r="AI143">
        <v>80</v>
      </c>
      <c r="AJ143">
        <v>0.05</v>
      </c>
      <c r="AK143" t="s">
        <v>159</v>
      </c>
      <c r="AL143" t="s">
        <v>748</v>
      </c>
      <c r="AM143" t="s">
        <v>135</v>
      </c>
    </row>
    <row r="144" spans="1:39" x14ac:dyDescent="0.2">
      <c r="A144" s="2">
        <v>45030.503229166665</v>
      </c>
      <c r="B144" s="2">
        <v>45030.50712962963</v>
      </c>
      <c r="C144" t="s">
        <v>42</v>
      </c>
      <c r="D144" t="s">
        <v>750</v>
      </c>
      <c r="E144">
        <v>100</v>
      </c>
      <c r="F144">
        <v>336</v>
      </c>
      <c r="G144" t="b">
        <v>1</v>
      </c>
      <c r="H144" s="2">
        <v>45030.50712962963</v>
      </c>
      <c r="I144" t="s">
        <v>751</v>
      </c>
      <c r="N144">
        <v>44.969099999999997</v>
      </c>
      <c r="O144">
        <v>-93.284300000000002</v>
      </c>
      <c r="P144" t="s">
        <v>111</v>
      </c>
      <c r="Q144" t="s">
        <v>112</v>
      </c>
      <c r="R144" t="s">
        <v>752</v>
      </c>
      <c r="S144" t="s">
        <v>114</v>
      </c>
      <c r="T144">
        <v>61</v>
      </c>
      <c r="V144">
        <v>2</v>
      </c>
      <c r="W144">
        <v>70</v>
      </c>
      <c r="X144" t="s">
        <v>753</v>
      </c>
      <c r="AD144">
        <v>500</v>
      </c>
      <c r="AE144">
        <v>100</v>
      </c>
      <c r="AF144" s="3">
        <v>0.1</v>
      </c>
      <c r="AG144" s="3">
        <v>0.2</v>
      </c>
      <c r="AH144">
        <v>100</v>
      </c>
      <c r="AI144" t="s">
        <v>754</v>
      </c>
      <c r="AJ144" t="s">
        <v>241</v>
      </c>
      <c r="AK144" t="s">
        <v>159</v>
      </c>
      <c r="AL144" t="s">
        <v>752</v>
      </c>
      <c r="AM144" t="s">
        <v>123</v>
      </c>
    </row>
    <row r="145" spans="1:39" x14ac:dyDescent="0.2">
      <c r="A145" s="2">
        <v>45030.503784722219</v>
      </c>
      <c r="B145" s="2">
        <v>45030.507395833331</v>
      </c>
      <c r="C145" t="s">
        <v>42</v>
      </c>
      <c r="D145" t="s">
        <v>755</v>
      </c>
      <c r="E145">
        <v>100</v>
      </c>
      <c r="F145">
        <v>312</v>
      </c>
      <c r="G145" t="b">
        <v>1</v>
      </c>
      <c r="H145" s="2">
        <v>45030.507407407407</v>
      </c>
      <c r="I145" t="s">
        <v>756</v>
      </c>
      <c r="N145">
        <v>26.6371</v>
      </c>
      <c r="O145">
        <v>-80.084100000000007</v>
      </c>
      <c r="P145" t="s">
        <v>111</v>
      </c>
      <c r="Q145" t="s">
        <v>112</v>
      </c>
      <c r="R145" t="s">
        <v>757</v>
      </c>
      <c r="S145" t="s">
        <v>114</v>
      </c>
      <c r="W145">
        <v>62</v>
      </c>
      <c r="X145" t="s">
        <v>758</v>
      </c>
      <c r="Z145" t="s">
        <v>759</v>
      </c>
      <c r="AD145">
        <v>500</v>
      </c>
      <c r="AE145">
        <v>100</v>
      </c>
      <c r="AF145" s="3">
        <v>0.1</v>
      </c>
      <c r="AG145">
        <v>20</v>
      </c>
      <c r="AH145">
        <v>100</v>
      </c>
      <c r="AI145" t="s">
        <v>760</v>
      </c>
      <c r="AJ145">
        <v>0.1</v>
      </c>
      <c r="AK145" t="s">
        <v>164</v>
      </c>
      <c r="AL145" t="s">
        <v>757</v>
      </c>
      <c r="AM145" t="s">
        <v>128</v>
      </c>
    </row>
    <row r="146" spans="1:39" x14ac:dyDescent="0.2">
      <c r="A146" s="2">
        <v>45030.503391203703</v>
      </c>
      <c r="B146" s="2">
        <v>45030.50744212963</v>
      </c>
      <c r="C146" t="s">
        <v>42</v>
      </c>
      <c r="D146" t="s">
        <v>761</v>
      </c>
      <c r="E146">
        <v>100</v>
      </c>
      <c r="F146">
        <v>349</v>
      </c>
      <c r="G146" t="b">
        <v>1</v>
      </c>
      <c r="H146" s="2">
        <v>45030.50744212963</v>
      </c>
      <c r="I146" t="s">
        <v>762</v>
      </c>
      <c r="N146">
        <v>36.753700000000002</v>
      </c>
      <c r="O146">
        <v>-119.7627</v>
      </c>
      <c r="P146" t="s">
        <v>111</v>
      </c>
      <c r="Q146" t="s">
        <v>112</v>
      </c>
      <c r="R146" t="s">
        <v>763</v>
      </c>
      <c r="S146" t="s">
        <v>114</v>
      </c>
      <c r="W146">
        <v>20</v>
      </c>
      <c r="X146" t="s">
        <v>764</v>
      </c>
      <c r="AA146">
        <v>4</v>
      </c>
      <c r="AD146">
        <v>500</v>
      </c>
      <c r="AE146">
        <v>10</v>
      </c>
      <c r="AF146" s="4">
        <v>1E-3</v>
      </c>
      <c r="AG146">
        <v>20</v>
      </c>
      <c r="AH146">
        <v>100</v>
      </c>
      <c r="AI146" s="3">
        <v>0.18</v>
      </c>
      <c r="AJ146" s="5">
        <v>0.05</v>
      </c>
      <c r="AK146" t="s">
        <v>159</v>
      </c>
      <c r="AL146" t="s">
        <v>763</v>
      </c>
      <c r="AM146" t="s">
        <v>128</v>
      </c>
    </row>
    <row r="147" spans="1:39" x14ac:dyDescent="0.2">
      <c r="A147" s="2">
        <v>45030.504513888889</v>
      </c>
      <c r="B147" s="2">
        <v>45030.507488425923</v>
      </c>
      <c r="C147" t="s">
        <v>42</v>
      </c>
      <c r="D147" t="s">
        <v>765</v>
      </c>
      <c r="E147">
        <v>100</v>
      </c>
      <c r="F147">
        <v>257</v>
      </c>
      <c r="G147" t="b">
        <v>1</v>
      </c>
      <c r="H147" s="2">
        <v>45030.5075</v>
      </c>
      <c r="I147" t="s">
        <v>766</v>
      </c>
      <c r="N147">
        <v>38.271000000000001</v>
      </c>
      <c r="O147">
        <v>-77.549499999999995</v>
      </c>
      <c r="P147" t="s">
        <v>111</v>
      </c>
      <c r="Q147" t="s">
        <v>112</v>
      </c>
      <c r="R147" t="s">
        <v>767</v>
      </c>
      <c r="S147" t="s">
        <v>114</v>
      </c>
      <c r="T147">
        <v>55</v>
      </c>
      <c r="V147" t="s">
        <v>768</v>
      </c>
      <c r="W147">
        <v>8</v>
      </c>
      <c r="X147" t="s">
        <v>769</v>
      </c>
      <c r="AD147">
        <v>500</v>
      </c>
      <c r="AE147">
        <v>10</v>
      </c>
      <c r="AF147">
        <v>0.1</v>
      </c>
      <c r="AG147">
        <v>20</v>
      </c>
      <c r="AH147">
        <v>100</v>
      </c>
      <c r="AI147" s="3">
        <v>0.18</v>
      </c>
      <c r="AJ147">
        <v>0.05</v>
      </c>
      <c r="AK147">
        <v>100</v>
      </c>
      <c r="AL147" t="s">
        <v>767</v>
      </c>
      <c r="AM147" t="s">
        <v>123</v>
      </c>
    </row>
    <row r="148" spans="1:39" x14ac:dyDescent="0.2">
      <c r="A148" s="2">
        <v>45030.503657407404</v>
      </c>
      <c r="B148" s="2">
        <v>45030.507488425923</v>
      </c>
      <c r="C148" t="s">
        <v>42</v>
      </c>
      <c r="D148" t="s">
        <v>770</v>
      </c>
      <c r="E148">
        <v>100</v>
      </c>
      <c r="F148">
        <v>331</v>
      </c>
      <c r="G148" t="b">
        <v>1</v>
      </c>
      <c r="H148" s="2">
        <v>45030.5075</v>
      </c>
      <c r="I148" t="s">
        <v>771</v>
      </c>
      <c r="N148">
        <v>40.7864</v>
      </c>
      <c r="O148">
        <v>-73.540800000000004</v>
      </c>
      <c r="P148" t="s">
        <v>111</v>
      </c>
      <c r="Q148" t="s">
        <v>112</v>
      </c>
      <c r="R148" t="s">
        <v>772</v>
      </c>
      <c r="S148" t="s">
        <v>114</v>
      </c>
      <c r="W148">
        <v>60</v>
      </c>
      <c r="X148" t="s">
        <v>773</v>
      </c>
      <c r="Z148">
        <v>1</v>
      </c>
      <c r="AD148">
        <v>500</v>
      </c>
      <c r="AE148">
        <v>10</v>
      </c>
      <c r="AF148">
        <v>0.1</v>
      </c>
      <c r="AG148">
        <v>20</v>
      </c>
      <c r="AH148">
        <v>100</v>
      </c>
      <c r="AI148">
        <v>90</v>
      </c>
      <c r="AJ148">
        <v>2.2000000000000002</v>
      </c>
      <c r="AK148">
        <v>5</v>
      </c>
      <c r="AL148" t="s">
        <v>772</v>
      </c>
      <c r="AM148" t="s">
        <v>128</v>
      </c>
    </row>
    <row r="149" spans="1:39" x14ac:dyDescent="0.2">
      <c r="A149" s="2">
        <v>45030.501932870371</v>
      </c>
      <c r="B149" s="2">
        <v>45030.507986111108</v>
      </c>
      <c r="C149" t="s">
        <v>42</v>
      </c>
      <c r="D149" t="s">
        <v>774</v>
      </c>
      <c r="E149">
        <v>100</v>
      </c>
      <c r="F149">
        <v>523</v>
      </c>
      <c r="G149" t="b">
        <v>1</v>
      </c>
      <c r="H149" s="2">
        <v>45030.507997685185</v>
      </c>
      <c r="I149" t="s">
        <v>775</v>
      </c>
      <c r="N149">
        <v>39.991399999999999</v>
      </c>
      <c r="O149">
        <v>-83.003399999999999</v>
      </c>
      <c r="P149" t="s">
        <v>111</v>
      </c>
      <c r="Q149" t="s">
        <v>112</v>
      </c>
      <c r="R149" t="s">
        <v>776</v>
      </c>
      <c r="S149" t="s">
        <v>114</v>
      </c>
      <c r="T149">
        <v>0</v>
      </c>
      <c r="U149" t="s">
        <v>777</v>
      </c>
      <c r="W149">
        <v>0</v>
      </c>
      <c r="X149" t="s">
        <v>778</v>
      </c>
      <c r="AD149">
        <v>500</v>
      </c>
      <c r="AE149">
        <v>1</v>
      </c>
      <c r="AF149" s="4">
        <v>1E-3</v>
      </c>
      <c r="AG149" s="3">
        <v>0.2</v>
      </c>
      <c r="AH149">
        <v>100</v>
      </c>
      <c r="AI149" s="3">
        <v>0.5</v>
      </c>
      <c r="AJ149">
        <v>0.05</v>
      </c>
      <c r="AK149" t="s">
        <v>159</v>
      </c>
      <c r="AL149" t="s">
        <v>776</v>
      </c>
      <c r="AM149" t="s">
        <v>123</v>
      </c>
    </row>
    <row r="150" spans="1:39" x14ac:dyDescent="0.2">
      <c r="A150" s="2">
        <v>45030.504305555558</v>
      </c>
      <c r="B150" s="2">
        <v>45030.508020833331</v>
      </c>
      <c r="C150" t="s">
        <v>42</v>
      </c>
      <c r="D150" t="s">
        <v>779</v>
      </c>
      <c r="E150">
        <v>100</v>
      </c>
      <c r="F150">
        <v>321</v>
      </c>
      <c r="G150" t="b">
        <v>1</v>
      </c>
      <c r="H150" s="2">
        <v>45030.508032407408</v>
      </c>
      <c r="I150" t="s">
        <v>780</v>
      </c>
      <c r="N150">
        <v>33.701500000000003</v>
      </c>
      <c r="O150">
        <v>-117.75279999999999</v>
      </c>
      <c r="P150" t="s">
        <v>111</v>
      </c>
      <c r="Q150" t="s">
        <v>112</v>
      </c>
      <c r="R150" t="s">
        <v>781</v>
      </c>
      <c r="S150" t="s">
        <v>114</v>
      </c>
      <c r="W150">
        <v>75</v>
      </c>
      <c r="X150" t="s">
        <v>782</v>
      </c>
      <c r="AB150">
        <v>0.5</v>
      </c>
      <c r="AD150">
        <v>500</v>
      </c>
      <c r="AE150">
        <v>10</v>
      </c>
      <c r="AF150">
        <v>1E-3</v>
      </c>
      <c r="AG150">
        <v>20</v>
      </c>
      <c r="AH150">
        <v>100</v>
      </c>
      <c r="AI150" s="3">
        <v>0.09</v>
      </c>
      <c r="AJ150" s="5">
        <v>0.05</v>
      </c>
      <c r="AK150" t="s">
        <v>159</v>
      </c>
      <c r="AL150" t="s">
        <v>781</v>
      </c>
      <c r="AM150" t="s">
        <v>135</v>
      </c>
    </row>
    <row r="151" spans="1:39" x14ac:dyDescent="0.2">
      <c r="A151" s="2">
        <v>45030.503495370373</v>
      </c>
      <c r="B151" s="2">
        <v>45030.508263888885</v>
      </c>
      <c r="C151" t="s">
        <v>42</v>
      </c>
      <c r="D151" t="s">
        <v>783</v>
      </c>
      <c r="E151">
        <v>100</v>
      </c>
      <c r="F151">
        <v>412</v>
      </c>
      <c r="G151" t="b">
        <v>1</v>
      </c>
      <c r="H151" s="2">
        <v>45030.508263888885</v>
      </c>
      <c r="I151" t="s">
        <v>784</v>
      </c>
      <c r="N151">
        <v>37.5702</v>
      </c>
      <c r="O151">
        <v>-77.423900000000003</v>
      </c>
      <c r="P151" t="s">
        <v>111</v>
      </c>
      <c r="Q151" t="s">
        <v>112</v>
      </c>
      <c r="R151" t="s">
        <v>785</v>
      </c>
      <c r="S151" t="s">
        <v>114</v>
      </c>
      <c r="T151">
        <v>56</v>
      </c>
      <c r="V151">
        <v>3</v>
      </c>
      <c r="W151">
        <v>82</v>
      </c>
      <c r="X151" t="s">
        <v>786</v>
      </c>
      <c r="AD151">
        <v>200</v>
      </c>
      <c r="AE151" s="3">
        <v>0.25</v>
      </c>
      <c r="AF151" s="3">
        <v>0.02</v>
      </c>
      <c r="AG151" s="3">
        <v>0.35</v>
      </c>
      <c r="AH151" s="3">
        <v>0.02</v>
      </c>
      <c r="AI151" s="3">
        <v>0.2</v>
      </c>
      <c r="AJ151" s="5">
        <v>2.1</v>
      </c>
      <c r="AK151">
        <v>500</v>
      </c>
      <c r="AL151" t="s">
        <v>785</v>
      </c>
      <c r="AM151" t="s">
        <v>123</v>
      </c>
    </row>
    <row r="152" spans="1:39" ht="255" x14ac:dyDescent="0.2">
      <c r="A152" s="2">
        <v>45030.498796296299</v>
      </c>
      <c r="B152" s="2">
        <v>45030.508333333331</v>
      </c>
      <c r="C152" t="s">
        <v>42</v>
      </c>
      <c r="D152" t="s">
        <v>787</v>
      </c>
      <c r="E152">
        <v>100</v>
      </c>
      <c r="F152">
        <v>824</v>
      </c>
      <c r="G152" t="b">
        <v>1</v>
      </c>
      <c r="H152" s="2">
        <v>45030.508333333331</v>
      </c>
      <c r="I152" t="s">
        <v>788</v>
      </c>
      <c r="N152">
        <v>41.163800000000002</v>
      </c>
      <c r="O152">
        <v>-79.081800000000001</v>
      </c>
      <c r="P152" t="s">
        <v>111</v>
      </c>
      <c r="Q152" t="s">
        <v>112</v>
      </c>
      <c r="R152" t="s">
        <v>789</v>
      </c>
      <c r="S152" t="s">
        <v>114</v>
      </c>
      <c r="T152">
        <v>25</v>
      </c>
      <c r="U152">
        <v>2</v>
      </c>
      <c r="W152">
        <v>10</v>
      </c>
      <c r="X152" s="1" t="s">
        <v>790</v>
      </c>
      <c r="AD152">
        <v>500</v>
      </c>
      <c r="AE152">
        <v>10</v>
      </c>
      <c r="AF152">
        <v>10</v>
      </c>
      <c r="AG152" s="3">
        <v>0.2</v>
      </c>
      <c r="AH152">
        <v>100</v>
      </c>
      <c r="AI152" t="s">
        <v>791</v>
      </c>
      <c r="AJ152">
        <v>0.1</v>
      </c>
      <c r="AK152" t="s">
        <v>164</v>
      </c>
      <c r="AL152" t="s">
        <v>789</v>
      </c>
      <c r="AM152" t="s">
        <v>123</v>
      </c>
    </row>
    <row r="153" spans="1:39" x14ac:dyDescent="0.2">
      <c r="A153" s="2">
        <v>45030.50408564815</v>
      </c>
      <c r="B153" s="2">
        <v>45030.508356481485</v>
      </c>
      <c r="C153" t="s">
        <v>42</v>
      </c>
      <c r="D153" t="s">
        <v>792</v>
      </c>
      <c r="E153">
        <v>100</v>
      </c>
      <c r="F153">
        <v>369</v>
      </c>
      <c r="G153" t="b">
        <v>1</v>
      </c>
      <c r="H153" s="2">
        <v>45030.508368055554</v>
      </c>
      <c r="I153" t="s">
        <v>793</v>
      </c>
      <c r="N153">
        <v>33.862499999999997</v>
      </c>
      <c r="O153">
        <v>-117.586</v>
      </c>
      <c r="P153" t="s">
        <v>111</v>
      </c>
      <c r="Q153" t="s">
        <v>112</v>
      </c>
      <c r="R153" t="s">
        <v>794</v>
      </c>
      <c r="S153" t="s">
        <v>114</v>
      </c>
      <c r="W153">
        <v>10</v>
      </c>
      <c r="X153" t="s">
        <v>795</v>
      </c>
      <c r="AC153" t="s">
        <v>796</v>
      </c>
      <c r="AD153" s="3">
        <v>0.5</v>
      </c>
      <c r="AE153">
        <v>10</v>
      </c>
      <c r="AF153">
        <v>1</v>
      </c>
      <c r="AG153">
        <v>20</v>
      </c>
      <c r="AH153">
        <v>100</v>
      </c>
      <c r="AI153" t="s">
        <v>797</v>
      </c>
      <c r="AJ153">
        <v>0.1</v>
      </c>
      <c r="AK153" t="s">
        <v>148</v>
      </c>
      <c r="AL153" t="s">
        <v>794</v>
      </c>
      <c r="AM153" t="s">
        <v>135</v>
      </c>
    </row>
    <row r="154" spans="1:39" x14ac:dyDescent="0.2">
      <c r="A154" s="2">
        <v>45030.505243055559</v>
      </c>
      <c r="B154" s="2">
        <v>45030.508379629631</v>
      </c>
      <c r="C154" t="s">
        <v>42</v>
      </c>
      <c r="D154" t="s">
        <v>798</v>
      </c>
      <c r="E154">
        <v>100</v>
      </c>
      <c r="F154">
        <v>271</v>
      </c>
      <c r="G154" t="b">
        <v>1</v>
      </c>
      <c r="H154" s="2">
        <v>45030.508391203701</v>
      </c>
      <c r="I154" t="s">
        <v>799</v>
      </c>
      <c r="N154">
        <v>36.178800000000003</v>
      </c>
      <c r="O154">
        <v>-115.17149999999999</v>
      </c>
      <c r="P154" t="s">
        <v>111</v>
      </c>
      <c r="Q154" t="s">
        <v>112</v>
      </c>
      <c r="R154" t="s">
        <v>800</v>
      </c>
      <c r="S154" t="s">
        <v>114</v>
      </c>
      <c r="W154">
        <v>60</v>
      </c>
      <c r="X154" t="s">
        <v>801</v>
      </c>
      <c r="AB154">
        <v>0.02</v>
      </c>
      <c r="AD154">
        <v>500</v>
      </c>
      <c r="AE154">
        <v>10</v>
      </c>
      <c r="AF154" s="4">
        <v>1E-3</v>
      </c>
      <c r="AG154">
        <v>20</v>
      </c>
      <c r="AH154">
        <v>100</v>
      </c>
      <c r="AI154" s="3">
        <v>0.09</v>
      </c>
      <c r="AJ154" s="5">
        <v>0.05</v>
      </c>
      <c r="AK154" t="s">
        <v>159</v>
      </c>
      <c r="AL154" t="s">
        <v>800</v>
      </c>
      <c r="AM154" t="s">
        <v>135</v>
      </c>
    </row>
    <row r="155" spans="1:39" x14ac:dyDescent="0.2">
      <c r="A155" s="2">
        <v>45030.505347222221</v>
      </c>
      <c r="B155" s="2">
        <v>45030.508449074077</v>
      </c>
      <c r="C155" t="s">
        <v>42</v>
      </c>
      <c r="D155" t="s">
        <v>802</v>
      </c>
      <c r="E155">
        <v>100</v>
      </c>
      <c r="F155">
        <v>268</v>
      </c>
      <c r="G155" t="b">
        <v>1</v>
      </c>
      <c r="H155" s="2">
        <v>45030.508449074077</v>
      </c>
      <c r="I155" t="s">
        <v>803</v>
      </c>
      <c r="N155">
        <v>30.084299999999999</v>
      </c>
      <c r="O155">
        <v>-81.862899999999996</v>
      </c>
      <c r="P155" t="s">
        <v>111</v>
      </c>
      <c r="Q155" t="s">
        <v>112</v>
      </c>
      <c r="R155" t="s">
        <v>804</v>
      </c>
      <c r="S155" t="s">
        <v>114</v>
      </c>
      <c r="W155">
        <v>45</v>
      </c>
      <c r="X155" t="s">
        <v>805</v>
      </c>
      <c r="AC155">
        <v>2</v>
      </c>
      <c r="AD155">
        <v>4</v>
      </c>
      <c r="AE155" s="3">
        <v>0.3</v>
      </c>
      <c r="AF155" s="3">
        <v>0.01</v>
      </c>
      <c r="AG155" s="3">
        <v>0.2</v>
      </c>
      <c r="AH155">
        <v>1000</v>
      </c>
      <c r="AI155" s="3">
        <v>0.1</v>
      </c>
      <c r="AJ155">
        <v>0.1</v>
      </c>
      <c r="AK155">
        <v>100</v>
      </c>
      <c r="AL155" t="s">
        <v>804</v>
      </c>
      <c r="AM155" t="s">
        <v>135</v>
      </c>
    </row>
    <row r="156" spans="1:39" x14ac:dyDescent="0.2">
      <c r="A156" s="2">
        <v>45030.504756944443</v>
      </c>
      <c r="B156" s="2">
        <v>45030.508449074077</v>
      </c>
      <c r="C156" t="s">
        <v>42</v>
      </c>
      <c r="D156" t="s">
        <v>806</v>
      </c>
      <c r="E156">
        <v>100</v>
      </c>
      <c r="F156">
        <v>318</v>
      </c>
      <c r="G156" t="b">
        <v>1</v>
      </c>
      <c r="H156" s="2">
        <v>45030.508449074077</v>
      </c>
      <c r="I156" t="s">
        <v>807</v>
      </c>
      <c r="N156">
        <v>29.423100000000002</v>
      </c>
      <c r="O156">
        <v>-98.570499999999996</v>
      </c>
      <c r="P156" t="s">
        <v>111</v>
      </c>
      <c r="Q156" t="s">
        <v>112</v>
      </c>
      <c r="R156" t="s">
        <v>808</v>
      </c>
      <c r="S156" t="s">
        <v>114</v>
      </c>
      <c r="W156">
        <v>16</v>
      </c>
      <c r="X156" t="s">
        <v>809</v>
      </c>
      <c r="AC156">
        <v>2</v>
      </c>
      <c r="AD156">
        <v>500</v>
      </c>
      <c r="AE156">
        <v>10</v>
      </c>
      <c r="AF156" s="4">
        <v>1E-3</v>
      </c>
      <c r="AG156">
        <v>20</v>
      </c>
      <c r="AH156">
        <v>100</v>
      </c>
      <c r="AI156" s="3">
        <v>0.9</v>
      </c>
      <c r="AJ156">
        <v>0.1</v>
      </c>
      <c r="AK156" t="s">
        <v>164</v>
      </c>
      <c r="AL156" t="s">
        <v>808</v>
      </c>
      <c r="AM156" t="s">
        <v>135</v>
      </c>
    </row>
    <row r="157" spans="1:39" x14ac:dyDescent="0.2">
      <c r="A157" s="2">
        <v>45030.504837962966</v>
      </c>
      <c r="B157" s="2">
        <v>45030.508506944447</v>
      </c>
      <c r="C157" t="s">
        <v>42</v>
      </c>
      <c r="D157" t="s">
        <v>810</v>
      </c>
      <c r="E157">
        <v>100</v>
      </c>
      <c r="F157">
        <v>316</v>
      </c>
      <c r="G157" t="b">
        <v>1</v>
      </c>
      <c r="H157" s="2">
        <v>45030.508518518516</v>
      </c>
      <c r="I157" t="s">
        <v>811</v>
      </c>
      <c r="N157">
        <v>38.575899999999997</v>
      </c>
      <c r="O157">
        <v>-90.5167</v>
      </c>
      <c r="P157" t="s">
        <v>111</v>
      </c>
      <c r="Q157" t="s">
        <v>112</v>
      </c>
      <c r="R157" t="s">
        <v>812</v>
      </c>
      <c r="S157" t="s">
        <v>114</v>
      </c>
      <c r="W157">
        <v>75</v>
      </c>
      <c r="X157" t="s">
        <v>813</v>
      </c>
      <c r="Y157">
        <v>3</v>
      </c>
      <c r="AD157">
        <v>500</v>
      </c>
      <c r="AE157">
        <v>10</v>
      </c>
      <c r="AF157">
        <v>0.1</v>
      </c>
      <c r="AG157">
        <v>20</v>
      </c>
      <c r="AH157">
        <v>100</v>
      </c>
      <c r="AI157" s="3">
        <v>0.9</v>
      </c>
      <c r="AJ157">
        <v>0.05</v>
      </c>
      <c r="AK157" t="s">
        <v>159</v>
      </c>
      <c r="AL157" t="s">
        <v>812</v>
      </c>
      <c r="AM157" t="s">
        <v>117</v>
      </c>
    </row>
    <row r="158" spans="1:39" x14ac:dyDescent="0.2">
      <c r="A158" s="2">
        <v>45030.503483796296</v>
      </c>
      <c r="B158" s="2">
        <v>45030.508645833332</v>
      </c>
      <c r="C158" t="s">
        <v>42</v>
      </c>
      <c r="D158" t="s">
        <v>814</v>
      </c>
      <c r="E158">
        <v>100</v>
      </c>
      <c r="F158">
        <v>445</v>
      </c>
      <c r="G158" t="b">
        <v>1</v>
      </c>
      <c r="H158" s="2">
        <v>45030.508645833332</v>
      </c>
      <c r="I158" t="s">
        <v>815</v>
      </c>
      <c r="N158">
        <v>34.206899999999997</v>
      </c>
      <c r="O158">
        <v>-79.255700000000004</v>
      </c>
      <c r="P158" t="s">
        <v>111</v>
      </c>
      <c r="Q158" t="s">
        <v>112</v>
      </c>
      <c r="R158" t="s">
        <v>816</v>
      </c>
      <c r="S158" t="s">
        <v>114</v>
      </c>
      <c r="W158">
        <v>39</v>
      </c>
      <c r="X158" t="s">
        <v>817</v>
      </c>
      <c r="Y158" t="s">
        <v>308</v>
      </c>
      <c r="AD158">
        <v>250</v>
      </c>
      <c r="AE158">
        <v>1</v>
      </c>
      <c r="AF158">
        <v>1</v>
      </c>
      <c r="AG158">
        <v>20</v>
      </c>
      <c r="AH158">
        <v>100</v>
      </c>
      <c r="AI158">
        <v>185</v>
      </c>
      <c r="AJ158" t="s">
        <v>134</v>
      </c>
      <c r="AK158" t="s">
        <v>818</v>
      </c>
      <c r="AL158" t="s">
        <v>816</v>
      </c>
      <c r="AM158" t="s">
        <v>117</v>
      </c>
    </row>
    <row r="159" spans="1:39" x14ac:dyDescent="0.2">
      <c r="A159" s="2">
        <v>45030.50613425926</v>
      </c>
      <c r="B159" s="2">
        <v>45030.508715277778</v>
      </c>
      <c r="C159" t="s">
        <v>42</v>
      </c>
      <c r="D159" t="s">
        <v>819</v>
      </c>
      <c r="E159">
        <v>100</v>
      </c>
      <c r="F159">
        <v>222</v>
      </c>
      <c r="G159" t="b">
        <v>1</v>
      </c>
      <c r="H159" s="2">
        <v>45030.508715277778</v>
      </c>
      <c r="I159" t="s">
        <v>820</v>
      </c>
      <c r="N159">
        <v>47.257300000000001</v>
      </c>
      <c r="O159">
        <v>-122.49209999999999</v>
      </c>
      <c r="P159" t="s">
        <v>111</v>
      </c>
      <c r="Q159" t="s">
        <v>112</v>
      </c>
      <c r="R159" t="s">
        <v>821</v>
      </c>
      <c r="S159" t="s">
        <v>114</v>
      </c>
      <c r="W159">
        <v>0</v>
      </c>
      <c r="X159" t="s">
        <v>822</v>
      </c>
      <c r="AA159">
        <v>3</v>
      </c>
      <c r="AD159">
        <v>500</v>
      </c>
      <c r="AE159">
        <v>100</v>
      </c>
      <c r="AF159" s="3">
        <v>0.01</v>
      </c>
      <c r="AG159" s="3">
        <v>0.2</v>
      </c>
      <c r="AH159">
        <v>1</v>
      </c>
      <c r="AI159" t="s">
        <v>823</v>
      </c>
      <c r="AJ159" s="5">
        <v>0.1</v>
      </c>
      <c r="AK159">
        <v>50</v>
      </c>
      <c r="AL159" t="s">
        <v>821</v>
      </c>
      <c r="AM159" t="s">
        <v>128</v>
      </c>
    </row>
    <row r="160" spans="1:39" ht="409.6" x14ac:dyDescent="0.2">
      <c r="A160" s="2">
        <v>45030.504861111112</v>
      </c>
      <c r="B160" s="2">
        <v>45030.508773148147</v>
      </c>
      <c r="C160" t="s">
        <v>42</v>
      </c>
      <c r="D160" t="s">
        <v>824</v>
      </c>
      <c r="E160">
        <v>100</v>
      </c>
      <c r="F160">
        <v>337</v>
      </c>
      <c r="G160" t="b">
        <v>1</v>
      </c>
      <c r="H160" s="2">
        <v>45030.508773148147</v>
      </c>
      <c r="I160" t="s">
        <v>825</v>
      </c>
      <c r="N160">
        <v>40.483699999999999</v>
      </c>
      <c r="O160">
        <v>-104.8994</v>
      </c>
      <c r="P160" t="s">
        <v>111</v>
      </c>
      <c r="Q160" t="s">
        <v>112</v>
      </c>
      <c r="R160" t="s">
        <v>826</v>
      </c>
      <c r="S160" t="s">
        <v>114</v>
      </c>
      <c r="W160">
        <v>27</v>
      </c>
      <c r="X160" t="s">
        <v>827</v>
      </c>
      <c r="Y160">
        <v>1</v>
      </c>
      <c r="AD160" s="1" t="s">
        <v>828</v>
      </c>
      <c r="AE160" t="s">
        <v>829</v>
      </c>
      <c r="AF160" t="s">
        <v>830</v>
      </c>
      <c r="AG160">
        <v>20</v>
      </c>
      <c r="AH160">
        <v>100</v>
      </c>
      <c r="AI160" s="3">
        <v>0.5</v>
      </c>
      <c r="AJ160" s="5">
        <v>0.05</v>
      </c>
      <c r="AK160" t="s">
        <v>831</v>
      </c>
      <c r="AL160" t="s">
        <v>826</v>
      </c>
      <c r="AM160" t="s">
        <v>117</v>
      </c>
    </row>
    <row r="161" spans="1:39" x14ac:dyDescent="0.2">
      <c r="A161" s="2">
        <v>45030.503171296295</v>
      </c>
      <c r="B161" s="2">
        <v>45030.50886574074</v>
      </c>
      <c r="C161" t="s">
        <v>42</v>
      </c>
      <c r="D161" t="s">
        <v>832</v>
      </c>
      <c r="E161">
        <v>100</v>
      </c>
      <c r="F161">
        <v>491</v>
      </c>
      <c r="G161" t="b">
        <v>1</v>
      </c>
      <c r="H161" s="2">
        <v>45030.50886574074</v>
      </c>
      <c r="I161" t="s">
        <v>833</v>
      </c>
      <c r="N161">
        <v>34.054400000000001</v>
      </c>
      <c r="O161">
        <v>-118.244</v>
      </c>
      <c r="P161" t="s">
        <v>111</v>
      </c>
      <c r="Q161" t="s">
        <v>112</v>
      </c>
      <c r="R161" t="s">
        <v>834</v>
      </c>
      <c r="S161" t="s">
        <v>114</v>
      </c>
      <c r="W161">
        <v>60</v>
      </c>
      <c r="X161" t="s">
        <v>835</v>
      </c>
      <c r="Y161">
        <v>2</v>
      </c>
      <c r="AD161">
        <v>500</v>
      </c>
      <c r="AE161">
        <v>10</v>
      </c>
      <c r="AF161">
        <v>1</v>
      </c>
      <c r="AG161">
        <v>20</v>
      </c>
      <c r="AH161">
        <v>100</v>
      </c>
      <c r="AI161" s="3">
        <v>0.9</v>
      </c>
      <c r="AJ161">
        <v>0.05</v>
      </c>
      <c r="AK161">
        <v>100</v>
      </c>
      <c r="AL161" t="s">
        <v>834</v>
      </c>
      <c r="AM161" t="s">
        <v>117</v>
      </c>
    </row>
    <row r="162" spans="1:39" x14ac:dyDescent="0.2">
      <c r="A162" s="2">
        <v>45030.497453703705</v>
      </c>
      <c r="B162" s="2">
        <v>45030.50886574074</v>
      </c>
      <c r="C162" t="s">
        <v>42</v>
      </c>
      <c r="D162" t="s">
        <v>836</v>
      </c>
      <c r="E162">
        <v>100</v>
      </c>
      <c r="F162">
        <v>986</v>
      </c>
      <c r="G162" t="b">
        <v>1</v>
      </c>
      <c r="H162" s="2">
        <v>45030.508877314816</v>
      </c>
      <c r="I162" t="s">
        <v>837</v>
      </c>
      <c r="N162">
        <v>29.1052</v>
      </c>
      <c r="O162">
        <v>-82.095500000000001</v>
      </c>
      <c r="P162" t="s">
        <v>111</v>
      </c>
      <c r="Q162" t="s">
        <v>112</v>
      </c>
      <c r="R162" t="s">
        <v>838</v>
      </c>
      <c r="S162" t="s">
        <v>114</v>
      </c>
      <c r="W162">
        <v>40</v>
      </c>
      <c r="X162" t="s">
        <v>839</v>
      </c>
      <c r="AC162" t="s">
        <v>840</v>
      </c>
      <c r="AD162">
        <v>500</v>
      </c>
      <c r="AE162">
        <v>10</v>
      </c>
      <c r="AF162">
        <v>0.1</v>
      </c>
      <c r="AG162">
        <v>5</v>
      </c>
      <c r="AH162">
        <v>100</v>
      </c>
      <c r="AI162" s="3">
        <v>0.09</v>
      </c>
      <c r="AJ162">
        <v>0.05</v>
      </c>
      <c r="AK162">
        <v>5</v>
      </c>
      <c r="AL162" t="s">
        <v>838</v>
      </c>
      <c r="AM162" t="s">
        <v>135</v>
      </c>
    </row>
    <row r="163" spans="1:39" x14ac:dyDescent="0.2">
      <c r="A163" s="2">
        <v>45030.503113425926</v>
      </c>
      <c r="B163" s="2">
        <v>45030.508923611109</v>
      </c>
      <c r="C163" t="s">
        <v>42</v>
      </c>
      <c r="D163" t="s">
        <v>841</v>
      </c>
      <c r="E163">
        <v>100</v>
      </c>
      <c r="F163">
        <v>502</v>
      </c>
      <c r="G163" t="b">
        <v>1</v>
      </c>
      <c r="H163" s="2">
        <v>45030.508935185186</v>
      </c>
      <c r="I163" t="s">
        <v>842</v>
      </c>
      <c r="N163">
        <v>40.712299999999999</v>
      </c>
      <c r="O163">
        <v>-74.006799999999998</v>
      </c>
      <c r="P163" t="s">
        <v>111</v>
      </c>
      <c r="Q163" t="s">
        <v>112</v>
      </c>
      <c r="R163" t="s">
        <v>843</v>
      </c>
      <c r="S163" t="s">
        <v>114</v>
      </c>
      <c r="W163">
        <v>100</v>
      </c>
      <c r="X163" t="s">
        <v>844</v>
      </c>
      <c r="Z163" t="s">
        <v>845</v>
      </c>
      <c r="AD163">
        <v>400</v>
      </c>
      <c r="AE163">
        <v>100</v>
      </c>
      <c r="AF163" s="3">
        <v>0.01</v>
      </c>
      <c r="AG163" s="3">
        <v>0.28999999999999998</v>
      </c>
      <c r="AH163">
        <v>100</v>
      </c>
      <c r="AI163" s="3">
        <v>0.1</v>
      </c>
      <c r="AJ163">
        <v>0.1</v>
      </c>
      <c r="AK163" t="s">
        <v>164</v>
      </c>
      <c r="AL163" t="s">
        <v>843</v>
      </c>
      <c r="AM163" t="s">
        <v>128</v>
      </c>
    </row>
    <row r="164" spans="1:39" x14ac:dyDescent="0.2">
      <c r="A164" s="2">
        <v>45030.506284722222</v>
      </c>
      <c r="B164" s="2">
        <v>45030.508946759262</v>
      </c>
      <c r="C164" t="s">
        <v>42</v>
      </c>
      <c r="D164" t="s">
        <v>846</v>
      </c>
      <c r="E164">
        <v>100</v>
      </c>
      <c r="F164">
        <v>230</v>
      </c>
      <c r="G164" t="b">
        <v>1</v>
      </c>
      <c r="H164" s="2">
        <v>45030.508946759262</v>
      </c>
      <c r="I164" t="s">
        <v>847</v>
      </c>
      <c r="N164">
        <v>42.418799999999997</v>
      </c>
      <c r="O164">
        <v>-71.155699999999996</v>
      </c>
      <c r="P164" t="s">
        <v>111</v>
      </c>
      <c r="Q164" t="s">
        <v>112</v>
      </c>
      <c r="R164" t="s">
        <v>848</v>
      </c>
      <c r="S164" t="s">
        <v>114</v>
      </c>
      <c r="T164">
        <v>11</v>
      </c>
      <c r="U164">
        <v>2</v>
      </c>
      <c r="W164">
        <v>1</v>
      </c>
      <c r="X164" t="s">
        <v>849</v>
      </c>
      <c r="AD164">
        <v>500</v>
      </c>
      <c r="AE164">
        <v>10</v>
      </c>
      <c r="AF164">
        <v>0.1</v>
      </c>
      <c r="AG164">
        <v>20</v>
      </c>
      <c r="AH164">
        <v>100</v>
      </c>
      <c r="AI164" s="3">
        <v>0.5</v>
      </c>
      <c r="AJ164">
        <v>0.1</v>
      </c>
      <c r="AK164">
        <v>100</v>
      </c>
      <c r="AL164" t="s">
        <v>848</v>
      </c>
      <c r="AM164" t="s">
        <v>123</v>
      </c>
    </row>
    <row r="165" spans="1:39" x14ac:dyDescent="0.2">
      <c r="A165" s="2">
        <v>45030.504710648151</v>
      </c>
      <c r="B165" s="2">
        <v>45030.508958333332</v>
      </c>
      <c r="C165" t="s">
        <v>42</v>
      </c>
      <c r="D165" t="s">
        <v>850</v>
      </c>
      <c r="E165">
        <v>100</v>
      </c>
      <c r="F165">
        <v>366</v>
      </c>
      <c r="G165" t="b">
        <v>1</v>
      </c>
      <c r="H165" s="2">
        <v>45030.508958333332</v>
      </c>
      <c r="I165" t="s">
        <v>851</v>
      </c>
      <c r="N165">
        <v>39.886400000000002</v>
      </c>
      <c r="O165">
        <v>-79.724900000000005</v>
      </c>
      <c r="P165" t="s">
        <v>111</v>
      </c>
      <c r="Q165" t="s">
        <v>112</v>
      </c>
      <c r="R165" t="s">
        <v>852</v>
      </c>
      <c r="S165" t="s">
        <v>114</v>
      </c>
      <c r="T165">
        <v>100</v>
      </c>
      <c r="V165">
        <v>0.5</v>
      </c>
      <c r="W165">
        <v>100</v>
      </c>
      <c r="X165" t="s">
        <v>853</v>
      </c>
      <c r="AD165">
        <v>500</v>
      </c>
      <c r="AE165">
        <v>10</v>
      </c>
      <c r="AF165" t="s">
        <v>854</v>
      </c>
      <c r="AG165" s="3">
        <v>0.2</v>
      </c>
      <c r="AH165">
        <v>100</v>
      </c>
      <c r="AI165" s="3">
        <v>0.09</v>
      </c>
      <c r="AJ165">
        <v>0.1</v>
      </c>
      <c r="AK165">
        <v>2.5</v>
      </c>
      <c r="AL165" t="s">
        <v>852</v>
      </c>
      <c r="AM165" t="s">
        <v>123</v>
      </c>
    </row>
    <row r="166" spans="1:39" x14ac:dyDescent="0.2">
      <c r="A166" s="2">
        <v>45030.503807870373</v>
      </c>
      <c r="B166" s="2">
        <v>45030.508969907409</v>
      </c>
      <c r="C166" t="s">
        <v>42</v>
      </c>
      <c r="D166" t="s">
        <v>855</v>
      </c>
      <c r="E166">
        <v>100</v>
      </c>
      <c r="F166">
        <v>445</v>
      </c>
      <c r="G166" t="b">
        <v>1</v>
      </c>
      <c r="H166" s="2">
        <v>45030.508981481478</v>
      </c>
      <c r="I166" t="s">
        <v>856</v>
      </c>
      <c r="N166">
        <v>45.012300000000003</v>
      </c>
      <c r="O166">
        <v>-93.344700000000003</v>
      </c>
      <c r="P166" t="s">
        <v>111</v>
      </c>
      <c r="Q166" t="s">
        <v>112</v>
      </c>
      <c r="R166" t="s">
        <v>857</v>
      </c>
      <c r="S166" t="s">
        <v>114</v>
      </c>
      <c r="T166">
        <v>2</v>
      </c>
      <c r="U166">
        <v>3</v>
      </c>
      <c r="W166">
        <v>0</v>
      </c>
      <c r="X166" t="s">
        <v>858</v>
      </c>
      <c r="AD166">
        <v>500</v>
      </c>
      <c r="AE166">
        <v>10</v>
      </c>
      <c r="AF166">
        <v>0.01</v>
      </c>
      <c r="AG166">
        <v>20</v>
      </c>
      <c r="AH166">
        <v>100</v>
      </c>
      <c r="AI166" s="3">
        <v>0.9</v>
      </c>
      <c r="AJ166" s="5">
        <v>0.05</v>
      </c>
      <c r="AK166" t="s">
        <v>159</v>
      </c>
      <c r="AL166" t="s">
        <v>857</v>
      </c>
      <c r="AM166" t="s">
        <v>123</v>
      </c>
    </row>
    <row r="167" spans="1:39" x14ac:dyDescent="0.2">
      <c r="A167" s="2">
        <v>45030.507280092592</v>
      </c>
      <c r="B167" s="2">
        <v>45030.509004629632</v>
      </c>
      <c r="C167" t="s">
        <v>42</v>
      </c>
      <c r="D167" t="s">
        <v>859</v>
      </c>
      <c r="E167">
        <v>100</v>
      </c>
      <c r="F167">
        <v>148</v>
      </c>
      <c r="G167" t="b">
        <v>1</v>
      </c>
      <c r="H167" s="2">
        <v>45030.509016203701</v>
      </c>
      <c r="I167" t="s">
        <v>860</v>
      </c>
      <c r="N167">
        <v>38.636400000000002</v>
      </c>
      <c r="O167">
        <v>-90.198499999999996</v>
      </c>
      <c r="P167" t="s">
        <v>111</v>
      </c>
      <c r="Q167" t="s">
        <v>112</v>
      </c>
      <c r="R167" t="s">
        <v>861</v>
      </c>
      <c r="S167" t="s">
        <v>114</v>
      </c>
      <c r="W167">
        <v>9</v>
      </c>
      <c r="X167" t="s">
        <v>862</v>
      </c>
      <c r="AC167" t="s">
        <v>389</v>
      </c>
      <c r="AD167">
        <v>500</v>
      </c>
      <c r="AE167">
        <v>10</v>
      </c>
      <c r="AF167" s="4">
        <v>1E-3</v>
      </c>
      <c r="AG167">
        <v>20</v>
      </c>
      <c r="AH167">
        <v>100</v>
      </c>
      <c r="AI167" s="3">
        <v>0.5</v>
      </c>
      <c r="AJ167">
        <v>0.05</v>
      </c>
      <c r="AK167" t="s">
        <v>159</v>
      </c>
      <c r="AL167" t="s">
        <v>861</v>
      </c>
      <c r="AM167" t="s">
        <v>135</v>
      </c>
    </row>
    <row r="168" spans="1:39" x14ac:dyDescent="0.2">
      <c r="A168" s="2">
        <v>45030.503784722219</v>
      </c>
      <c r="B168" s="2">
        <v>45030.509259259263</v>
      </c>
      <c r="C168" t="s">
        <v>42</v>
      </c>
      <c r="D168" t="s">
        <v>863</v>
      </c>
      <c r="E168">
        <v>100</v>
      </c>
      <c r="F168">
        <v>472</v>
      </c>
      <c r="G168" t="b">
        <v>1</v>
      </c>
      <c r="H168" s="2">
        <v>45030.509259259263</v>
      </c>
      <c r="I168" t="s">
        <v>864</v>
      </c>
      <c r="N168">
        <v>33.454000000000001</v>
      </c>
      <c r="O168">
        <v>-84.153400000000005</v>
      </c>
      <c r="P168" t="s">
        <v>111</v>
      </c>
      <c r="Q168" t="s">
        <v>112</v>
      </c>
      <c r="R168" t="s">
        <v>865</v>
      </c>
      <c r="S168" t="s">
        <v>114</v>
      </c>
      <c r="W168">
        <v>100</v>
      </c>
      <c r="X168" t="s">
        <v>866</v>
      </c>
      <c r="Y168">
        <v>5</v>
      </c>
      <c r="AD168">
        <v>333</v>
      </c>
      <c r="AE168">
        <v>10</v>
      </c>
      <c r="AF168">
        <v>1</v>
      </c>
      <c r="AG168">
        <v>20</v>
      </c>
      <c r="AH168">
        <v>100</v>
      </c>
      <c r="AI168">
        <v>1</v>
      </c>
      <c r="AJ168">
        <v>10</v>
      </c>
      <c r="AK168">
        <v>1</v>
      </c>
      <c r="AL168" t="s">
        <v>865</v>
      </c>
      <c r="AM168" t="s">
        <v>117</v>
      </c>
    </row>
    <row r="169" spans="1:39" x14ac:dyDescent="0.2">
      <c r="A169" s="2">
        <v>45030.505231481482</v>
      </c>
      <c r="B169" s="2">
        <v>45030.509456018517</v>
      </c>
      <c r="C169" t="s">
        <v>42</v>
      </c>
      <c r="D169" t="s">
        <v>867</v>
      </c>
      <c r="E169">
        <v>100</v>
      </c>
      <c r="F169">
        <v>365</v>
      </c>
      <c r="G169" t="b">
        <v>1</v>
      </c>
      <c r="H169" s="2">
        <v>45030.509467592594</v>
      </c>
      <c r="I169" t="s">
        <v>868</v>
      </c>
      <c r="N169">
        <v>39.5381</v>
      </c>
      <c r="O169">
        <v>-119.8365</v>
      </c>
      <c r="P169" t="s">
        <v>111</v>
      </c>
      <c r="Q169" t="s">
        <v>112</v>
      </c>
      <c r="R169" t="s">
        <v>869</v>
      </c>
      <c r="S169" t="s">
        <v>114</v>
      </c>
      <c r="W169">
        <v>20</v>
      </c>
      <c r="X169" t="s">
        <v>870</v>
      </c>
      <c r="AA169">
        <v>100</v>
      </c>
      <c r="AD169">
        <v>500</v>
      </c>
      <c r="AE169">
        <v>10</v>
      </c>
      <c r="AF169" s="4">
        <v>1E-3</v>
      </c>
      <c r="AG169" s="3">
        <v>0.2</v>
      </c>
      <c r="AH169">
        <v>100</v>
      </c>
      <c r="AI169" s="3">
        <v>0.5</v>
      </c>
      <c r="AJ169">
        <v>0.05</v>
      </c>
      <c r="AK169" t="s">
        <v>159</v>
      </c>
      <c r="AL169" t="s">
        <v>869</v>
      </c>
      <c r="AM169" t="s">
        <v>128</v>
      </c>
    </row>
    <row r="170" spans="1:39" x14ac:dyDescent="0.2">
      <c r="A170" s="2">
        <v>45030.502870370372</v>
      </c>
      <c r="B170" s="2">
        <v>45030.509467592594</v>
      </c>
      <c r="C170" t="s">
        <v>42</v>
      </c>
      <c r="D170" t="s">
        <v>871</v>
      </c>
      <c r="E170">
        <v>100</v>
      </c>
      <c r="F170">
        <v>569</v>
      </c>
      <c r="G170" t="b">
        <v>1</v>
      </c>
      <c r="H170" s="2">
        <v>45030.509467592594</v>
      </c>
      <c r="I170" t="s">
        <v>872</v>
      </c>
      <c r="N170">
        <v>28.597799999999999</v>
      </c>
      <c r="O170">
        <v>-81.302400000000006</v>
      </c>
      <c r="P170" t="s">
        <v>111</v>
      </c>
      <c r="Q170" t="s">
        <v>112</v>
      </c>
      <c r="R170" t="s">
        <v>873</v>
      </c>
      <c r="S170" t="s">
        <v>114</v>
      </c>
      <c r="W170">
        <v>34</v>
      </c>
      <c r="X170" t="s">
        <v>874</v>
      </c>
      <c r="AA170">
        <v>3</v>
      </c>
      <c r="AD170">
        <v>500</v>
      </c>
      <c r="AE170">
        <v>10</v>
      </c>
      <c r="AF170">
        <v>1E-3</v>
      </c>
      <c r="AG170">
        <v>20</v>
      </c>
      <c r="AH170">
        <v>100</v>
      </c>
      <c r="AI170" s="3">
        <v>0.1</v>
      </c>
      <c r="AJ170">
        <v>0.1</v>
      </c>
      <c r="AK170" t="s">
        <v>164</v>
      </c>
      <c r="AL170" t="s">
        <v>873</v>
      </c>
      <c r="AM170" t="s">
        <v>128</v>
      </c>
    </row>
    <row r="171" spans="1:39" x14ac:dyDescent="0.2">
      <c r="A171" s="2">
        <v>45030.506168981483</v>
      </c>
      <c r="B171" s="2">
        <v>45030.509687500002</v>
      </c>
      <c r="C171" t="s">
        <v>42</v>
      </c>
      <c r="D171" t="s">
        <v>875</v>
      </c>
      <c r="E171">
        <v>100</v>
      </c>
      <c r="F171">
        <v>304</v>
      </c>
      <c r="G171" t="b">
        <v>1</v>
      </c>
      <c r="H171" s="2">
        <v>45030.509699074071</v>
      </c>
      <c r="I171" t="s">
        <v>876</v>
      </c>
      <c r="N171">
        <v>33.9893</v>
      </c>
      <c r="O171">
        <v>-118.089</v>
      </c>
      <c r="P171" t="s">
        <v>111</v>
      </c>
      <c r="Q171" t="s">
        <v>112</v>
      </c>
      <c r="R171" t="s">
        <v>877</v>
      </c>
      <c r="S171" t="s">
        <v>114</v>
      </c>
      <c r="T171">
        <v>60</v>
      </c>
      <c r="V171">
        <v>3</v>
      </c>
      <c r="W171">
        <v>29</v>
      </c>
      <c r="X171" t="s">
        <v>878</v>
      </c>
      <c r="AD171">
        <v>500</v>
      </c>
      <c r="AE171">
        <v>10</v>
      </c>
      <c r="AF171">
        <v>10</v>
      </c>
      <c r="AG171">
        <v>20</v>
      </c>
      <c r="AH171">
        <v>10</v>
      </c>
      <c r="AI171" s="3">
        <v>0.9</v>
      </c>
      <c r="AJ171">
        <v>0.1</v>
      </c>
      <c r="AK171" t="s">
        <v>159</v>
      </c>
      <c r="AL171" t="s">
        <v>877</v>
      </c>
      <c r="AM171" t="s">
        <v>123</v>
      </c>
    </row>
    <row r="172" spans="1:39" x14ac:dyDescent="0.2">
      <c r="A172" s="2">
        <v>45030.506157407406</v>
      </c>
      <c r="B172" s="2">
        <v>45030.509780092594</v>
      </c>
      <c r="C172" t="s">
        <v>42</v>
      </c>
      <c r="D172" t="s">
        <v>879</v>
      </c>
      <c r="E172">
        <v>100</v>
      </c>
      <c r="F172">
        <v>313</v>
      </c>
      <c r="G172" t="b">
        <v>1</v>
      </c>
      <c r="H172" s="2">
        <v>45030.509791666664</v>
      </c>
      <c r="I172" t="s">
        <v>880</v>
      </c>
      <c r="N172">
        <v>28.572700000000001</v>
      </c>
      <c r="O172">
        <v>-80.820599999999999</v>
      </c>
      <c r="P172" t="s">
        <v>111</v>
      </c>
      <c r="Q172" t="s">
        <v>112</v>
      </c>
      <c r="R172" t="s">
        <v>881</v>
      </c>
      <c r="S172" t="s">
        <v>114</v>
      </c>
      <c r="W172">
        <v>45</v>
      </c>
      <c r="X172" t="s">
        <v>882</v>
      </c>
      <c r="AC172">
        <v>1</v>
      </c>
      <c r="AD172">
        <v>100</v>
      </c>
      <c r="AE172">
        <v>10</v>
      </c>
      <c r="AF172" s="3">
        <v>0.01</v>
      </c>
      <c r="AG172">
        <v>2</v>
      </c>
      <c r="AH172">
        <v>100</v>
      </c>
      <c r="AI172" s="3">
        <v>0.01</v>
      </c>
      <c r="AJ172" t="s">
        <v>241</v>
      </c>
      <c r="AK172">
        <v>100</v>
      </c>
      <c r="AL172" t="s">
        <v>881</v>
      </c>
      <c r="AM172" t="s">
        <v>135</v>
      </c>
    </row>
    <row r="173" spans="1:39" x14ac:dyDescent="0.2">
      <c r="A173" s="2">
        <v>45030.502627314818</v>
      </c>
      <c r="B173" s="2">
        <v>45030.509814814817</v>
      </c>
      <c r="C173" t="s">
        <v>42</v>
      </c>
      <c r="D173" t="s">
        <v>883</v>
      </c>
      <c r="E173">
        <v>100</v>
      </c>
      <c r="F173">
        <v>620</v>
      </c>
      <c r="G173" t="b">
        <v>1</v>
      </c>
      <c r="H173" s="2">
        <v>45030.509826388887</v>
      </c>
      <c r="I173" t="s">
        <v>884</v>
      </c>
      <c r="N173">
        <v>34.0899</v>
      </c>
      <c r="O173">
        <v>-118.08710000000001</v>
      </c>
      <c r="P173" t="s">
        <v>111</v>
      </c>
      <c r="Q173" t="s">
        <v>112</v>
      </c>
      <c r="R173" t="s">
        <v>885</v>
      </c>
      <c r="S173" t="s">
        <v>114</v>
      </c>
      <c r="W173">
        <v>29</v>
      </c>
      <c r="X173" t="s">
        <v>886</v>
      </c>
      <c r="Y173">
        <v>3</v>
      </c>
      <c r="AD173">
        <v>500</v>
      </c>
      <c r="AE173">
        <v>50</v>
      </c>
      <c r="AF173" s="3">
        <v>0.1</v>
      </c>
      <c r="AG173">
        <v>20</v>
      </c>
      <c r="AH173">
        <v>100</v>
      </c>
      <c r="AI173">
        <v>10</v>
      </c>
      <c r="AJ173">
        <v>5</v>
      </c>
      <c r="AK173">
        <v>5</v>
      </c>
      <c r="AL173" t="s">
        <v>885</v>
      </c>
      <c r="AM173" t="s">
        <v>117</v>
      </c>
    </row>
    <row r="174" spans="1:39" x14ac:dyDescent="0.2">
      <c r="A174" s="2">
        <v>45030.503923611112</v>
      </c>
      <c r="B174" s="2">
        <v>45030.509872685187</v>
      </c>
      <c r="C174" t="s">
        <v>42</v>
      </c>
      <c r="D174" t="s">
        <v>887</v>
      </c>
      <c r="E174">
        <v>100</v>
      </c>
      <c r="F174">
        <v>513</v>
      </c>
      <c r="G174" t="b">
        <v>1</v>
      </c>
      <c r="H174" s="2">
        <v>45030.509872685187</v>
      </c>
      <c r="I174" t="s">
        <v>888</v>
      </c>
      <c r="N174">
        <v>37.351199999999999</v>
      </c>
      <c r="O174">
        <v>-121.88460000000001</v>
      </c>
      <c r="P174" t="s">
        <v>111</v>
      </c>
      <c r="Q174" t="s">
        <v>112</v>
      </c>
      <c r="R174" t="s">
        <v>889</v>
      </c>
      <c r="S174" t="s">
        <v>114</v>
      </c>
      <c r="T174">
        <v>55</v>
      </c>
      <c r="V174">
        <v>0.1</v>
      </c>
      <c r="W174">
        <v>50</v>
      </c>
      <c r="X174" t="s">
        <v>890</v>
      </c>
      <c r="AD174" t="s">
        <v>891</v>
      </c>
      <c r="AE174" t="s">
        <v>535</v>
      </c>
      <c r="AF174" s="4">
        <v>1E-3</v>
      </c>
      <c r="AG174">
        <v>20</v>
      </c>
      <c r="AH174">
        <v>100</v>
      </c>
      <c r="AI174" t="s">
        <v>301</v>
      </c>
      <c r="AJ174" t="s">
        <v>219</v>
      </c>
      <c r="AK174" t="s">
        <v>208</v>
      </c>
      <c r="AL174" t="s">
        <v>889</v>
      </c>
      <c r="AM174" t="s">
        <v>123</v>
      </c>
    </row>
    <row r="175" spans="1:39" x14ac:dyDescent="0.2">
      <c r="A175" s="2">
        <v>45030.506458333337</v>
      </c>
      <c r="B175" s="2">
        <v>45030.509918981479</v>
      </c>
      <c r="C175" t="s">
        <v>42</v>
      </c>
      <c r="D175" t="s">
        <v>892</v>
      </c>
      <c r="E175">
        <v>100</v>
      </c>
      <c r="F175">
        <v>299</v>
      </c>
      <c r="G175" t="b">
        <v>1</v>
      </c>
      <c r="H175" s="2">
        <v>45030.509930555556</v>
      </c>
      <c r="I175" t="s">
        <v>893</v>
      </c>
      <c r="N175">
        <v>42.228400000000001</v>
      </c>
      <c r="O175">
        <v>-87.972200000000001</v>
      </c>
      <c r="P175" t="s">
        <v>111</v>
      </c>
      <c r="Q175" t="s">
        <v>112</v>
      </c>
      <c r="R175" t="s">
        <v>894</v>
      </c>
      <c r="S175" t="s">
        <v>114</v>
      </c>
      <c r="W175">
        <v>0</v>
      </c>
      <c r="X175" t="s">
        <v>895</v>
      </c>
      <c r="AC175">
        <v>2</v>
      </c>
      <c r="AD175">
        <v>500</v>
      </c>
      <c r="AE175">
        <v>10</v>
      </c>
      <c r="AF175">
        <v>0.1</v>
      </c>
      <c r="AG175">
        <v>20</v>
      </c>
      <c r="AH175">
        <v>100</v>
      </c>
      <c r="AI175" s="3">
        <v>0.5</v>
      </c>
      <c r="AJ175">
        <v>0.05</v>
      </c>
      <c r="AK175">
        <v>5</v>
      </c>
      <c r="AL175" t="s">
        <v>894</v>
      </c>
      <c r="AM175" t="s">
        <v>135</v>
      </c>
    </row>
    <row r="176" spans="1:39" x14ac:dyDescent="0.2">
      <c r="A176" s="2">
        <v>45030.506504629629</v>
      </c>
      <c r="B176" s="2">
        <v>45030.510011574072</v>
      </c>
      <c r="C176" t="s">
        <v>42</v>
      </c>
      <c r="D176" t="s">
        <v>896</v>
      </c>
      <c r="E176">
        <v>100</v>
      </c>
      <c r="F176">
        <v>302</v>
      </c>
      <c r="G176" t="b">
        <v>1</v>
      </c>
      <c r="H176" s="2">
        <v>45030.510023148148</v>
      </c>
      <c r="I176" t="s">
        <v>897</v>
      </c>
      <c r="N176">
        <v>29.998000000000001</v>
      </c>
      <c r="O176">
        <v>-90.213300000000004</v>
      </c>
      <c r="P176" t="s">
        <v>111</v>
      </c>
      <c r="Q176" t="s">
        <v>112</v>
      </c>
      <c r="R176" t="s">
        <v>898</v>
      </c>
      <c r="S176" t="s">
        <v>114</v>
      </c>
      <c r="W176">
        <v>50</v>
      </c>
      <c r="X176" t="s">
        <v>899</v>
      </c>
      <c r="Y176">
        <v>0.5</v>
      </c>
      <c r="AD176">
        <v>500</v>
      </c>
      <c r="AE176">
        <v>100</v>
      </c>
      <c r="AF176" s="4">
        <v>1.0000000000000001E-5</v>
      </c>
      <c r="AG176">
        <v>20</v>
      </c>
      <c r="AH176">
        <v>100</v>
      </c>
      <c r="AI176" t="s">
        <v>900</v>
      </c>
      <c r="AJ176">
        <v>0.1</v>
      </c>
      <c r="AK176">
        <v>5</v>
      </c>
      <c r="AL176" t="s">
        <v>898</v>
      </c>
      <c r="AM176" t="s">
        <v>117</v>
      </c>
    </row>
    <row r="177" spans="1:39" x14ac:dyDescent="0.2">
      <c r="A177" s="2">
        <v>45030.497523148151</v>
      </c>
      <c r="B177" s="2">
        <v>45030.510196759256</v>
      </c>
      <c r="C177" t="s">
        <v>42</v>
      </c>
      <c r="D177" t="s">
        <v>901</v>
      </c>
      <c r="E177">
        <v>100</v>
      </c>
      <c r="F177">
        <v>1094</v>
      </c>
      <c r="G177" t="b">
        <v>1</v>
      </c>
      <c r="H177" s="2">
        <v>45030.510196759256</v>
      </c>
      <c r="I177" t="s">
        <v>902</v>
      </c>
      <c r="N177">
        <v>39.7318</v>
      </c>
      <c r="O177">
        <v>-104.9669</v>
      </c>
      <c r="P177" t="s">
        <v>111</v>
      </c>
      <c r="Q177" t="s">
        <v>112</v>
      </c>
      <c r="R177" t="s">
        <v>903</v>
      </c>
      <c r="S177" t="s">
        <v>114</v>
      </c>
      <c r="W177">
        <v>61</v>
      </c>
      <c r="X177" t="s">
        <v>904</v>
      </c>
      <c r="Y177">
        <v>2</v>
      </c>
      <c r="AD177">
        <v>500</v>
      </c>
      <c r="AE177">
        <v>10</v>
      </c>
      <c r="AF177" s="4">
        <v>1E-3</v>
      </c>
      <c r="AG177" s="3">
        <v>0.2</v>
      </c>
      <c r="AH177">
        <v>100</v>
      </c>
      <c r="AI177" s="3">
        <v>0.5</v>
      </c>
      <c r="AJ177">
        <v>0.1</v>
      </c>
      <c r="AK177" t="s">
        <v>208</v>
      </c>
      <c r="AL177" t="s">
        <v>903</v>
      </c>
      <c r="AM177" t="s">
        <v>117</v>
      </c>
    </row>
    <row r="178" spans="1:39" ht="409.6" x14ac:dyDescent="0.2">
      <c r="A178" s="2">
        <v>45030.496712962966</v>
      </c>
      <c r="B178" s="2">
        <v>45030.510358796295</v>
      </c>
      <c r="C178" t="s">
        <v>42</v>
      </c>
      <c r="D178" t="s">
        <v>905</v>
      </c>
      <c r="E178">
        <v>100</v>
      </c>
      <c r="F178">
        <v>1178</v>
      </c>
      <c r="G178" t="b">
        <v>1</v>
      </c>
      <c r="H178" s="2">
        <v>45030.510370370372</v>
      </c>
      <c r="I178" t="s">
        <v>906</v>
      </c>
      <c r="N178">
        <v>38.783000000000001</v>
      </c>
      <c r="O178">
        <v>-90.635099999999994</v>
      </c>
      <c r="P178" t="s">
        <v>111</v>
      </c>
      <c r="Q178" t="s">
        <v>112</v>
      </c>
      <c r="R178" t="s">
        <v>907</v>
      </c>
      <c r="S178" t="s">
        <v>114</v>
      </c>
      <c r="W178">
        <v>0</v>
      </c>
      <c r="X178" s="1" t="s">
        <v>908</v>
      </c>
      <c r="AC178" t="s">
        <v>909</v>
      </c>
      <c r="AD178">
        <v>500</v>
      </c>
      <c r="AE178">
        <v>10</v>
      </c>
      <c r="AF178" s="4">
        <v>1E-3</v>
      </c>
      <c r="AG178">
        <v>20</v>
      </c>
      <c r="AH178">
        <v>100</v>
      </c>
      <c r="AI178" s="3">
        <v>0.05</v>
      </c>
      <c r="AJ178" s="5">
        <v>0.1</v>
      </c>
      <c r="AK178" t="s">
        <v>159</v>
      </c>
      <c r="AL178" t="s">
        <v>907</v>
      </c>
      <c r="AM178" t="s">
        <v>135</v>
      </c>
    </row>
    <row r="179" spans="1:39" x14ac:dyDescent="0.2">
      <c r="A179" s="2">
        <v>45030.504687499997</v>
      </c>
      <c r="B179" s="2">
        <v>45030.510428240741</v>
      </c>
      <c r="C179" t="s">
        <v>42</v>
      </c>
      <c r="D179" t="s">
        <v>910</v>
      </c>
      <c r="E179">
        <v>100</v>
      </c>
      <c r="F179">
        <v>495</v>
      </c>
      <c r="G179" t="b">
        <v>1</v>
      </c>
      <c r="H179" s="2">
        <v>45030.510428240741</v>
      </c>
      <c r="I179" t="s">
        <v>911</v>
      </c>
      <c r="N179">
        <v>41.261200000000002</v>
      </c>
      <c r="O179">
        <v>-95.935400000000001</v>
      </c>
      <c r="P179" t="s">
        <v>111</v>
      </c>
      <c r="Q179" t="s">
        <v>112</v>
      </c>
      <c r="R179" t="s">
        <v>912</v>
      </c>
      <c r="S179" t="s">
        <v>114</v>
      </c>
      <c r="W179">
        <v>65</v>
      </c>
      <c r="X179" t="s">
        <v>913</v>
      </c>
      <c r="Y179">
        <v>5</v>
      </c>
      <c r="AD179">
        <v>500</v>
      </c>
      <c r="AE179">
        <v>10</v>
      </c>
      <c r="AF179">
        <v>0.1</v>
      </c>
      <c r="AG179">
        <v>20</v>
      </c>
      <c r="AH179">
        <v>100</v>
      </c>
      <c r="AI179" s="3">
        <v>0.5</v>
      </c>
      <c r="AJ179">
        <v>0.05</v>
      </c>
      <c r="AK179">
        <v>5</v>
      </c>
      <c r="AL179" t="s">
        <v>912</v>
      </c>
      <c r="AM179" t="s">
        <v>117</v>
      </c>
    </row>
    <row r="180" spans="1:39" x14ac:dyDescent="0.2">
      <c r="A180" s="2">
        <v>45030.506435185183</v>
      </c>
      <c r="B180" s="2">
        <v>45030.51053240741</v>
      </c>
      <c r="C180" t="s">
        <v>42</v>
      </c>
      <c r="D180" t="s">
        <v>914</v>
      </c>
      <c r="E180">
        <v>100</v>
      </c>
      <c r="F180">
        <v>354</v>
      </c>
      <c r="G180" t="b">
        <v>1</v>
      </c>
      <c r="H180" s="2">
        <v>45030.51054398148</v>
      </c>
      <c r="I180" t="s">
        <v>915</v>
      </c>
      <c r="N180">
        <v>47.247599999999998</v>
      </c>
      <c r="O180">
        <v>-122.46429999999999</v>
      </c>
      <c r="P180" t="s">
        <v>111</v>
      </c>
      <c r="Q180" t="s">
        <v>112</v>
      </c>
      <c r="R180" t="s">
        <v>916</v>
      </c>
      <c r="S180" t="s">
        <v>114</v>
      </c>
      <c r="W180">
        <v>100</v>
      </c>
      <c r="X180" t="s">
        <v>917</v>
      </c>
      <c r="Z180">
        <v>1</v>
      </c>
      <c r="AD180">
        <v>400</v>
      </c>
      <c r="AE180">
        <v>10</v>
      </c>
      <c r="AF180" t="s">
        <v>918</v>
      </c>
      <c r="AG180">
        <v>20</v>
      </c>
      <c r="AH180">
        <v>100</v>
      </c>
      <c r="AI180" t="s">
        <v>919</v>
      </c>
      <c r="AJ180">
        <v>0.1</v>
      </c>
      <c r="AK180">
        <v>5</v>
      </c>
      <c r="AL180" t="s">
        <v>916</v>
      </c>
      <c r="AM180" t="s">
        <v>128</v>
      </c>
    </row>
    <row r="181" spans="1:39" x14ac:dyDescent="0.2">
      <c r="A181" s="2">
        <v>45030.508101851854</v>
      </c>
      <c r="B181" s="2">
        <v>45030.510578703703</v>
      </c>
      <c r="C181" t="s">
        <v>42</v>
      </c>
      <c r="D181" t="s">
        <v>920</v>
      </c>
      <c r="E181">
        <v>100</v>
      </c>
      <c r="F181">
        <v>213</v>
      </c>
      <c r="G181" t="b">
        <v>1</v>
      </c>
      <c r="H181" s="2">
        <v>45030.510578703703</v>
      </c>
      <c r="I181" t="s">
        <v>921</v>
      </c>
      <c r="N181">
        <v>41.493899999999996</v>
      </c>
      <c r="O181">
        <v>-73.051699999999997</v>
      </c>
      <c r="P181" t="s">
        <v>111</v>
      </c>
      <c r="Q181" t="s">
        <v>112</v>
      </c>
      <c r="R181" s="6" t="s">
        <v>922</v>
      </c>
      <c r="S181" t="s">
        <v>114</v>
      </c>
      <c r="W181">
        <v>70</v>
      </c>
      <c r="X181" t="s">
        <v>923</v>
      </c>
      <c r="Y181">
        <v>1</v>
      </c>
      <c r="AD181">
        <v>50</v>
      </c>
      <c r="AE181">
        <v>10</v>
      </c>
      <c r="AF181" s="4">
        <v>1E-3</v>
      </c>
      <c r="AG181">
        <v>20</v>
      </c>
      <c r="AH181">
        <v>100</v>
      </c>
      <c r="AI181">
        <v>10</v>
      </c>
      <c r="AJ181">
        <v>0.1</v>
      </c>
      <c r="AK181">
        <v>500</v>
      </c>
      <c r="AL181" s="6" t="s">
        <v>922</v>
      </c>
      <c r="AM181" t="s">
        <v>117</v>
      </c>
    </row>
    <row r="182" spans="1:39" x14ac:dyDescent="0.2">
      <c r="A182" s="2">
        <v>45030.505543981482</v>
      </c>
      <c r="B182" s="2">
        <v>45030.510578703703</v>
      </c>
      <c r="C182" t="s">
        <v>42</v>
      </c>
      <c r="D182" t="s">
        <v>924</v>
      </c>
      <c r="E182">
        <v>100</v>
      </c>
      <c r="F182">
        <v>434</v>
      </c>
      <c r="G182" t="b">
        <v>1</v>
      </c>
      <c r="H182" s="2">
        <v>45030.51059027778</v>
      </c>
      <c r="I182" t="s">
        <v>925</v>
      </c>
      <c r="N182">
        <v>38.234499999999997</v>
      </c>
      <c r="O182">
        <v>-85.723600000000005</v>
      </c>
      <c r="P182" t="s">
        <v>111</v>
      </c>
      <c r="Q182" t="s">
        <v>112</v>
      </c>
      <c r="R182" t="s">
        <v>926</v>
      </c>
      <c r="S182" t="s">
        <v>114</v>
      </c>
      <c r="W182">
        <v>30</v>
      </c>
      <c r="X182" t="s">
        <v>927</v>
      </c>
      <c r="Y182">
        <v>1</v>
      </c>
      <c r="AD182">
        <v>500</v>
      </c>
      <c r="AE182">
        <v>10</v>
      </c>
      <c r="AF182" s="3">
        <v>0.01</v>
      </c>
      <c r="AG182" s="3">
        <v>0.02</v>
      </c>
      <c r="AH182">
        <v>100</v>
      </c>
      <c r="AI182" s="3">
        <v>0.1</v>
      </c>
      <c r="AJ182">
        <v>0.05</v>
      </c>
      <c r="AK182" t="s">
        <v>159</v>
      </c>
      <c r="AL182" t="s">
        <v>926</v>
      </c>
      <c r="AM182" t="s">
        <v>117</v>
      </c>
    </row>
    <row r="183" spans="1:39" ht="323" x14ac:dyDescent="0.2">
      <c r="A183" s="2">
        <v>45030.506608796299</v>
      </c>
      <c r="B183" s="2">
        <v>45030.510659722226</v>
      </c>
      <c r="C183" t="s">
        <v>42</v>
      </c>
      <c r="D183" t="s">
        <v>928</v>
      </c>
      <c r="E183">
        <v>100</v>
      </c>
      <c r="F183">
        <v>349</v>
      </c>
      <c r="G183" t="b">
        <v>1</v>
      </c>
      <c r="H183" s="2">
        <v>45030.510671296295</v>
      </c>
      <c r="I183" t="s">
        <v>929</v>
      </c>
      <c r="N183">
        <v>39.464199999999998</v>
      </c>
      <c r="O183">
        <v>-87.353099999999998</v>
      </c>
      <c r="P183" t="s">
        <v>111</v>
      </c>
      <c r="Q183" t="s">
        <v>112</v>
      </c>
      <c r="R183" s="6" t="s">
        <v>930</v>
      </c>
      <c r="S183" t="s">
        <v>114</v>
      </c>
      <c r="T183">
        <v>0</v>
      </c>
      <c r="U183">
        <v>1000</v>
      </c>
      <c r="W183">
        <v>0</v>
      </c>
      <c r="X183" t="s">
        <v>931</v>
      </c>
      <c r="AD183">
        <v>500</v>
      </c>
      <c r="AE183">
        <v>10</v>
      </c>
      <c r="AF183">
        <v>0.1</v>
      </c>
      <c r="AG183">
        <v>20</v>
      </c>
      <c r="AH183">
        <v>100</v>
      </c>
      <c r="AI183" t="s">
        <v>932</v>
      </c>
      <c r="AJ183">
        <v>0.05</v>
      </c>
      <c r="AK183" s="1" t="s">
        <v>933</v>
      </c>
      <c r="AL183" s="6" t="s">
        <v>930</v>
      </c>
      <c r="AM183" t="s">
        <v>123</v>
      </c>
    </row>
    <row r="184" spans="1:39" x14ac:dyDescent="0.2">
      <c r="A184" s="2">
        <v>45030.492569444446</v>
      </c>
      <c r="B184" s="2">
        <v>45030.510995370372</v>
      </c>
      <c r="C184" t="s">
        <v>42</v>
      </c>
      <c r="D184" t="s">
        <v>934</v>
      </c>
      <c r="E184">
        <v>100</v>
      </c>
      <c r="F184">
        <v>1592</v>
      </c>
      <c r="G184" t="b">
        <v>1</v>
      </c>
      <c r="H184" s="2">
        <v>45030.511006944442</v>
      </c>
      <c r="I184" t="s">
        <v>935</v>
      </c>
      <c r="N184">
        <v>34.0747</v>
      </c>
      <c r="O184">
        <v>-84.595299999999995</v>
      </c>
      <c r="P184" t="s">
        <v>111</v>
      </c>
      <c r="Q184" t="s">
        <v>112</v>
      </c>
      <c r="R184" t="s">
        <v>936</v>
      </c>
      <c r="S184" t="s">
        <v>114</v>
      </c>
      <c r="W184">
        <v>71</v>
      </c>
      <c r="X184" t="s">
        <v>937</v>
      </c>
      <c r="AB184">
        <v>5</v>
      </c>
      <c r="AD184">
        <v>500</v>
      </c>
      <c r="AE184">
        <v>100</v>
      </c>
      <c r="AF184">
        <v>0.1</v>
      </c>
      <c r="AG184">
        <v>20</v>
      </c>
      <c r="AH184">
        <v>0.1</v>
      </c>
      <c r="AI184">
        <v>12</v>
      </c>
      <c r="AJ184">
        <v>0.1</v>
      </c>
      <c r="AK184">
        <v>1000</v>
      </c>
      <c r="AL184" t="s">
        <v>936</v>
      </c>
      <c r="AM184" t="s">
        <v>135</v>
      </c>
    </row>
    <row r="185" spans="1:39" x14ac:dyDescent="0.2">
      <c r="A185" s="2">
        <v>45030.508449074077</v>
      </c>
      <c r="B185" s="2">
        <v>45030.511053240742</v>
      </c>
      <c r="C185" t="s">
        <v>42</v>
      </c>
      <c r="D185" t="s">
        <v>938</v>
      </c>
      <c r="E185">
        <v>100</v>
      </c>
      <c r="F185">
        <v>224</v>
      </c>
      <c r="G185" t="b">
        <v>1</v>
      </c>
      <c r="H185" s="2">
        <v>45030.511053240742</v>
      </c>
      <c r="I185" t="s">
        <v>939</v>
      </c>
      <c r="N185">
        <v>40.278300000000002</v>
      </c>
      <c r="O185">
        <v>-111.71980000000001</v>
      </c>
      <c r="P185" t="s">
        <v>111</v>
      </c>
      <c r="Q185" t="s">
        <v>112</v>
      </c>
      <c r="R185" t="s">
        <v>940</v>
      </c>
      <c r="S185" t="s">
        <v>114</v>
      </c>
      <c r="W185">
        <v>0</v>
      </c>
      <c r="X185" t="s">
        <v>941</v>
      </c>
      <c r="AC185">
        <v>5</v>
      </c>
      <c r="AD185">
        <v>500</v>
      </c>
      <c r="AE185">
        <v>10</v>
      </c>
      <c r="AF185">
        <v>0.1</v>
      </c>
      <c r="AG185">
        <v>20</v>
      </c>
      <c r="AH185">
        <v>100</v>
      </c>
      <c r="AI185" t="s">
        <v>625</v>
      </c>
      <c r="AJ185">
        <v>0.05</v>
      </c>
      <c r="AK185" t="s">
        <v>159</v>
      </c>
      <c r="AL185" t="s">
        <v>940</v>
      </c>
      <c r="AM185" t="s">
        <v>135</v>
      </c>
    </row>
    <row r="186" spans="1:39" x14ac:dyDescent="0.2">
      <c r="A186" s="2">
        <v>45030.508460648147</v>
      </c>
      <c r="B186" s="2">
        <v>45030.511203703703</v>
      </c>
      <c r="C186" t="s">
        <v>42</v>
      </c>
      <c r="D186" t="s">
        <v>942</v>
      </c>
      <c r="E186">
        <v>100</v>
      </c>
      <c r="F186">
        <v>237</v>
      </c>
      <c r="G186" t="b">
        <v>1</v>
      </c>
      <c r="H186" s="2">
        <v>45030.51121527778</v>
      </c>
      <c r="I186" t="s">
        <v>943</v>
      </c>
      <c r="N186">
        <v>40.594999999999999</v>
      </c>
      <c r="O186">
        <v>-75.528899999999993</v>
      </c>
      <c r="P186" t="s">
        <v>111</v>
      </c>
      <c r="Q186" t="s">
        <v>112</v>
      </c>
      <c r="R186" s="6" t="s">
        <v>944</v>
      </c>
      <c r="S186" t="s">
        <v>114</v>
      </c>
      <c r="W186">
        <v>1</v>
      </c>
      <c r="X186" t="s">
        <v>945</v>
      </c>
      <c r="Y186">
        <v>9</v>
      </c>
      <c r="AD186">
        <v>500</v>
      </c>
      <c r="AE186">
        <v>10</v>
      </c>
      <c r="AF186">
        <v>1</v>
      </c>
      <c r="AG186">
        <v>20</v>
      </c>
      <c r="AH186">
        <v>100</v>
      </c>
      <c r="AI186">
        <v>9</v>
      </c>
      <c r="AJ186">
        <v>0.1</v>
      </c>
      <c r="AK186">
        <v>100</v>
      </c>
      <c r="AL186" s="6" t="s">
        <v>944</v>
      </c>
      <c r="AM186" t="s">
        <v>117</v>
      </c>
    </row>
    <row r="187" spans="1:39" x14ac:dyDescent="0.2">
      <c r="A187" s="2">
        <v>45030.503078703703</v>
      </c>
      <c r="B187" s="2">
        <v>45030.511273148149</v>
      </c>
      <c r="C187" t="s">
        <v>42</v>
      </c>
      <c r="D187" t="s">
        <v>946</v>
      </c>
      <c r="E187">
        <v>100</v>
      </c>
      <c r="F187">
        <v>708</v>
      </c>
      <c r="G187" t="b">
        <v>1</v>
      </c>
      <c r="H187" s="2">
        <v>45030.511284722219</v>
      </c>
      <c r="I187" t="s">
        <v>947</v>
      </c>
      <c r="N187">
        <v>25.992000000000001</v>
      </c>
      <c r="O187">
        <v>-80.270200000000003</v>
      </c>
      <c r="P187" t="s">
        <v>111</v>
      </c>
      <c r="Q187" t="s">
        <v>112</v>
      </c>
      <c r="R187" t="s">
        <v>948</v>
      </c>
      <c r="S187" t="s">
        <v>114</v>
      </c>
      <c r="W187">
        <v>72</v>
      </c>
      <c r="X187" t="s">
        <v>949</v>
      </c>
      <c r="AB187" t="s">
        <v>950</v>
      </c>
      <c r="AD187">
        <v>50</v>
      </c>
      <c r="AE187">
        <v>10</v>
      </c>
      <c r="AF187">
        <v>1E-3</v>
      </c>
      <c r="AG187">
        <v>20</v>
      </c>
      <c r="AH187">
        <v>100</v>
      </c>
      <c r="AI187" s="3">
        <v>0.5</v>
      </c>
      <c r="AJ187">
        <v>0.1</v>
      </c>
      <c r="AK187" t="s">
        <v>159</v>
      </c>
      <c r="AL187" t="s">
        <v>948</v>
      </c>
      <c r="AM187" t="s">
        <v>135</v>
      </c>
    </row>
    <row r="188" spans="1:39" x14ac:dyDescent="0.2">
      <c r="A188" s="2">
        <v>45030.506736111114</v>
      </c>
      <c r="B188" s="2">
        <v>45030.511400462965</v>
      </c>
      <c r="C188" t="s">
        <v>42</v>
      </c>
      <c r="D188" t="s">
        <v>951</v>
      </c>
      <c r="E188">
        <v>100</v>
      </c>
      <c r="F188">
        <v>403</v>
      </c>
      <c r="G188" t="b">
        <v>1</v>
      </c>
      <c r="H188" s="2">
        <v>45030.511412037034</v>
      </c>
      <c r="I188" t="s">
        <v>952</v>
      </c>
      <c r="N188">
        <v>39.948599999999999</v>
      </c>
      <c r="O188">
        <v>-75.233900000000006</v>
      </c>
      <c r="P188" t="s">
        <v>111</v>
      </c>
      <c r="Q188" t="s">
        <v>112</v>
      </c>
      <c r="R188" t="s">
        <v>953</v>
      </c>
      <c r="S188" t="s">
        <v>114</v>
      </c>
      <c r="W188">
        <v>5</v>
      </c>
      <c r="X188" t="s">
        <v>954</v>
      </c>
      <c r="AC188" t="s">
        <v>308</v>
      </c>
      <c r="AD188">
        <v>500</v>
      </c>
      <c r="AE188">
        <v>10</v>
      </c>
      <c r="AF188">
        <v>0.1</v>
      </c>
      <c r="AG188">
        <v>20</v>
      </c>
      <c r="AH188">
        <v>100</v>
      </c>
      <c r="AI188" s="3">
        <v>0.89</v>
      </c>
      <c r="AJ188">
        <v>0.05</v>
      </c>
      <c r="AK188" t="s">
        <v>159</v>
      </c>
      <c r="AL188" t="s">
        <v>953</v>
      </c>
      <c r="AM188" t="s">
        <v>135</v>
      </c>
    </row>
    <row r="189" spans="1:39" x14ac:dyDescent="0.2">
      <c r="A189" s="2">
        <v>45030.510104166664</v>
      </c>
      <c r="B189" s="2">
        <v>45030.511423611111</v>
      </c>
      <c r="C189" t="s">
        <v>42</v>
      </c>
      <c r="D189" t="s">
        <v>955</v>
      </c>
      <c r="E189">
        <v>100</v>
      </c>
      <c r="F189">
        <v>114</v>
      </c>
      <c r="G189" t="b">
        <v>1</v>
      </c>
      <c r="H189" s="2">
        <v>45030.511423611111</v>
      </c>
      <c r="I189" t="s">
        <v>956</v>
      </c>
      <c r="N189">
        <v>33.801900000000003</v>
      </c>
      <c r="O189">
        <v>-84.386099999999999</v>
      </c>
      <c r="P189" t="s">
        <v>111</v>
      </c>
      <c r="Q189" t="s">
        <v>112</v>
      </c>
      <c r="R189" t="s">
        <v>957</v>
      </c>
      <c r="S189" t="s">
        <v>114</v>
      </c>
      <c r="W189">
        <v>67</v>
      </c>
      <c r="X189" t="s">
        <v>958</v>
      </c>
      <c r="Z189">
        <v>0.5</v>
      </c>
      <c r="AD189">
        <v>500</v>
      </c>
      <c r="AE189" t="s">
        <v>535</v>
      </c>
      <c r="AF189" t="s">
        <v>959</v>
      </c>
      <c r="AG189">
        <v>20</v>
      </c>
      <c r="AH189">
        <v>100</v>
      </c>
      <c r="AI189" t="s">
        <v>625</v>
      </c>
      <c r="AJ189" t="s">
        <v>241</v>
      </c>
      <c r="AK189" t="s">
        <v>164</v>
      </c>
      <c r="AL189" t="s">
        <v>957</v>
      </c>
      <c r="AM189" t="s">
        <v>128</v>
      </c>
    </row>
    <row r="190" spans="1:39" x14ac:dyDescent="0.2">
      <c r="A190" s="2">
        <v>45030.508252314816</v>
      </c>
      <c r="B190" s="2">
        <v>45030.511562500003</v>
      </c>
      <c r="C190" t="s">
        <v>42</v>
      </c>
      <c r="D190" t="s">
        <v>960</v>
      </c>
      <c r="E190">
        <v>100</v>
      </c>
      <c r="F190">
        <v>286</v>
      </c>
      <c r="G190" t="b">
        <v>1</v>
      </c>
      <c r="H190" s="2">
        <v>45030.511574074073</v>
      </c>
      <c r="I190" t="s">
        <v>961</v>
      </c>
      <c r="N190">
        <v>40.626899999999999</v>
      </c>
      <c r="O190">
        <v>-122.354</v>
      </c>
      <c r="P190" t="s">
        <v>111</v>
      </c>
      <c r="Q190" t="s">
        <v>112</v>
      </c>
      <c r="R190" t="s">
        <v>962</v>
      </c>
      <c r="S190" t="s">
        <v>114</v>
      </c>
      <c r="T190">
        <v>11</v>
      </c>
      <c r="U190" t="s">
        <v>308</v>
      </c>
      <c r="W190">
        <v>5</v>
      </c>
      <c r="X190" t="s">
        <v>963</v>
      </c>
      <c r="AD190">
        <v>500</v>
      </c>
      <c r="AE190">
        <v>10</v>
      </c>
      <c r="AF190" s="4">
        <v>1E-3</v>
      </c>
      <c r="AG190">
        <v>20</v>
      </c>
      <c r="AH190">
        <v>100</v>
      </c>
      <c r="AI190" s="3">
        <v>0.8</v>
      </c>
      <c r="AJ190">
        <v>0.05</v>
      </c>
      <c r="AK190">
        <v>5</v>
      </c>
      <c r="AL190" t="s">
        <v>962</v>
      </c>
      <c r="AM190" t="s">
        <v>123</v>
      </c>
    </row>
    <row r="191" spans="1:39" x14ac:dyDescent="0.2">
      <c r="A191" s="2">
        <v>45030.509189814817</v>
      </c>
      <c r="B191" s="2">
        <v>45030.511631944442</v>
      </c>
      <c r="C191" t="s">
        <v>42</v>
      </c>
      <c r="D191" t="s">
        <v>964</v>
      </c>
      <c r="E191">
        <v>100</v>
      </c>
      <c r="F191">
        <v>210</v>
      </c>
      <c r="G191" t="b">
        <v>1</v>
      </c>
      <c r="H191" s="2">
        <v>45030.511631944442</v>
      </c>
      <c r="I191" t="s">
        <v>965</v>
      </c>
      <c r="N191">
        <v>32.761600000000001</v>
      </c>
      <c r="O191">
        <v>-117.2058</v>
      </c>
      <c r="P191" t="s">
        <v>111</v>
      </c>
      <c r="Q191" t="s">
        <v>112</v>
      </c>
      <c r="R191" t="s">
        <v>966</v>
      </c>
      <c r="S191" t="s">
        <v>114</v>
      </c>
      <c r="W191">
        <v>87</v>
      </c>
      <c r="X191" t="s">
        <v>967</v>
      </c>
      <c r="Z191">
        <v>0.5</v>
      </c>
      <c r="AD191">
        <v>500</v>
      </c>
      <c r="AE191">
        <v>10</v>
      </c>
      <c r="AF191">
        <v>0.1</v>
      </c>
      <c r="AG191">
        <v>20</v>
      </c>
      <c r="AH191">
        <v>100</v>
      </c>
      <c r="AI191">
        <v>9</v>
      </c>
      <c r="AJ191">
        <v>0.1</v>
      </c>
      <c r="AK191">
        <v>100</v>
      </c>
      <c r="AL191" t="s">
        <v>966</v>
      </c>
      <c r="AM191" t="s">
        <v>128</v>
      </c>
    </row>
    <row r="192" spans="1:39" x14ac:dyDescent="0.2">
      <c r="A192" s="2">
        <v>45030.508055555554</v>
      </c>
      <c r="B192" s="2">
        <v>45030.511701388888</v>
      </c>
      <c r="C192" t="s">
        <v>42</v>
      </c>
      <c r="D192" t="s">
        <v>968</v>
      </c>
      <c r="E192">
        <v>100</v>
      </c>
      <c r="F192">
        <v>314</v>
      </c>
      <c r="G192" t="b">
        <v>1</v>
      </c>
      <c r="H192" s="2">
        <v>45030.511701388888</v>
      </c>
      <c r="I192" t="s">
        <v>969</v>
      </c>
      <c r="N192">
        <v>39.638199999999998</v>
      </c>
      <c r="O192">
        <v>-106.6206</v>
      </c>
      <c r="P192" t="s">
        <v>111</v>
      </c>
      <c r="Q192" t="s">
        <v>112</v>
      </c>
      <c r="R192" t="s">
        <v>970</v>
      </c>
      <c r="S192" t="s">
        <v>114</v>
      </c>
      <c r="W192">
        <v>10</v>
      </c>
      <c r="X192" t="s">
        <v>971</v>
      </c>
      <c r="Y192" t="s">
        <v>389</v>
      </c>
      <c r="AD192">
        <v>500</v>
      </c>
      <c r="AE192">
        <v>10</v>
      </c>
      <c r="AF192" t="s">
        <v>972</v>
      </c>
      <c r="AG192">
        <v>20</v>
      </c>
      <c r="AH192">
        <v>100</v>
      </c>
      <c r="AI192" s="3">
        <v>0.9</v>
      </c>
      <c r="AJ192">
        <v>0.05</v>
      </c>
      <c r="AK192" t="s">
        <v>159</v>
      </c>
      <c r="AL192" t="s">
        <v>970</v>
      </c>
      <c r="AM192" t="s">
        <v>117</v>
      </c>
    </row>
    <row r="193" spans="1:39" x14ac:dyDescent="0.2">
      <c r="A193" s="2">
        <v>45030.509189814817</v>
      </c>
      <c r="B193" s="2">
        <v>45030.511736111112</v>
      </c>
      <c r="C193" t="s">
        <v>42</v>
      </c>
      <c r="D193" t="s">
        <v>973</v>
      </c>
      <c r="E193">
        <v>100</v>
      </c>
      <c r="F193">
        <v>219</v>
      </c>
      <c r="G193" t="b">
        <v>1</v>
      </c>
      <c r="H193" s="2">
        <v>45030.511747685188</v>
      </c>
      <c r="I193" t="s">
        <v>974</v>
      </c>
      <c r="N193">
        <v>33.7485</v>
      </c>
      <c r="O193">
        <v>-84.387100000000004</v>
      </c>
      <c r="P193" t="s">
        <v>111</v>
      </c>
      <c r="Q193" t="s">
        <v>112</v>
      </c>
      <c r="R193" t="s">
        <v>975</v>
      </c>
      <c r="S193" t="s">
        <v>114</v>
      </c>
      <c r="W193">
        <v>2</v>
      </c>
      <c r="X193" t="s">
        <v>976</v>
      </c>
      <c r="AC193">
        <v>1</v>
      </c>
      <c r="AD193">
        <v>500</v>
      </c>
      <c r="AE193">
        <v>10</v>
      </c>
      <c r="AF193">
        <v>0.5</v>
      </c>
      <c r="AG193">
        <v>20</v>
      </c>
      <c r="AH193">
        <v>100</v>
      </c>
      <c r="AI193">
        <v>10</v>
      </c>
      <c r="AJ193">
        <v>0.1</v>
      </c>
      <c r="AK193" t="s">
        <v>404</v>
      </c>
      <c r="AL193" t="s">
        <v>975</v>
      </c>
      <c r="AM193" t="s">
        <v>135</v>
      </c>
    </row>
    <row r="194" spans="1:39" x14ac:dyDescent="0.2">
      <c r="A194" s="2">
        <v>45030.5003125</v>
      </c>
      <c r="B194" s="2">
        <v>45030.511770833335</v>
      </c>
      <c r="C194" t="s">
        <v>42</v>
      </c>
      <c r="D194" t="s">
        <v>977</v>
      </c>
      <c r="E194">
        <v>100</v>
      </c>
      <c r="F194">
        <v>990</v>
      </c>
      <c r="G194" t="b">
        <v>1</v>
      </c>
      <c r="H194" s="2">
        <v>45030.511782407404</v>
      </c>
      <c r="I194" t="s">
        <v>978</v>
      </c>
      <c r="N194">
        <v>33.498699999999999</v>
      </c>
      <c r="O194">
        <v>-80.846599999999995</v>
      </c>
      <c r="P194" t="s">
        <v>111</v>
      </c>
      <c r="Q194" t="s">
        <v>112</v>
      </c>
      <c r="R194" t="s">
        <v>979</v>
      </c>
      <c r="S194" t="s">
        <v>114</v>
      </c>
      <c r="W194">
        <v>70</v>
      </c>
      <c r="X194" t="s">
        <v>980</v>
      </c>
      <c r="Y194" t="s">
        <v>981</v>
      </c>
      <c r="AD194" t="s">
        <v>982</v>
      </c>
      <c r="AE194" t="s">
        <v>983</v>
      </c>
      <c r="AF194">
        <v>0.01</v>
      </c>
      <c r="AG194">
        <v>20</v>
      </c>
      <c r="AH194">
        <v>100</v>
      </c>
      <c r="AI194" t="s">
        <v>984</v>
      </c>
      <c r="AJ194" t="s">
        <v>985</v>
      </c>
      <c r="AK194" t="s">
        <v>986</v>
      </c>
      <c r="AL194" t="s">
        <v>979</v>
      </c>
      <c r="AM194" t="s">
        <v>117</v>
      </c>
    </row>
    <row r="195" spans="1:39" x14ac:dyDescent="0.2">
      <c r="A195" s="2">
        <v>45030.509421296294</v>
      </c>
      <c r="B195" s="2">
        <v>45030.511793981481</v>
      </c>
      <c r="C195" t="s">
        <v>42</v>
      </c>
      <c r="D195" t="s">
        <v>987</v>
      </c>
      <c r="E195">
        <v>100</v>
      </c>
      <c r="F195">
        <v>204</v>
      </c>
      <c r="G195" t="b">
        <v>1</v>
      </c>
      <c r="H195" s="2">
        <v>45030.511793981481</v>
      </c>
      <c r="I195" t="s">
        <v>988</v>
      </c>
      <c r="N195">
        <v>38.768000000000001</v>
      </c>
      <c r="O195">
        <v>-121.3349</v>
      </c>
      <c r="P195" t="s">
        <v>111</v>
      </c>
      <c r="Q195" t="s">
        <v>112</v>
      </c>
      <c r="R195" t="s">
        <v>989</v>
      </c>
      <c r="S195" t="s">
        <v>114</v>
      </c>
      <c r="W195">
        <v>77</v>
      </c>
      <c r="X195" t="s">
        <v>990</v>
      </c>
      <c r="Z195">
        <v>0.3</v>
      </c>
      <c r="AD195">
        <v>500</v>
      </c>
      <c r="AE195">
        <v>10</v>
      </c>
      <c r="AF195">
        <v>0.1</v>
      </c>
      <c r="AG195">
        <v>20</v>
      </c>
      <c r="AH195">
        <v>100</v>
      </c>
      <c r="AI195" s="3">
        <v>0.5</v>
      </c>
      <c r="AJ195">
        <v>0.05</v>
      </c>
      <c r="AK195">
        <v>5</v>
      </c>
      <c r="AL195" t="s">
        <v>989</v>
      </c>
      <c r="AM195" t="s">
        <v>128</v>
      </c>
    </row>
    <row r="196" spans="1:39" x14ac:dyDescent="0.2">
      <c r="A196" s="2">
        <v>45030.507650462961</v>
      </c>
      <c r="B196" s="2">
        <v>45030.51189814815</v>
      </c>
      <c r="C196" t="s">
        <v>42</v>
      </c>
      <c r="D196" t="s">
        <v>991</v>
      </c>
      <c r="E196">
        <v>100</v>
      </c>
      <c r="F196">
        <v>366</v>
      </c>
      <c r="G196" t="b">
        <v>1</v>
      </c>
      <c r="H196" s="2">
        <v>45030.51189814815</v>
      </c>
      <c r="I196" t="s">
        <v>992</v>
      </c>
      <c r="N196">
        <v>33.448500000000003</v>
      </c>
      <c r="O196">
        <v>-82.201099999999997</v>
      </c>
      <c r="P196" t="s">
        <v>111</v>
      </c>
      <c r="Q196" t="s">
        <v>112</v>
      </c>
      <c r="R196" t="s">
        <v>993</v>
      </c>
      <c r="S196" t="s">
        <v>114</v>
      </c>
      <c r="T196">
        <v>20</v>
      </c>
      <c r="U196">
        <v>2</v>
      </c>
      <c r="W196">
        <v>8</v>
      </c>
      <c r="X196" t="s">
        <v>994</v>
      </c>
      <c r="AD196">
        <v>400</v>
      </c>
      <c r="AE196">
        <v>5</v>
      </c>
      <c r="AF196">
        <v>1</v>
      </c>
      <c r="AG196">
        <v>20</v>
      </c>
      <c r="AH196">
        <v>10</v>
      </c>
      <c r="AI196">
        <v>10</v>
      </c>
      <c r="AJ196">
        <v>0.1</v>
      </c>
      <c r="AK196">
        <v>100</v>
      </c>
      <c r="AL196" t="s">
        <v>993</v>
      </c>
      <c r="AM196" t="s">
        <v>123</v>
      </c>
    </row>
    <row r="197" spans="1:39" x14ac:dyDescent="0.2">
      <c r="A197" s="2">
        <v>45030.508136574077</v>
      </c>
      <c r="B197" s="2">
        <v>45030.512118055558</v>
      </c>
      <c r="C197" t="s">
        <v>42</v>
      </c>
      <c r="D197" t="s">
        <v>995</v>
      </c>
      <c r="E197">
        <v>100</v>
      </c>
      <c r="F197">
        <v>343</v>
      </c>
      <c r="G197" t="b">
        <v>1</v>
      </c>
      <c r="H197" s="2">
        <v>45030.512129629627</v>
      </c>
      <c r="I197" t="s">
        <v>996</v>
      </c>
      <c r="N197">
        <v>42.857500000000002</v>
      </c>
      <c r="O197">
        <v>-72.593999999999994</v>
      </c>
      <c r="P197" t="s">
        <v>111</v>
      </c>
      <c r="Q197" t="s">
        <v>112</v>
      </c>
      <c r="R197" t="s">
        <v>997</v>
      </c>
      <c r="S197" t="s">
        <v>114</v>
      </c>
      <c r="W197">
        <v>55</v>
      </c>
      <c r="X197" t="s">
        <v>998</v>
      </c>
      <c r="Z197">
        <v>1</v>
      </c>
      <c r="AD197">
        <v>500</v>
      </c>
      <c r="AE197">
        <v>10</v>
      </c>
      <c r="AF197" s="4">
        <v>1E-3</v>
      </c>
      <c r="AG197" s="3">
        <v>0.2</v>
      </c>
      <c r="AH197">
        <v>100</v>
      </c>
      <c r="AI197" s="3">
        <v>0.01</v>
      </c>
      <c r="AJ197" t="s">
        <v>999</v>
      </c>
      <c r="AK197" t="s">
        <v>643</v>
      </c>
      <c r="AL197" t="s">
        <v>997</v>
      </c>
      <c r="AM197" t="s">
        <v>128</v>
      </c>
    </row>
    <row r="198" spans="1:39" x14ac:dyDescent="0.2">
      <c r="A198" s="2">
        <v>45030.509062500001</v>
      </c>
      <c r="B198" s="2">
        <v>45030.512280092589</v>
      </c>
      <c r="C198" t="s">
        <v>42</v>
      </c>
      <c r="D198" t="s">
        <v>1000</v>
      </c>
      <c r="E198">
        <v>100</v>
      </c>
      <c r="F198">
        <v>277</v>
      </c>
      <c r="G198" t="b">
        <v>1</v>
      </c>
      <c r="H198" s="2">
        <v>45030.512291666666</v>
      </c>
      <c r="I198" t="s">
        <v>1001</v>
      </c>
      <c r="N198">
        <v>39.7697</v>
      </c>
      <c r="O198">
        <v>-89.688599999999994</v>
      </c>
      <c r="P198" t="s">
        <v>111</v>
      </c>
      <c r="Q198" t="s">
        <v>112</v>
      </c>
      <c r="R198" t="s">
        <v>1002</v>
      </c>
      <c r="S198" t="s">
        <v>114</v>
      </c>
      <c r="T198">
        <v>54</v>
      </c>
      <c r="V198">
        <v>0.5</v>
      </c>
      <c r="W198">
        <v>31</v>
      </c>
      <c r="X198" t="s">
        <v>1003</v>
      </c>
      <c r="AD198">
        <v>500</v>
      </c>
      <c r="AE198">
        <v>10</v>
      </c>
      <c r="AF198" s="4">
        <v>1E-3</v>
      </c>
      <c r="AG198">
        <v>20</v>
      </c>
      <c r="AH198">
        <v>100</v>
      </c>
      <c r="AI198">
        <v>9</v>
      </c>
      <c r="AJ198">
        <v>0.05</v>
      </c>
      <c r="AK198" t="s">
        <v>159</v>
      </c>
      <c r="AL198" t="s">
        <v>1002</v>
      </c>
      <c r="AM198" t="s">
        <v>123</v>
      </c>
    </row>
    <row r="199" spans="1:39" x14ac:dyDescent="0.2">
      <c r="A199" s="2">
        <v>45030.507523148146</v>
      </c>
      <c r="B199" s="2">
        <v>45030.512546296297</v>
      </c>
      <c r="C199" t="s">
        <v>42</v>
      </c>
      <c r="D199" t="s">
        <v>1004</v>
      </c>
      <c r="E199">
        <v>100</v>
      </c>
      <c r="F199">
        <v>433</v>
      </c>
      <c r="G199" t="b">
        <v>1</v>
      </c>
      <c r="H199" s="2">
        <v>45030.512557870374</v>
      </c>
      <c r="I199" t="s">
        <v>1005</v>
      </c>
      <c r="N199">
        <v>44.781799999999997</v>
      </c>
      <c r="O199">
        <v>-93.516499999999994</v>
      </c>
      <c r="P199" t="s">
        <v>111</v>
      </c>
      <c r="Q199" t="s">
        <v>112</v>
      </c>
      <c r="R199" t="s">
        <v>1006</v>
      </c>
      <c r="S199" t="s">
        <v>114</v>
      </c>
      <c r="W199">
        <v>43</v>
      </c>
      <c r="X199" t="s">
        <v>1007</v>
      </c>
      <c r="AC199">
        <v>1.5</v>
      </c>
      <c r="AD199">
        <v>500</v>
      </c>
      <c r="AE199">
        <v>10</v>
      </c>
      <c r="AF199">
        <v>0.01</v>
      </c>
      <c r="AG199">
        <v>20</v>
      </c>
      <c r="AH199">
        <v>100</v>
      </c>
      <c r="AI199">
        <v>50</v>
      </c>
      <c r="AJ199">
        <v>0.05</v>
      </c>
      <c r="AK199">
        <v>5</v>
      </c>
      <c r="AL199" t="s">
        <v>1006</v>
      </c>
      <c r="AM199" t="s">
        <v>135</v>
      </c>
    </row>
    <row r="200" spans="1:39" x14ac:dyDescent="0.2">
      <c r="A200" s="2">
        <v>45030.509016203701</v>
      </c>
      <c r="B200" s="2">
        <v>45030.512557870374</v>
      </c>
      <c r="C200" t="s">
        <v>42</v>
      </c>
      <c r="D200" t="s">
        <v>1008</v>
      </c>
      <c r="E200">
        <v>100</v>
      </c>
      <c r="F200">
        <v>306</v>
      </c>
      <c r="G200" t="b">
        <v>1</v>
      </c>
      <c r="H200" s="2">
        <v>45030.512569444443</v>
      </c>
      <c r="I200" t="s">
        <v>1009</v>
      </c>
      <c r="N200">
        <v>41.848199999999999</v>
      </c>
      <c r="O200">
        <v>-87.652100000000004</v>
      </c>
      <c r="P200" t="s">
        <v>111</v>
      </c>
      <c r="Q200" t="s">
        <v>112</v>
      </c>
      <c r="R200" t="s">
        <v>1010</v>
      </c>
      <c r="S200" t="s">
        <v>114</v>
      </c>
      <c r="W200">
        <v>65</v>
      </c>
      <c r="X200" t="s">
        <v>1011</v>
      </c>
      <c r="AB200">
        <v>0.5</v>
      </c>
      <c r="AD200">
        <v>500</v>
      </c>
      <c r="AE200">
        <v>5</v>
      </c>
      <c r="AF200">
        <v>0.05</v>
      </c>
      <c r="AG200">
        <v>20</v>
      </c>
      <c r="AH200">
        <v>0.5</v>
      </c>
      <c r="AI200">
        <v>10</v>
      </c>
      <c r="AJ200">
        <v>0.1</v>
      </c>
      <c r="AK200">
        <v>100</v>
      </c>
      <c r="AL200" t="s">
        <v>1010</v>
      </c>
      <c r="AM200" t="s">
        <v>135</v>
      </c>
    </row>
    <row r="201" spans="1:39" x14ac:dyDescent="0.2">
      <c r="A201" s="2">
        <v>45030.509710648148</v>
      </c>
      <c r="B201" s="2">
        <v>45030.512696759259</v>
      </c>
      <c r="C201" t="s">
        <v>42</v>
      </c>
      <c r="D201" t="s">
        <v>1012</v>
      </c>
      <c r="E201">
        <v>100</v>
      </c>
      <c r="F201">
        <v>258</v>
      </c>
      <c r="G201" t="b">
        <v>1</v>
      </c>
      <c r="H201" s="2">
        <v>45030.512708333335</v>
      </c>
      <c r="I201" t="s">
        <v>1013</v>
      </c>
      <c r="N201">
        <v>33.4512</v>
      </c>
      <c r="O201">
        <v>-112.08759999999999</v>
      </c>
      <c r="P201" t="s">
        <v>111</v>
      </c>
      <c r="Q201" t="s">
        <v>112</v>
      </c>
      <c r="R201" s="6" t="s">
        <v>1014</v>
      </c>
      <c r="S201" t="s">
        <v>114</v>
      </c>
      <c r="T201">
        <v>100</v>
      </c>
      <c r="V201">
        <v>1</v>
      </c>
      <c r="W201">
        <v>98</v>
      </c>
      <c r="X201" t="s">
        <v>1015</v>
      </c>
      <c r="AD201" t="s">
        <v>1016</v>
      </c>
      <c r="AE201" t="s">
        <v>1017</v>
      </c>
      <c r="AF201" t="s">
        <v>1018</v>
      </c>
      <c r="AG201">
        <v>20</v>
      </c>
      <c r="AH201" t="s">
        <v>1019</v>
      </c>
      <c r="AI201" t="s">
        <v>1020</v>
      </c>
      <c r="AJ201" t="s">
        <v>1021</v>
      </c>
      <c r="AK201" t="s">
        <v>148</v>
      </c>
      <c r="AL201" s="6" t="s">
        <v>1014</v>
      </c>
      <c r="AM201" t="s">
        <v>123</v>
      </c>
    </row>
    <row r="202" spans="1:39" x14ac:dyDescent="0.2">
      <c r="A202" s="2">
        <v>45030.509618055556</v>
      </c>
      <c r="B202" s="2">
        <v>45030.512754629628</v>
      </c>
      <c r="C202" t="s">
        <v>42</v>
      </c>
      <c r="D202" t="s">
        <v>1022</v>
      </c>
      <c r="E202">
        <v>100</v>
      </c>
      <c r="F202">
        <v>270</v>
      </c>
      <c r="G202" t="b">
        <v>1</v>
      </c>
      <c r="H202" s="2">
        <v>45030.512766203705</v>
      </c>
      <c r="I202" t="s">
        <v>1023</v>
      </c>
      <c r="N202">
        <v>32.7254</v>
      </c>
      <c r="O202">
        <v>-97.320800000000006</v>
      </c>
      <c r="P202" t="s">
        <v>111</v>
      </c>
      <c r="Q202" t="s">
        <v>112</v>
      </c>
      <c r="R202" t="s">
        <v>1024</v>
      </c>
      <c r="S202" t="s">
        <v>114</v>
      </c>
      <c r="W202">
        <v>53</v>
      </c>
      <c r="X202" t="s">
        <v>1025</v>
      </c>
      <c r="Y202">
        <v>3</v>
      </c>
      <c r="AD202">
        <v>499</v>
      </c>
      <c r="AE202">
        <v>10</v>
      </c>
      <c r="AF202">
        <v>1</v>
      </c>
      <c r="AG202">
        <v>20</v>
      </c>
      <c r="AH202">
        <v>10</v>
      </c>
      <c r="AI202" s="3">
        <v>0.1</v>
      </c>
      <c r="AJ202">
        <v>0.1</v>
      </c>
      <c r="AK202">
        <v>100</v>
      </c>
      <c r="AL202" t="s">
        <v>1024</v>
      </c>
      <c r="AM202" t="s">
        <v>117</v>
      </c>
    </row>
    <row r="203" spans="1:39" x14ac:dyDescent="0.2">
      <c r="A203" s="2">
        <v>45030.503437500003</v>
      </c>
      <c r="B203" s="2">
        <v>45030.512766203705</v>
      </c>
      <c r="C203" t="s">
        <v>42</v>
      </c>
      <c r="D203" t="s">
        <v>1026</v>
      </c>
      <c r="E203">
        <v>100</v>
      </c>
      <c r="F203">
        <v>805</v>
      </c>
      <c r="G203" t="b">
        <v>1</v>
      </c>
      <c r="H203" s="2">
        <v>45030.512766203705</v>
      </c>
      <c r="I203" t="s">
        <v>1027</v>
      </c>
      <c r="N203">
        <v>33.997799999999998</v>
      </c>
      <c r="O203">
        <v>-83.712400000000002</v>
      </c>
      <c r="P203" t="s">
        <v>111</v>
      </c>
      <c r="Q203" t="s">
        <v>112</v>
      </c>
      <c r="R203" t="s">
        <v>1028</v>
      </c>
      <c r="S203" t="s">
        <v>114</v>
      </c>
      <c r="W203">
        <v>9</v>
      </c>
      <c r="X203" t="s">
        <v>1029</v>
      </c>
      <c r="AC203">
        <v>2</v>
      </c>
      <c r="AD203">
        <v>500</v>
      </c>
      <c r="AE203">
        <v>10</v>
      </c>
      <c r="AF203">
        <v>0.1</v>
      </c>
      <c r="AG203">
        <v>20</v>
      </c>
      <c r="AH203">
        <v>100</v>
      </c>
      <c r="AI203" s="3">
        <v>0.09</v>
      </c>
      <c r="AJ203">
        <v>0.05</v>
      </c>
      <c r="AK203" t="s">
        <v>159</v>
      </c>
      <c r="AL203" t="s">
        <v>1028</v>
      </c>
      <c r="AM203" t="s">
        <v>135</v>
      </c>
    </row>
    <row r="204" spans="1:39" x14ac:dyDescent="0.2">
      <c r="A204" s="2">
        <v>45030.509456018517</v>
      </c>
      <c r="B204" s="2">
        <v>45030.512870370374</v>
      </c>
      <c r="C204" t="s">
        <v>42</v>
      </c>
      <c r="D204" t="s">
        <v>1030</v>
      </c>
      <c r="E204">
        <v>100</v>
      </c>
      <c r="F204">
        <v>294</v>
      </c>
      <c r="G204" t="b">
        <v>1</v>
      </c>
      <c r="H204" s="2">
        <v>45030.512870370374</v>
      </c>
      <c r="I204" t="s">
        <v>1031</v>
      </c>
      <c r="N204">
        <v>38.662999999999997</v>
      </c>
      <c r="O204">
        <v>-75.244299999999996</v>
      </c>
      <c r="P204" t="s">
        <v>111</v>
      </c>
      <c r="Q204" t="s">
        <v>112</v>
      </c>
      <c r="R204" t="s">
        <v>1032</v>
      </c>
      <c r="S204" t="s">
        <v>114</v>
      </c>
      <c r="W204">
        <v>80</v>
      </c>
      <c r="X204" t="s">
        <v>1033</v>
      </c>
      <c r="Z204">
        <v>0.5</v>
      </c>
      <c r="AD204">
        <v>500</v>
      </c>
      <c r="AE204">
        <v>10</v>
      </c>
      <c r="AF204">
        <v>0.1</v>
      </c>
      <c r="AG204">
        <v>20</v>
      </c>
      <c r="AH204">
        <v>100</v>
      </c>
      <c r="AI204">
        <v>90</v>
      </c>
      <c r="AJ204">
        <v>0.1</v>
      </c>
      <c r="AK204" t="s">
        <v>148</v>
      </c>
      <c r="AL204" t="s">
        <v>1032</v>
      </c>
      <c r="AM204" t="s">
        <v>128</v>
      </c>
    </row>
    <row r="205" spans="1:39" x14ac:dyDescent="0.2">
      <c r="A205" s="2">
        <v>45030.510138888887</v>
      </c>
      <c r="B205" s="2">
        <v>45030.512928240743</v>
      </c>
      <c r="C205" t="s">
        <v>42</v>
      </c>
      <c r="D205" t="s">
        <v>1034</v>
      </c>
      <c r="E205">
        <v>100</v>
      </c>
      <c r="F205">
        <v>240</v>
      </c>
      <c r="G205" t="b">
        <v>1</v>
      </c>
      <c r="H205" s="2">
        <v>45030.512928240743</v>
      </c>
      <c r="I205" t="s">
        <v>1035</v>
      </c>
      <c r="N205">
        <v>39.814700000000002</v>
      </c>
      <c r="O205">
        <v>-105.1168</v>
      </c>
      <c r="P205" t="s">
        <v>111</v>
      </c>
      <c r="Q205" t="s">
        <v>112</v>
      </c>
      <c r="R205" t="s">
        <v>1036</v>
      </c>
      <c r="S205" t="s">
        <v>114</v>
      </c>
      <c r="W205">
        <v>31</v>
      </c>
      <c r="X205" t="s">
        <v>1037</v>
      </c>
      <c r="AC205" t="s">
        <v>1038</v>
      </c>
      <c r="AD205">
        <v>500</v>
      </c>
      <c r="AE205" t="s">
        <v>1039</v>
      </c>
      <c r="AF205" s="4">
        <v>1E-3</v>
      </c>
      <c r="AG205" s="3">
        <v>0.2</v>
      </c>
      <c r="AH205">
        <v>1</v>
      </c>
      <c r="AI205" s="3">
        <v>0.99</v>
      </c>
      <c r="AJ205" s="5">
        <v>0.1</v>
      </c>
      <c r="AK205" t="s">
        <v>1040</v>
      </c>
      <c r="AL205" t="s">
        <v>1036</v>
      </c>
      <c r="AM205" t="s">
        <v>135</v>
      </c>
    </row>
    <row r="206" spans="1:39" x14ac:dyDescent="0.2">
      <c r="A206" s="2">
        <v>45030.50744212963</v>
      </c>
      <c r="B206" s="2">
        <v>45030.513032407405</v>
      </c>
      <c r="C206" t="s">
        <v>42</v>
      </c>
      <c r="D206" t="s">
        <v>1041</v>
      </c>
      <c r="E206">
        <v>100</v>
      </c>
      <c r="F206">
        <v>483</v>
      </c>
      <c r="G206" t="b">
        <v>1</v>
      </c>
      <c r="H206" s="2">
        <v>45030.513043981482</v>
      </c>
      <c r="I206" t="s">
        <v>1042</v>
      </c>
      <c r="N206">
        <v>39.692100000000003</v>
      </c>
      <c r="O206">
        <v>-77.335300000000004</v>
      </c>
      <c r="P206" t="s">
        <v>111</v>
      </c>
      <c r="Q206" t="s">
        <v>112</v>
      </c>
      <c r="R206" t="s">
        <v>1043</v>
      </c>
      <c r="S206" t="s">
        <v>114</v>
      </c>
      <c r="T206">
        <v>60</v>
      </c>
      <c r="V206">
        <v>0.5</v>
      </c>
      <c r="W206">
        <v>60</v>
      </c>
      <c r="X206" t="s">
        <v>1044</v>
      </c>
      <c r="AD206">
        <v>500</v>
      </c>
      <c r="AE206">
        <v>10</v>
      </c>
      <c r="AF206" t="s">
        <v>1045</v>
      </c>
      <c r="AG206">
        <v>20</v>
      </c>
      <c r="AH206">
        <v>5</v>
      </c>
      <c r="AI206">
        <v>5</v>
      </c>
      <c r="AJ206">
        <v>0.1</v>
      </c>
      <c r="AK206">
        <v>1</v>
      </c>
      <c r="AL206" t="s">
        <v>1043</v>
      </c>
      <c r="AM206" t="s">
        <v>123</v>
      </c>
    </row>
    <row r="207" spans="1:39" x14ac:dyDescent="0.2">
      <c r="A207" s="2">
        <v>45030.507488425923</v>
      </c>
      <c r="B207" s="2">
        <v>45030.513078703705</v>
      </c>
      <c r="C207" t="s">
        <v>42</v>
      </c>
      <c r="D207" t="s">
        <v>1046</v>
      </c>
      <c r="E207">
        <v>100</v>
      </c>
      <c r="F207">
        <v>483</v>
      </c>
      <c r="G207" t="b">
        <v>1</v>
      </c>
      <c r="H207" s="2">
        <v>45030.513090277775</v>
      </c>
      <c r="I207" t="s">
        <v>1047</v>
      </c>
      <c r="N207">
        <v>42.881999999999998</v>
      </c>
      <c r="O207">
        <v>-78.8613</v>
      </c>
      <c r="P207" t="s">
        <v>111</v>
      </c>
      <c r="Q207" t="s">
        <v>112</v>
      </c>
      <c r="R207" t="s">
        <v>1048</v>
      </c>
      <c r="S207" t="s">
        <v>114</v>
      </c>
      <c r="T207">
        <v>62</v>
      </c>
      <c r="V207">
        <v>1</v>
      </c>
      <c r="W207">
        <v>7</v>
      </c>
      <c r="X207" t="s">
        <v>1049</v>
      </c>
      <c r="AD207">
        <v>333</v>
      </c>
      <c r="AE207">
        <v>100</v>
      </c>
      <c r="AF207">
        <v>1E-3</v>
      </c>
      <c r="AG207">
        <v>20</v>
      </c>
      <c r="AH207">
        <v>100</v>
      </c>
      <c r="AI207" t="s">
        <v>1050</v>
      </c>
      <c r="AJ207">
        <v>0.1</v>
      </c>
      <c r="AK207">
        <v>100</v>
      </c>
      <c r="AL207" t="s">
        <v>1048</v>
      </c>
      <c r="AM207" t="s">
        <v>123</v>
      </c>
    </row>
    <row r="208" spans="1:39" x14ac:dyDescent="0.2">
      <c r="A208" s="2">
        <v>45030.510613425926</v>
      </c>
      <c r="B208" s="2">
        <v>45030.513090277775</v>
      </c>
      <c r="C208" t="s">
        <v>42</v>
      </c>
      <c r="D208" t="s">
        <v>1051</v>
      </c>
      <c r="E208">
        <v>100</v>
      </c>
      <c r="F208">
        <v>213</v>
      </c>
      <c r="G208" t="b">
        <v>1</v>
      </c>
      <c r="H208" s="2">
        <v>45030.513090277775</v>
      </c>
      <c r="I208" t="s">
        <v>1052</v>
      </c>
      <c r="N208">
        <v>28.145099999999999</v>
      </c>
      <c r="O208">
        <v>-82.513199999999998</v>
      </c>
      <c r="P208" t="s">
        <v>111</v>
      </c>
      <c r="Q208" t="s">
        <v>112</v>
      </c>
      <c r="R208" t="s">
        <v>1053</v>
      </c>
      <c r="S208" t="s">
        <v>114</v>
      </c>
      <c r="W208">
        <v>81</v>
      </c>
      <c r="X208" t="s">
        <v>1054</v>
      </c>
      <c r="Z208">
        <v>1</v>
      </c>
      <c r="AD208">
        <v>6</v>
      </c>
      <c r="AE208">
        <v>10</v>
      </c>
      <c r="AF208">
        <v>1</v>
      </c>
      <c r="AG208">
        <v>5</v>
      </c>
      <c r="AH208">
        <v>100</v>
      </c>
      <c r="AI208">
        <v>10</v>
      </c>
      <c r="AJ208">
        <v>10</v>
      </c>
      <c r="AK208">
        <v>5</v>
      </c>
      <c r="AL208" t="s">
        <v>1053</v>
      </c>
      <c r="AM208" t="s">
        <v>128</v>
      </c>
    </row>
    <row r="209" spans="1:39" x14ac:dyDescent="0.2">
      <c r="A209" s="2">
        <v>45030.508518518516</v>
      </c>
      <c r="B209" s="2">
        <v>45030.513171296298</v>
      </c>
      <c r="C209" t="s">
        <v>42</v>
      </c>
      <c r="D209" t="s">
        <v>1055</v>
      </c>
      <c r="E209">
        <v>100</v>
      </c>
      <c r="F209">
        <v>401</v>
      </c>
      <c r="G209" t="b">
        <v>1</v>
      </c>
      <c r="H209" s="2">
        <v>45030.513171296298</v>
      </c>
      <c r="I209" t="s">
        <v>1056</v>
      </c>
      <c r="N209">
        <v>41.928100000000001</v>
      </c>
      <c r="O209">
        <v>-83.444999999999993</v>
      </c>
      <c r="P209" t="s">
        <v>111</v>
      </c>
      <c r="Q209" t="s">
        <v>112</v>
      </c>
      <c r="R209" t="s">
        <v>1057</v>
      </c>
      <c r="S209" t="s">
        <v>114</v>
      </c>
      <c r="W209">
        <v>0</v>
      </c>
      <c r="X209" t="s">
        <v>1058</v>
      </c>
      <c r="Y209">
        <v>2.5</v>
      </c>
      <c r="AD209" t="s">
        <v>534</v>
      </c>
      <c r="AE209" t="s">
        <v>535</v>
      </c>
      <c r="AF209" s="4">
        <v>1.0000000000000001E-5</v>
      </c>
      <c r="AG209">
        <v>20</v>
      </c>
      <c r="AH209" t="s">
        <v>536</v>
      </c>
      <c r="AI209" s="3">
        <v>0.5</v>
      </c>
      <c r="AJ209" s="5">
        <v>0.05</v>
      </c>
      <c r="AK209" t="s">
        <v>159</v>
      </c>
      <c r="AL209" t="s">
        <v>1057</v>
      </c>
      <c r="AM209" t="s">
        <v>117</v>
      </c>
    </row>
    <row r="210" spans="1:39" x14ac:dyDescent="0.2">
      <c r="A210" s="2">
        <v>45030.510162037041</v>
      </c>
      <c r="B210" s="2">
        <v>45030.513194444444</v>
      </c>
      <c r="C210" t="s">
        <v>42</v>
      </c>
      <c r="D210" t="s">
        <v>1059</v>
      </c>
      <c r="E210">
        <v>100</v>
      </c>
      <c r="F210">
        <v>262</v>
      </c>
      <c r="G210" t="b">
        <v>1</v>
      </c>
      <c r="H210" s="2">
        <v>45030.513194444444</v>
      </c>
      <c r="I210" t="s">
        <v>1060</v>
      </c>
      <c r="N210">
        <v>37.779400000000003</v>
      </c>
      <c r="O210">
        <v>-122.2178</v>
      </c>
      <c r="P210" t="s">
        <v>111</v>
      </c>
      <c r="Q210" t="s">
        <v>112</v>
      </c>
      <c r="R210" t="s">
        <v>1061</v>
      </c>
      <c r="S210" t="s">
        <v>114</v>
      </c>
      <c r="W210">
        <v>100</v>
      </c>
      <c r="X210" t="s">
        <v>1062</v>
      </c>
      <c r="AB210">
        <v>1</v>
      </c>
      <c r="AD210">
        <v>700</v>
      </c>
      <c r="AE210">
        <v>8</v>
      </c>
      <c r="AF210" s="3">
        <v>0.05</v>
      </c>
      <c r="AG210">
        <v>20</v>
      </c>
      <c r="AH210">
        <v>100</v>
      </c>
      <c r="AI210">
        <v>50</v>
      </c>
      <c r="AJ210">
        <v>0.1</v>
      </c>
      <c r="AK210">
        <v>100</v>
      </c>
      <c r="AL210" t="s">
        <v>1061</v>
      </c>
      <c r="AM210" t="s">
        <v>135</v>
      </c>
    </row>
    <row r="211" spans="1:39" x14ac:dyDescent="0.2">
      <c r="A211" s="2">
        <v>45030.510011574072</v>
      </c>
      <c r="B211" s="2">
        <v>45030.513194444444</v>
      </c>
      <c r="C211" t="s">
        <v>42</v>
      </c>
      <c r="D211" t="s">
        <v>1063</v>
      </c>
      <c r="E211">
        <v>100</v>
      </c>
      <c r="F211">
        <v>275</v>
      </c>
      <c r="G211" t="b">
        <v>1</v>
      </c>
      <c r="H211" s="2">
        <v>45030.513206018521</v>
      </c>
      <c r="I211" t="s">
        <v>1064</v>
      </c>
      <c r="N211">
        <v>47.206699999999998</v>
      </c>
      <c r="O211">
        <v>-122.4414</v>
      </c>
      <c r="P211" t="s">
        <v>111</v>
      </c>
      <c r="Q211" t="s">
        <v>112</v>
      </c>
      <c r="R211" t="s">
        <v>1065</v>
      </c>
      <c r="S211" t="s">
        <v>114</v>
      </c>
      <c r="W211">
        <v>30</v>
      </c>
      <c r="X211" t="s">
        <v>1066</v>
      </c>
      <c r="Y211">
        <v>1</v>
      </c>
      <c r="AD211">
        <v>500</v>
      </c>
      <c r="AE211">
        <v>10</v>
      </c>
      <c r="AF211">
        <v>1</v>
      </c>
      <c r="AG211">
        <v>20</v>
      </c>
      <c r="AH211">
        <v>100</v>
      </c>
      <c r="AI211">
        <v>9</v>
      </c>
      <c r="AJ211">
        <v>1.05</v>
      </c>
      <c r="AK211">
        <v>1</v>
      </c>
      <c r="AL211" t="s">
        <v>1065</v>
      </c>
      <c r="AM211" t="s">
        <v>117</v>
      </c>
    </row>
    <row r="212" spans="1:39" ht="34" x14ac:dyDescent="0.2">
      <c r="A212" s="2">
        <v>45030.502743055556</v>
      </c>
      <c r="B212" s="2">
        <v>45030.513194444444</v>
      </c>
      <c r="C212" t="s">
        <v>42</v>
      </c>
      <c r="D212" t="s">
        <v>1067</v>
      </c>
      <c r="E212">
        <v>100</v>
      </c>
      <c r="F212">
        <v>903</v>
      </c>
      <c r="G212" t="b">
        <v>1</v>
      </c>
      <c r="H212" s="2">
        <v>45030.513206018521</v>
      </c>
      <c r="I212" t="s">
        <v>1068</v>
      </c>
      <c r="N212">
        <v>29.796900000000001</v>
      </c>
      <c r="O212">
        <v>-95.328100000000006</v>
      </c>
      <c r="P212" t="s">
        <v>111</v>
      </c>
      <c r="Q212" t="s">
        <v>112</v>
      </c>
      <c r="R212" t="s">
        <v>1069</v>
      </c>
      <c r="S212" t="s">
        <v>114</v>
      </c>
      <c r="T212">
        <v>100</v>
      </c>
      <c r="V212">
        <v>1</v>
      </c>
      <c r="W212">
        <v>100</v>
      </c>
      <c r="X212" t="s">
        <v>1070</v>
      </c>
      <c r="AD212">
        <v>500</v>
      </c>
      <c r="AE212" s="1" t="s">
        <v>1071</v>
      </c>
      <c r="AF212">
        <v>1</v>
      </c>
      <c r="AG212">
        <v>20</v>
      </c>
      <c r="AH212">
        <v>100</v>
      </c>
      <c r="AI212">
        <v>7</v>
      </c>
      <c r="AJ212">
        <v>10</v>
      </c>
      <c r="AK212">
        <v>100</v>
      </c>
      <c r="AL212" t="s">
        <v>1069</v>
      </c>
      <c r="AM212" t="s">
        <v>123</v>
      </c>
    </row>
    <row r="213" spans="1:39" x14ac:dyDescent="0.2">
      <c r="A213" s="2">
        <v>45030.509687500002</v>
      </c>
      <c r="B213" s="2">
        <v>45030.513391203705</v>
      </c>
      <c r="C213" t="s">
        <v>42</v>
      </c>
      <c r="D213" t="s">
        <v>1072</v>
      </c>
      <c r="E213">
        <v>100</v>
      </c>
      <c r="F213">
        <v>320</v>
      </c>
      <c r="G213" t="b">
        <v>1</v>
      </c>
      <c r="H213" s="2">
        <v>45030.513402777775</v>
      </c>
      <c r="I213" t="s">
        <v>1073</v>
      </c>
      <c r="N213">
        <v>41.897199999999998</v>
      </c>
      <c r="O213">
        <v>-87.619600000000005</v>
      </c>
      <c r="P213" t="s">
        <v>111</v>
      </c>
      <c r="Q213" t="s">
        <v>112</v>
      </c>
      <c r="R213" t="s">
        <v>1074</v>
      </c>
      <c r="S213" t="s">
        <v>114</v>
      </c>
      <c r="W213">
        <v>61</v>
      </c>
      <c r="X213" t="s">
        <v>1075</v>
      </c>
      <c r="Y213" t="s">
        <v>1076</v>
      </c>
      <c r="AD213">
        <v>500</v>
      </c>
      <c r="AE213">
        <v>10</v>
      </c>
      <c r="AF213" s="4">
        <v>1E-3</v>
      </c>
      <c r="AG213" s="3">
        <v>0.2</v>
      </c>
      <c r="AH213">
        <v>100</v>
      </c>
      <c r="AI213" s="3">
        <v>0.09</v>
      </c>
      <c r="AJ213" s="5">
        <v>0.05</v>
      </c>
      <c r="AK213" t="s">
        <v>159</v>
      </c>
      <c r="AL213" t="s">
        <v>1074</v>
      </c>
      <c r="AM213" t="s">
        <v>117</v>
      </c>
    </row>
    <row r="214" spans="1:39" x14ac:dyDescent="0.2">
      <c r="A214" s="2">
        <v>45030.507465277777</v>
      </c>
      <c r="B214" s="2">
        <v>45030.513449074075</v>
      </c>
      <c r="C214" t="s">
        <v>42</v>
      </c>
      <c r="D214" t="s">
        <v>1077</v>
      </c>
      <c r="E214">
        <v>100</v>
      </c>
      <c r="F214">
        <v>517</v>
      </c>
      <c r="G214" t="b">
        <v>1</v>
      </c>
      <c r="H214" s="2">
        <v>45030.513460648152</v>
      </c>
      <c r="I214" t="s">
        <v>1078</v>
      </c>
      <c r="N214">
        <v>48.013199999999998</v>
      </c>
      <c r="O214">
        <v>-122.06789999999999</v>
      </c>
      <c r="P214" t="s">
        <v>111</v>
      </c>
      <c r="Q214" t="s">
        <v>112</v>
      </c>
      <c r="R214" t="s">
        <v>1079</v>
      </c>
      <c r="S214" t="s">
        <v>114</v>
      </c>
      <c r="W214">
        <v>0</v>
      </c>
      <c r="X214" t="s">
        <v>1080</v>
      </c>
      <c r="Y214">
        <v>0.1</v>
      </c>
      <c r="AD214">
        <v>500</v>
      </c>
      <c r="AE214">
        <v>10</v>
      </c>
      <c r="AF214" s="4">
        <v>1E-3</v>
      </c>
      <c r="AG214">
        <v>20</v>
      </c>
      <c r="AH214">
        <v>100</v>
      </c>
      <c r="AI214" s="3">
        <v>0.5</v>
      </c>
      <c r="AJ214">
        <v>0.05</v>
      </c>
      <c r="AK214" t="s">
        <v>159</v>
      </c>
      <c r="AL214" t="s">
        <v>1079</v>
      </c>
      <c r="AM214" t="s">
        <v>117</v>
      </c>
    </row>
    <row r="215" spans="1:39" x14ac:dyDescent="0.2">
      <c r="A215" s="2">
        <v>45030.506793981483</v>
      </c>
      <c r="B215" s="2">
        <v>45030.51353009259</v>
      </c>
      <c r="C215" t="s">
        <v>42</v>
      </c>
      <c r="D215" t="s">
        <v>1081</v>
      </c>
      <c r="E215">
        <v>100</v>
      </c>
      <c r="F215">
        <v>582</v>
      </c>
      <c r="G215" t="b">
        <v>1</v>
      </c>
      <c r="H215" s="2">
        <v>45030.51353009259</v>
      </c>
      <c r="I215" t="s">
        <v>1082</v>
      </c>
      <c r="N215">
        <v>35.4422</v>
      </c>
      <c r="O215">
        <v>-97.448800000000006</v>
      </c>
      <c r="P215" t="s">
        <v>111</v>
      </c>
      <c r="Q215" t="s">
        <v>112</v>
      </c>
      <c r="R215" t="s">
        <v>1083</v>
      </c>
      <c r="S215" t="s">
        <v>114</v>
      </c>
      <c r="T215">
        <v>29</v>
      </c>
      <c r="U215">
        <v>5.9</v>
      </c>
      <c r="W215">
        <v>19</v>
      </c>
      <c r="X215" t="s">
        <v>1084</v>
      </c>
      <c r="AD215">
        <v>50</v>
      </c>
      <c r="AE215">
        <v>1</v>
      </c>
      <c r="AF215">
        <v>1</v>
      </c>
      <c r="AG215">
        <v>20</v>
      </c>
      <c r="AH215">
        <v>100</v>
      </c>
      <c r="AI215">
        <v>500</v>
      </c>
      <c r="AJ215">
        <v>0</v>
      </c>
      <c r="AK215">
        <v>1</v>
      </c>
      <c r="AL215" t="s">
        <v>1083</v>
      </c>
      <c r="AM215" t="s">
        <v>123</v>
      </c>
    </row>
    <row r="216" spans="1:39" x14ac:dyDescent="0.2">
      <c r="A216" s="2">
        <v>45030.511388888888</v>
      </c>
      <c r="B216" s="2">
        <v>45030.513518518521</v>
      </c>
      <c r="C216" t="s">
        <v>42</v>
      </c>
      <c r="D216" t="s">
        <v>1085</v>
      </c>
      <c r="E216">
        <v>100</v>
      </c>
      <c r="F216">
        <v>184</v>
      </c>
      <c r="G216" t="b">
        <v>1</v>
      </c>
      <c r="H216" s="2">
        <v>45030.513541666667</v>
      </c>
      <c r="I216" t="s">
        <v>1086</v>
      </c>
      <c r="N216">
        <v>35.620600000000003</v>
      </c>
      <c r="O216">
        <v>-77.394400000000005</v>
      </c>
      <c r="P216" t="s">
        <v>111</v>
      </c>
      <c r="Q216" t="s">
        <v>112</v>
      </c>
      <c r="R216" t="s">
        <v>1087</v>
      </c>
      <c r="S216" t="s">
        <v>114</v>
      </c>
      <c r="W216">
        <v>80</v>
      </c>
      <c r="X216" t="s">
        <v>1088</v>
      </c>
      <c r="Y216">
        <v>5</v>
      </c>
      <c r="AD216">
        <v>4</v>
      </c>
      <c r="AE216">
        <v>1</v>
      </c>
      <c r="AF216">
        <v>1</v>
      </c>
      <c r="AG216">
        <v>5</v>
      </c>
      <c r="AH216">
        <v>1</v>
      </c>
      <c r="AI216" t="s">
        <v>1089</v>
      </c>
      <c r="AJ216">
        <v>0.1</v>
      </c>
      <c r="AK216">
        <v>100</v>
      </c>
      <c r="AL216" t="s">
        <v>1087</v>
      </c>
      <c r="AM216" t="s">
        <v>117</v>
      </c>
    </row>
    <row r="217" spans="1:39" x14ac:dyDescent="0.2">
      <c r="A217" s="2">
        <v>45030.504247685189</v>
      </c>
      <c r="B217" s="2">
        <v>45030.513553240744</v>
      </c>
      <c r="C217" t="s">
        <v>42</v>
      </c>
      <c r="D217" t="s">
        <v>1090</v>
      </c>
      <c r="E217">
        <v>100</v>
      </c>
      <c r="F217">
        <v>803</v>
      </c>
      <c r="G217" t="b">
        <v>1</v>
      </c>
      <c r="H217" s="2">
        <v>45030.513553240744</v>
      </c>
      <c r="I217" t="s">
        <v>1091</v>
      </c>
      <c r="N217">
        <v>33.078000000000003</v>
      </c>
      <c r="O217">
        <v>-97.067300000000003</v>
      </c>
      <c r="P217" t="s">
        <v>111</v>
      </c>
      <c r="Q217" t="s">
        <v>112</v>
      </c>
      <c r="R217" s="6" t="s">
        <v>1092</v>
      </c>
      <c r="S217" t="s">
        <v>114</v>
      </c>
      <c r="W217">
        <v>91</v>
      </c>
      <c r="X217" t="s">
        <v>1093</v>
      </c>
      <c r="Z217" t="s">
        <v>1094</v>
      </c>
      <c r="AD217">
        <v>3</v>
      </c>
      <c r="AE217">
        <v>10</v>
      </c>
      <c r="AF217">
        <v>0.1</v>
      </c>
      <c r="AG217">
        <v>20</v>
      </c>
      <c r="AH217">
        <v>100</v>
      </c>
      <c r="AI217" t="s">
        <v>1095</v>
      </c>
      <c r="AJ217">
        <v>0.1</v>
      </c>
      <c r="AK217">
        <v>5</v>
      </c>
      <c r="AL217" s="6" t="s">
        <v>1092</v>
      </c>
      <c r="AM217" t="s">
        <v>128</v>
      </c>
    </row>
    <row r="218" spans="1:39" x14ac:dyDescent="0.2">
      <c r="A218" s="2">
        <v>45030.510949074072</v>
      </c>
      <c r="B218" s="2">
        <v>45030.513657407406</v>
      </c>
      <c r="C218" t="s">
        <v>42</v>
      </c>
      <c r="D218" t="s">
        <v>1096</v>
      </c>
      <c r="E218">
        <v>100</v>
      </c>
      <c r="F218">
        <v>234</v>
      </c>
      <c r="G218" t="b">
        <v>1</v>
      </c>
      <c r="H218" s="2">
        <v>45030.513668981483</v>
      </c>
      <c r="I218" t="s">
        <v>1097</v>
      </c>
      <c r="N218">
        <v>36.066000000000003</v>
      </c>
      <c r="O218">
        <v>-86.965900000000005</v>
      </c>
      <c r="P218" t="s">
        <v>111</v>
      </c>
      <c r="Q218" t="s">
        <v>112</v>
      </c>
      <c r="R218" t="s">
        <v>1098</v>
      </c>
      <c r="S218" t="s">
        <v>114</v>
      </c>
      <c r="W218">
        <v>38</v>
      </c>
      <c r="X218" t="s">
        <v>1099</v>
      </c>
      <c r="AC218">
        <v>1</v>
      </c>
      <c r="AD218">
        <v>500</v>
      </c>
      <c r="AE218">
        <v>10</v>
      </c>
      <c r="AF218" s="4">
        <v>1E-3</v>
      </c>
      <c r="AG218">
        <v>20</v>
      </c>
      <c r="AH218">
        <v>100</v>
      </c>
      <c r="AI218" s="3">
        <v>0.19</v>
      </c>
      <c r="AJ218">
        <v>0.05</v>
      </c>
      <c r="AK218" t="s">
        <v>159</v>
      </c>
      <c r="AL218" t="s">
        <v>1098</v>
      </c>
      <c r="AM218" t="s">
        <v>135</v>
      </c>
    </row>
    <row r="219" spans="1:39" x14ac:dyDescent="0.2">
      <c r="A219" s="2">
        <v>45030.511145833334</v>
      </c>
      <c r="B219" s="2">
        <v>45030.513645833336</v>
      </c>
      <c r="C219" t="s">
        <v>42</v>
      </c>
      <c r="D219" t="s">
        <v>1100</v>
      </c>
      <c r="E219">
        <v>100</v>
      </c>
      <c r="F219">
        <v>216</v>
      </c>
      <c r="G219" t="b">
        <v>1</v>
      </c>
      <c r="H219" s="2">
        <v>45030.513668981483</v>
      </c>
      <c r="I219" t="s">
        <v>1101</v>
      </c>
      <c r="N219">
        <v>33.390799999999999</v>
      </c>
      <c r="O219">
        <v>-111.91840000000001</v>
      </c>
      <c r="P219" t="s">
        <v>111</v>
      </c>
      <c r="Q219" t="s">
        <v>112</v>
      </c>
      <c r="R219" t="s">
        <v>1102</v>
      </c>
      <c r="S219" t="s">
        <v>114</v>
      </c>
      <c r="W219">
        <v>22</v>
      </c>
      <c r="X219" t="s">
        <v>1103</v>
      </c>
      <c r="Y219">
        <v>2</v>
      </c>
      <c r="AD219">
        <v>500</v>
      </c>
      <c r="AE219">
        <v>10</v>
      </c>
      <c r="AF219">
        <v>0.1</v>
      </c>
      <c r="AG219">
        <v>20</v>
      </c>
      <c r="AH219">
        <v>100</v>
      </c>
      <c r="AI219" s="3">
        <v>0.9</v>
      </c>
      <c r="AJ219">
        <v>0.1</v>
      </c>
      <c r="AK219">
        <v>100</v>
      </c>
      <c r="AL219" t="s">
        <v>1102</v>
      </c>
      <c r="AM219" t="s">
        <v>117</v>
      </c>
    </row>
    <row r="220" spans="1:39" x14ac:dyDescent="0.2">
      <c r="A220" s="2">
        <v>45030.505266203705</v>
      </c>
      <c r="B220" s="2">
        <v>45030.513784722221</v>
      </c>
      <c r="C220" t="s">
        <v>42</v>
      </c>
      <c r="D220" t="s">
        <v>1104</v>
      </c>
      <c r="E220">
        <v>100</v>
      </c>
      <c r="F220">
        <v>736</v>
      </c>
      <c r="G220" t="b">
        <v>1</v>
      </c>
      <c r="H220" s="2">
        <v>45030.513784722221</v>
      </c>
      <c r="I220" t="s">
        <v>1105</v>
      </c>
      <c r="N220">
        <v>36.827199999999998</v>
      </c>
      <c r="O220">
        <v>-119.68049999999999</v>
      </c>
      <c r="P220" t="s">
        <v>111</v>
      </c>
      <c r="Q220" t="s">
        <v>112</v>
      </c>
      <c r="R220" t="s">
        <v>1106</v>
      </c>
      <c r="S220" t="s">
        <v>114</v>
      </c>
      <c r="T220">
        <v>100</v>
      </c>
      <c r="V220">
        <v>2</v>
      </c>
      <c r="W220">
        <v>50</v>
      </c>
      <c r="X220" t="s">
        <v>1107</v>
      </c>
      <c r="AD220" t="s">
        <v>534</v>
      </c>
      <c r="AE220" s="3">
        <v>0.01</v>
      </c>
      <c r="AF220" t="s">
        <v>1108</v>
      </c>
      <c r="AG220" t="s">
        <v>1109</v>
      </c>
      <c r="AH220">
        <v>100</v>
      </c>
      <c r="AI220" t="s">
        <v>625</v>
      </c>
      <c r="AJ220" t="s">
        <v>241</v>
      </c>
      <c r="AK220" t="s">
        <v>164</v>
      </c>
      <c r="AL220" t="s">
        <v>1106</v>
      </c>
      <c r="AM220" t="s">
        <v>123</v>
      </c>
    </row>
    <row r="221" spans="1:39" x14ac:dyDescent="0.2">
      <c r="A221" s="2">
        <v>45030.511574074073</v>
      </c>
      <c r="B221" s="2">
        <v>45030.513819444444</v>
      </c>
      <c r="C221" t="s">
        <v>42</v>
      </c>
      <c r="D221" t="s">
        <v>1110</v>
      </c>
      <c r="E221">
        <v>100</v>
      </c>
      <c r="F221">
        <v>193</v>
      </c>
      <c r="G221" t="b">
        <v>1</v>
      </c>
      <c r="H221" s="2">
        <v>45030.513831018521</v>
      </c>
      <c r="I221" t="s">
        <v>1111</v>
      </c>
      <c r="N221">
        <v>34.183599999999998</v>
      </c>
      <c r="O221">
        <v>-118.2963</v>
      </c>
      <c r="P221" t="s">
        <v>111</v>
      </c>
      <c r="Q221" t="s">
        <v>112</v>
      </c>
      <c r="R221" t="s">
        <v>1112</v>
      </c>
      <c r="S221" t="s">
        <v>114</v>
      </c>
      <c r="W221">
        <v>71</v>
      </c>
      <c r="X221" t="s">
        <v>1113</v>
      </c>
      <c r="AB221" s="3">
        <v>0.05</v>
      </c>
      <c r="AD221">
        <v>500</v>
      </c>
      <c r="AE221">
        <v>10</v>
      </c>
      <c r="AF221" s="4">
        <v>1E-3</v>
      </c>
      <c r="AG221">
        <v>20</v>
      </c>
      <c r="AH221">
        <v>100</v>
      </c>
      <c r="AI221" s="3">
        <v>0.09</v>
      </c>
      <c r="AJ221">
        <v>0.5</v>
      </c>
      <c r="AK221" t="s">
        <v>159</v>
      </c>
      <c r="AL221" t="s">
        <v>1112</v>
      </c>
      <c r="AM221" t="s">
        <v>135</v>
      </c>
    </row>
    <row r="222" spans="1:39" x14ac:dyDescent="0.2">
      <c r="A222" s="2">
        <v>45030.509513888886</v>
      </c>
      <c r="B222" s="2">
        <v>45030.513912037037</v>
      </c>
      <c r="C222" t="s">
        <v>42</v>
      </c>
      <c r="D222" t="s">
        <v>1114</v>
      </c>
      <c r="E222">
        <v>100</v>
      </c>
      <c r="F222">
        <v>379</v>
      </c>
      <c r="G222" t="b">
        <v>1</v>
      </c>
      <c r="H222" s="2">
        <v>45030.513912037037</v>
      </c>
      <c r="I222" t="s">
        <v>1115</v>
      </c>
      <c r="N222">
        <v>40.712200000000003</v>
      </c>
      <c r="O222">
        <v>-89.628299999999996</v>
      </c>
      <c r="P222" t="s">
        <v>111</v>
      </c>
      <c r="Q222" t="s">
        <v>112</v>
      </c>
      <c r="R222" t="s">
        <v>1116</v>
      </c>
      <c r="S222" t="s">
        <v>114</v>
      </c>
      <c r="W222">
        <v>49</v>
      </c>
      <c r="X222" t="s">
        <v>1117</v>
      </c>
      <c r="Y222">
        <v>1</v>
      </c>
      <c r="AD222">
        <v>500</v>
      </c>
      <c r="AE222">
        <v>10</v>
      </c>
      <c r="AF222">
        <v>0.1</v>
      </c>
      <c r="AG222">
        <v>20</v>
      </c>
      <c r="AH222">
        <v>100</v>
      </c>
      <c r="AI222" s="3">
        <v>0.9</v>
      </c>
      <c r="AJ222">
        <v>0.05</v>
      </c>
      <c r="AK222" t="s">
        <v>159</v>
      </c>
      <c r="AL222" t="s">
        <v>1116</v>
      </c>
      <c r="AM222" t="s">
        <v>117</v>
      </c>
    </row>
    <row r="223" spans="1:39" x14ac:dyDescent="0.2">
      <c r="A223" s="2">
        <v>45030.503310185188</v>
      </c>
      <c r="B223" s="2">
        <v>45030.513935185183</v>
      </c>
      <c r="C223" t="s">
        <v>42</v>
      </c>
      <c r="D223" t="s">
        <v>1118</v>
      </c>
      <c r="E223">
        <v>100</v>
      </c>
      <c r="F223">
        <v>918</v>
      </c>
      <c r="G223" t="b">
        <v>1</v>
      </c>
      <c r="H223" s="2">
        <v>45030.51394675926</v>
      </c>
      <c r="I223" t="s">
        <v>1119</v>
      </c>
      <c r="N223">
        <v>27.848500000000001</v>
      </c>
      <c r="O223">
        <v>-82.794399999999996</v>
      </c>
      <c r="P223" t="s">
        <v>111</v>
      </c>
      <c r="Q223" t="s">
        <v>112</v>
      </c>
      <c r="R223" t="s">
        <v>1120</v>
      </c>
      <c r="S223" t="s">
        <v>114</v>
      </c>
      <c r="W223">
        <v>34</v>
      </c>
      <c r="X223" t="s">
        <v>1121</v>
      </c>
      <c r="Y223">
        <v>2</v>
      </c>
      <c r="AD223">
        <v>500</v>
      </c>
      <c r="AE223">
        <v>10</v>
      </c>
      <c r="AF223">
        <v>0.1</v>
      </c>
      <c r="AG223">
        <v>20</v>
      </c>
      <c r="AH223">
        <v>100</v>
      </c>
      <c r="AI223" s="3">
        <v>0.5</v>
      </c>
      <c r="AJ223">
        <v>0.05</v>
      </c>
      <c r="AK223">
        <v>5</v>
      </c>
      <c r="AL223" t="s">
        <v>1120</v>
      </c>
      <c r="AM223" t="s">
        <v>117</v>
      </c>
    </row>
    <row r="224" spans="1:39" x14ac:dyDescent="0.2">
      <c r="A224" s="2">
        <v>45030.510960648149</v>
      </c>
      <c r="B224" s="2">
        <v>45030.513958333337</v>
      </c>
      <c r="C224" t="s">
        <v>42</v>
      </c>
      <c r="D224" t="s">
        <v>1122</v>
      </c>
      <c r="E224">
        <v>100</v>
      </c>
      <c r="F224">
        <v>258</v>
      </c>
      <c r="G224" t="b">
        <v>1</v>
      </c>
      <c r="H224" s="2">
        <v>45030.513958333337</v>
      </c>
      <c r="I224" t="s">
        <v>1123</v>
      </c>
      <c r="N224">
        <v>42.568600000000004</v>
      </c>
      <c r="O224">
        <v>-83.066800000000001</v>
      </c>
      <c r="P224" t="s">
        <v>111</v>
      </c>
      <c r="Q224" t="s">
        <v>112</v>
      </c>
      <c r="R224" s="6" t="s">
        <v>1124</v>
      </c>
      <c r="S224" t="s">
        <v>114</v>
      </c>
      <c r="W224">
        <v>21</v>
      </c>
      <c r="X224" t="s">
        <v>1125</v>
      </c>
      <c r="AA224">
        <v>1</v>
      </c>
      <c r="AD224">
        <v>1</v>
      </c>
      <c r="AE224">
        <v>20</v>
      </c>
      <c r="AF224">
        <v>0.5</v>
      </c>
      <c r="AG224" s="3">
        <v>0.2</v>
      </c>
      <c r="AH224">
        <v>10</v>
      </c>
      <c r="AI224" s="3">
        <v>0.2</v>
      </c>
      <c r="AJ224">
        <v>0.1</v>
      </c>
      <c r="AK224">
        <v>100</v>
      </c>
      <c r="AL224" s="6" t="s">
        <v>1124</v>
      </c>
      <c r="AM224" t="s">
        <v>128</v>
      </c>
    </row>
    <row r="225" spans="1:39" x14ac:dyDescent="0.2">
      <c r="A225" s="2">
        <v>45030.509317129632</v>
      </c>
      <c r="B225" s="2">
        <v>45030.514282407406</v>
      </c>
      <c r="C225" t="s">
        <v>42</v>
      </c>
      <c r="D225" t="s">
        <v>1126</v>
      </c>
      <c r="E225">
        <v>100</v>
      </c>
      <c r="F225">
        <v>429</v>
      </c>
      <c r="G225" t="b">
        <v>1</v>
      </c>
      <c r="H225" s="2">
        <v>45030.514293981483</v>
      </c>
      <c r="I225" t="s">
        <v>1127</v>
      </c>
      <c r="N225">
        <v>36.524000000000001</v>
      </c>
      <c r="O225">
        <v>-82.516300000000001</v>
      </c>
      <c r="P225" t="s">
        <v>111</v>
      </c>
      <c r="Q225" t="s">
        <v>112</v>
      </c>
      <c r="R225" t="s">
        <v>1128</v>
      </c>
      <c r="S225" t="s">
        <v>114</v>
      </c>
      <c r="W225">
        <v>55</v>
      </c>
      <c r="X225" t="s">
        <v>1129</v>
      </c>
      <c r="AB225" t="s">
        <v>1130</v>
      </c>
      <c r="AD225">
        <v>500</v>
      </c>
      <c r="AE225">
        <v>10</v>
      </c>
      <c r="AF225">
        <v>1</v>
      </c>
      <c r="AG225">
        <v>20</v>
      </c>
      <c r="AH225">
        <v>100</v>
      </c>
      <c r="AI225">
        <v>9</v>
      </c>
      <c r="AJ225">
        <v>0.05</v>
      </c>
      <c r="AK225">
        <v>5</v>
      </c>
      <c r="AL225" t="s">
        <v>1128</v>
      </c>
      <c r="AM225" t="s">
        <v>135</v>
      </c>
    </row>
    <row r="226" spans="1:39" x14ac:dyDescent="0.2">
      <c r="A226" s="2">
        <v>45030.504027777781</v>
      </c>
      <c r="B226" s="2">
        <v>45030.514363425929</v>
      </c>
      <c r="C226" t="s">
        <v>42</v>
      </c>
      <c r="D226" t="s">
        <v>1131</v>
      </c>
      <c r="E226">
        <v>100</v>
      </c>
      <c r="F226">
        <v>893</v>
      </c>
      <c r="G226" t="b">
        <v>1</v>
      </c>
      <c r="H226" s="2">
        <v>45030.514374999999</v>
      </c>
      <c r="I226" t="s">
        <v>1132</v>
      </c>
      <c r="N226">
        <v>21.298200000000001</v>
      </c>
      <c r="O226">
        <v>-157.84440000000001</v>
      </c>
      <c r="P226" t="s">
        <v>111</v>
      </c>
      <c r="Q226" t="s">
        <v>112</v>
      </c>
      <c r="R226" t="s">
        <v>1133</v>
      </c>
      <c r="S226" t="s">
        <v>114</v>
      </c>
      <c r="T226">
        <v>1</v>
      </c>
      <c r="U226" t="s">
        <v>1134</v>
      </c>
      <c r="W226">
        <v>0</v>
      </c>
      <c r="X226" t="s">
        <v>1135</v>
      </c>
      <c r="AD226">
        <v>500</v>
      </c>
      <c r="AE226">
        <v>10</v>
      </c>
      <c r="AF226">
        <v>0.1</v>
      </c>
      <c r="AG226">
        <v>20</v>
      </c>
      <c r="AH226">
        <v>100</v>
      </c>
      <c r="AI226" s="3">
        <v>0.9</v>
      </c>
      <c r="AJ226" s="5">
        <v>0.05</v>
      </c>
      <c r="AK226" t="s">
        <v>159</v>
      </c>
      <c r="AL226" t="s">
        <v>1133</v>
      </c>
      <c r="AM226" t="s">
        <v>123</v>
      </c>
    </row>
    <row r="227" spans="1:39" x14ac:dyDescent="0.2">
      <c r="A227" s="2">
        <v>45030.508263888885</v>
      </c>
      <c r="B227" s="2">
        <v>45030.514490740738</v>
      </c>
      <c r="C227" t="s">
        <v>42</v>
      </c>
      <c r="D227" t="s">
        <v>1136</v>
      </c>
      <c r="E227">
        <v>100</v>
      </c>
      <c r="F227">
        <v>537</v>
      </c>
      <c r="G227" t="b">
        <v>1</v>
      </c>
      <c r="H227" s="2">
        <v>45030.514490740738</v>
      </c>
      <c r="I227" t="s">
        <v>1137</v>
      </c>
      <c r="N227">
        <v>33.834099999999999</v>
      </c>
      <c r="O227">
        <v>-78.658600000000007</v>
      </c>
      <c r="P227" t="s">
        <v>111</v>
      </c>
      <c r="Q227" t="s">
        <v>112</v>
      </c>
      <c r="R227" t="s">
        <v>1138</v>
      </c>
      <c r="S227" t="s">
        <v>114</v>
      </c>
      <c r="W227">
        <v>81</v>
      </c>
      <c r="X227" t="s">
        <v>1139</v>
      </c>
      <c r="Z227">
        <v>0.5</v>
      </c>
      <c r="AD227">
        <v>500</v>
      </c>
      <c r="AE227">
        <v>10</v>
      </c>
      <c r="AF227" s="4">
        <v>1E-4</v>
      </c>
      <c r="AG227" s="3">
        <v>0.2</v>
      </c>
      <c r="AH227">
        <v>100</v>
      </c>
      <c r="AI227" s="3">
        <v>0.5</v>
      </c>
      <c r="AJ227" s="5">
        <v>0.05</v>
      </c>
      <c r="AK227">
        <v>100</v>
      </c>
      <c r="AL227" t="s">
        <v>1138</v>
      </c>
      <c r="AM227" t="s">
        <v>128</v>
      </c>
    </row>
    <row r="228" spans="1:39" x14ac:dyDescent="0.2">
      <c r="A228" s="2">
        <v>45030.510138888887</v>
      </c>
      <c r="B228" s="2">
        <v>45030.514641203707</v>
      </c>
      <c r="C228" t="s">
        <v>42</v>
      </c>
      <c r="D228" t="s">
        <v>1140</v>
      </c>
      <c r="E228">
        <v>100</v>
      </c>
      <c r="F228">
        <v>388</v>
      </c>
      <c r="G228" t="b">
        <v>1</v>
      </c>
      <c r="H228" s="2">
        <v>45030.514641203707</v>
      </c>
      <c r="I228" t="s">
        <v>1141</v>
      </c>
      <c r="N228">
        <v>33.028700000000001</v>
      </c>
      <c r="O228">
        <v>-96.682599999999994</v>
      </c>
      <c r="P228" t="s">
        <v>111</v>
      </c>
      <c r="Q228" t="s">
        <v>112</v>
      </c>
      <c r="R228" t="s">
        <v>1142</v>
      </c>
      <c r="S228" t="s">
        <v>114</v>
      </c>
      <c r="W228">
        <v>60</v>
      </c>
      <c r="X228" t="s">
        <v>1143</v>
      </c>
      <c r="Z228">
        <v>0.5</v>
      </c>
      <c r="AD228">
        <v>500</v>
      </c>
      <c r="AE228">
        <v>1</v>
      </c>
      <c r="AF228">
        <v>0.01</v>
      </c>
      <c r="AG228">
        <v>20</v>
      </c>
      <c r="AH228">
        <v>1</v>
      </c>
      <c r="AI228" s="3">
        <v>0.1</v>
      </c>
      <c r="AJ228">
        <v>0.1</v>
      </c>
      <c r="AK228" t="s">
        <v>164</v>
      </c>
      <c r="AL228" t="s">
        <v>1142</v>
      </c>
      <c r="AM228" t="s">
        <v>128</v>
      </c>
    </row>
    <row r="229" spans="1:39" x14ac:dyDescent="0.2">
      <c r="A229" s="2">
        <v>45030.50571759259</v>
      </c>
      <c r="B229" s="2">
        <v>45030.514699074076</v>
      </c>
      <c r="C229" t="s">
        <v>42</v>
      </c>
      <c r="D229" t="s">
        <v>1144</v>
      </c>
      <c r="E229">
        <v>100</v>
      </c>
      <c r="F229">
        <v>775</v>
      </c>
      <c r="G229" t="b">
        <v>1</v>
      </c>
      <c r="H229" s="2">
        <v>45030.514699074076</v>
      </c>
      <c r="I229" t="s">
        <v>1145</v>
      </c>
      <c r="N229">
        <v>33.916800000000002</v>
      </c>
      <c r="O229">
        <v>-118.3432</v>
      </c>
      <c r="P229" t="s">
        <v>111</v>
      </c>
      <c r="Q229" t="s">
        <v>112</v>
      </c>
      <c r="R229" t="s">
        <v>1146</v>
      </c>
      <c r="S229" t="s">
        <v>114</v>
      </c>
      <c r="W229">
        <v>65</v>
      </c>
      <c r="X229" t="s">
        <v>1147</v>
      </c>
      <c r="AB229">
        <v>0.5</v>
      </c>
      <c r="AD229">
        <v>600</v>
      </c>
      <c r="AE229">
        <v>10</v>
      </c>
      <c r="AF229">
        <v>1</v>
      </c>
      <c r="AG229">
        <v>20</v>
      </c>
      <c r="AH229">
        <v>100</v>
      </c>
      <c r="AI229" s="3">
        <v>0.02</v>
      </c>
      <c r="AJ229" t="s">
        <v>134</v>
      </c>
      <c r="AK229" t="s">
        <v>159</v>
      </c>
      <c r="AL229" t="s">
        <v>1146</v>
      </c>
      <c r="AM229" t="s">
        <v>135</v>
      </c>
    </row>
    <row r="230" spans="1:39" x14ac:dyDescent="0.2">
      <c r="A230" s="2">
        <v>45030.503472222219</v>
      </c>
      <c r="B230" s="2">
        <v>45030.514699074076</v>
      </c>
      <c r="C230" t="s">
        <v>42</v>
      </c>
      <c r="D230" t="s">
        <v>1148</v>
      </c>
      <c r="E230">
        <v>100</v>
      </c>
      <c r="F230">
        <v>969</v>
      </c>
      <c r="G230" t="b">
        <v>1</v>
      </c>
      <c r="H230" s="2">
        <v>45030.514710648145</v>
      </c>
      <c r="I230" t="s">
        <v>1149</v>
      </c>
      <c r="N230">
        <v>32.779699999999998</v>
      </c>
      <c r="O230">
        <v>-96.802199999999999</v>
      </c>
      <c r="P230" t="s">
        <v>111</v>
      </c>
      <c r="Q230" t="s">
        <v>112</v>
      </c>
      <c r="R230" t="s">
        <v>1150</v>
      </c>
      <c r="S230" t="s">
        <v>114</v>
      </c>
      <c r="W230">
        <v>65</v>
      </c>
      <c r="X230" t="s">
        <v>1151</v>
      </c>
      <c r="Z230" t="s">
        <v>1152</v>
      </c>
      <c r="AD230" t="s">
        <v>1153</v>
      </c>
      <c r="AE230">
        <v>10</v>
      </c>
      <c r="AF230">
        <v>10</v>
      </c>
      <c r="AG230">
        <v>5</v>
      </c>
      <c r="AH230">
        <v>100</v>
      </c>
      <c r="AI230" t="s">
        <v>1154</v>
      </c>
      <c r="AJ230">
        <v>10</v>
      </c>
      <c r="AK230" t="s">
        <v>159</v>
      </c>
      <c r="AL230" t="s">
        <v>1150</v>
      </c>
      <c r="AM230" t="s">
        <v>128</v>
      </c>
    </row>
    <row r="231" spans="1:39" x14ac:dyDescent="0.2">
      <c r="A231" s="2">
        <v>45030.509513888886</v>
      </c>
      <c r="B231" s="2">
        <v>45030.514814814815</v>
      </c>
      <c r="C231" t="s">
        <v>42</v>
      </c>
      <c r="D231" t="s">
        <v>1155</v>
      </c>
      <c r="E231">
        <v>100</v>
      </c>
      <c r="F231">
        <v>457</v>
      </c>
      <c r="G231" t="b">
        <v>1</v>
      </c>
      <c r="H231" s="2">
        <v>45030.514814814815</v>
      </c>
      <c r="I231" t="s">
        <v>1156</v>
      </c>
      <c r="N231">
        <v>36.549100000000003</v>
      </c>
      <c r="O231">
        <v>-82.558400000000006</v>
      </c>
      <c r="P231" t="s">
        <v>111</v>
      </c>
      <c r="Q231" t="s">
        <v>112</v>
      </c>
      <c r="R231" t="s">
        <v>1157</v>
      </c>
      <c r="S231" t="s">
        <v>114</v>
      </c>
      <c r="T231">
        <v>25</v>
      </c>
      <c r="U231" t="s">
        <v>1158</v>
      </c>
      <c r="W231">
        <v>25</v>
      </c>
      <c r="X231" t="s">
        <v>1159</v>
      </c>
      <c r="AD231">
        <v>500</v>
      </c>
      <c r="AE231">
        <v>10</v>
      </c>
      <c r="AF231">
        <v>0.1</v>
      </c>
      <c r="AG231">
        <v>20</v>
      </c>
      <c r="AH231">
        <v>100</v>
      </c>
      <c r="AI231" s="3">
        <v>0.9</v>
      </c>
      <c r="AJ231" s="5">
        <v>0.05</v>
      </c>
      <c r="AK231" t="s">
        <v>159</v>
      </c>
      <c r="AL231" t="s">
        <v>1157</v>
      </c>
      <c r="AM231" t="s">
        <v>123</v>
      </c>
    </row>
    <row r="232" spans="1:39" x14ac:dyDescent="0.2">
      <c r="A232" s="2">
        <v>45030.511064814818</v>
      </c>
      <c r="B232" s="2">
        <v>45030.514861111114</v>
      </c>
      <c r="C232" t="s">
        <v>42</v>
      </c>
      <c r="D232" t="s">
        <v>1160</v>
      </c>
      <c r="E232">
        <v>100</v>
      </c>
      <c r="F232">
        <v>328</v>
      </c>
      <c r="G232" t="b">
        <v>1</v>
      </c>
      <c r="H232" s="2">
        <v>45030.514884259261</v>
      </c>
      <c r="I232" t="s">
        <v>1161</v>
      </c>
      <c r="N232">
        <v>40.646900000000002</v>
      </c>
      <c r="O232">
        <v>-73.934399999999997</v>
      </c>
      <c r="P232" t="s">
        <v>111</v>
      </c>
      <c r="Q232" t="s">
        <v>112</v>
      </c>
      <c r="R232" t="s">
        <v>1162</v>
      </c>
      <c r="S232" t="s">
        <v>114</v>
      </c>
      <c r="W232">
        <v>50</v>
      </c>
      <c r="X232" t="s">
        <v>1163</v>
      </c>
      <c r="Z232">
        <v>0</v>
      </c>
      <c r="AD232">
        <v>500</v>
      </c>
      <c r="AE232">
        <v>10</v>
      </c>
      <c r="AF232" t="s">
        <v>1164</v>
      </c>
      <c r="AG232">
        <v>20</v>
      </c>
      <c r="AH232">
        <v>100</v>
      </c>
      <c r="AI232" t="s">
        <v>1165</v>
      </c>
      <c r="AJ232">
        <v>0.05</v>
      </c>
      <c r="AK232">
        <v>100</v>
      </c>
      <c r="AL232" t="s">
        <v>1162</v>
      </c>
      <c r="AM232" t="s">
        <v>128</v>
      </c>
    </row>
    <row r="233" spans="1:39" x14ac:dyDescent="0.2">
      <c r="A233" s="2">
        <v>45030.511967592596</v>
      </c>
      <c r="B233" s="2">
        <v>45030.514988425923</v>
      </c>
      <c r="C233" t="s">
        <v>42</v>
      </c>
      <c r="D233" t="s">
        <v>1166</v>
      </c>
      <c r="E233">
        <v>100</v>
      </c>
      <c r="F233">
        <v>260</v>
      </c>
      <c r="G233" t="b">
        <v>1</v>
      </c>
      <c r="H233" s="2">
        <v>45030.514988425923</v>
      </c>
      <c r="I233" t="s">
        <v>1167</v>
      </c>
      <c r="N233">
        <v>43.491999999999997</v>
      </c>
      <c r="O233">
        <v>-112.0592</v>
      </c>
      <c r="P233" t="s">
        <v>111</v>
      </c>
      <c r="Q233" t="s">
        <v>112</v>
      </c>
      <c r="R233" t="s">
        <v>1168</v>
      </c>
      <c r="S233" t="s">
        <v>114</v>
      </c>
      <c r="T233">
        <v>0</v>
      </c>
      <c r="U233">
        <v>2</v>
      </c>
      <c r="W233">
        <v>0</v>
      </c>
      <c r="X233" t="s">
        <v>1169</v>
      </c>
      <c r="AD233">
        <v>500</v>
      </c>
      <c r="AE233">
        <v>10</v>
      </c>
      <c r="AF233">
        <v>0.1</v>
      </c>
      <c r="AG233">
        <v>20</v>
      </c>
      <c r="AH233">
        <v>100</v>
      </c>
      <c r="AI233">
        <v>50</v>
      </c>
      <c r="AJ233">
        <v>0.05</v>
      </c>
      <c r="AK233" t="s">
        <v>159</v>
      </c>
      <c r="AL233" t="s">
        <v>1168</v>
      </c>
      <c r="AM233" t="s">
        <v>123</v>
      </c>
    </row>
    <row r="234" spans="1:39" x14ac:dyDescent="0.2">
      <c r="A234" s="2">
        <v>45030.510740740741</v>
      </c>
      <c r="B234" s="2">
        <v>45030.514988425923</v>
      </c>
      <c r="C234" t="s">
        <v>42</v>
      </c>
      <c r="D234" t="s">
        <v>1170</v>
      </c>
      <c r="E234">
        <v>100</v>
      </c>
      <c r="F234">
        <v>366</v>
      </c>
      <c r="G234" t="b">
        <v>1</v>
      </c>
      <c r="H234" s="2">
        <v>45030.514988425923</v>
      </c>
      <c r="I234" t="s">
        <v>1171</v>
      </c>
      <c r="N234">
        <v>30.695</v>
      </c>
      <c r="O234">
        <v>-92.2697</v>
      </c>
      <c r="P234" t="s">
        <v>111</v>
      </c>
      <c r="Q234" t="s">
        <v>112</v>
      </c>
      <c r="R234" t="s">
        <v>1172</v>
      </c>
      <c r="S234" t="s">
        <v>114</v>
      </c>
      <c r="W234">
        <v>49</v>
      </c>
      <c r="X234" t="s">
        <v>1173</v>
      </c>
      <c r="AC234" t="s">
        <v>1174</v>
      </c>
      <c r="AD234">
        <v>500</v>
      </c>
      <c r="AE234">
        <v>10</v>
      </c>
      <c r="AF234" s="3">
        <v>0.01</v>
      </c>
      <c r="AG234" s="3">
        <v>0.2</v>
      </c>
      <c r="AH234">
        <v>100</v>
      </c>
      <c r="AI234" s="3">
        <v>0.09</v>
      </c>
      <c r="AJ234" s="5">
        <v>0.1</v>
      </c>
      <c r="AK234" t="s">
        <v>159</v>
      </c>
      <c r="AL234" t="s">
        <v>1172</v>
      </c>
      <c r="AM234" t="s">
        <v>135</v>
      </c>
    </row>
    <row r="235" spans="1:39" x14ac:dyDescent="0.2">
      <c r="A235" s="2">
        <v>45030.50922453704</v>
      </c>
      <c r="B235" s="2">
        <v>45030.515115740738</v>
      </c>
      <c r="C235" t="s">
        <v>42</v>
      </c>
      <c r="D235" t="s">
        <v>1175</v>
      </c>
      <c r="E235">
        <v>100</v>
      </c>
      <c r="F235">
        <v>508</v>
      </c>
      <c r="G235" t="b">
        <v>1</v>
      </c>
      <c r="H235" s="2">
        <v>45030.515127314815</v>
      </c>
      <c r="I235" t="s">
        <v>1176</v>
      </c>
      <c r="N235">
        <v>35.078099999999999</v>
      </c>
      <c r="O235">
        <v>-106.6583</v>
      </c>
      <c r="P235" t="s">
        <v>111</v>
      </c>
      <c r="Q235" t="s">
        <v>112</v>
      </c>
      <c r="R235" t="s">
        <v>1177</v>
      </c>
      <c r="S235" t="s">
        <v>114</v>
      </c>
      <c r="T235">
        <v>30</v>
      </c>
      <c r="U235">
        <v>1.5</v>
      </c>
      <c r="W235">
        <v>19</v>
      </c>
      <c r="X235" t="s">
        <v>1178</v>
      </c>
      <c r="AD235">
        <v>500</v>
      </c>
      <c r="AE235">
        <v>10</v>
      </c>
      <c r="AF235">
        <v>0.1</v>
      </c>
      <c r="AG235">
        <v>20</v>
      </c>
      <c r="AH235">
        <v>100</v>
      </c>
      <c r="AI235" s="3">
        <v>0.9</v>
      </c>
      <c r="AJ235">
        <v>0.1</v>
      </c>
      <c r="AK235" t="s">
        <v>159</v>
      </c>
      <c r="AL235" t="s">
        <v>1177</v>
      </c>
      <c r="AM235" t="s">
        <v>123</v>
      </c>
    </row>
    <row r="236" spans="1:39" x14ac:dyDescent="0.2">
      <c r="A236" s="2">
        <v>45030.51295138889</v>
      </c>
      <c r="B236" s="2">
        <v>45030.515405092592</v>
      </c>
      <c r="C236" t="s">
        <v>42</v>
      </c>
      <c r="D236" t="s">
        <v>1179</v>
      </c>
      <c r="E236">
        <v>100</v>
      </c>
      <c r="F236">
        <v>211</v>
      </c>
      <c r="G236" t="b">
        <v>1</v>
      </c>
      <c r="H236" s="2">
        <v>45030.515416666669</v>
      </c>
      <c r="I236" t="s">
        <v>1180</v>
      </c>
      <c r="N236">
        <v>42.325499999999998</v>
      </c>
      <c r="O236">
        <v>-83.041499999999999</v>
      </c>
      <c r="P236" t="s">
        <v>111</v>
      </c>
      <c r="Q236" t="s">
        <v>112</v>
      </c>
      <c r="R236" t="s">
        <v>1181</v>
      </c>
      <c r="S236" t="s">
        <v>114</v>
      </c>
      <c r="T236">
        <v>16</v>
      </c>
      <c r="U236" t="s">
        <v>1182</v>
      </c>
      <c r="W236">
        <v>7</v>
      </c>
      <c r="X236" t="s">
        <v>1183</v>
      </c>
      <c r="AD236">
        <v>500</v>
      </c>
      <c r="AE236">
        <v>10</v>
      </c>
      <c r="AF236">
        <v>0.1</v>
      </c>
      <c r="AG236">
        <v>20</v>
      </c>
      <c r="AH236">
        <v>100</v>
      </c>
      <c r="AI236">
        <v>1</v>
      </c>
      <c r="AJ236" t="s">
        <v>241</v>
      </c>
      <c r="AK236" t="s">
        <v>164</v>
      </c>
      <c r="AL236" t="s">
        <v>1181</v>
      </c>
      <c r="AM236" t="s">
        <v>123</v>
      </c>
    </row>
    <row r="237" spans="1:39" x14ac:dyDescent="0.2">
      <c r="A237" s="2">
        <v>45030.511307870373</v>
      </c>
      <c r="B237" s="2">
        <v>45030.515439814815</v>
      </c>
      <c r="C237" t="s">
        <v>42</v>
      </c>
      <c r="D237" t="s">
        <v>1184</v>
      </c>
      <c r="E237">
        <v>100</v>
      </c>
      <c r="F237">
        <v>356</v>
      </c>
      <c r="G237" t="b">
        <v>1</v>
      </c>
      <c r="H237" s="2">
        <v>45030.515439814815</v>
      </c>
      <c r="I237" t="s">
        <v>1185</v>
      </c>
      <c r="N237">
        <v>34.203699999999998</v>
      </c>
      <c r="O237">
        <v>-84.103099999999998</v>
      </c>
      <c r="P237" t="s">
        <v>111</v>
      </c>
      <c r="Q237" t="s">
        <v>112</v>
      </c>
      <c r="R237" t="s">
        <v>1186</v>
      </c>
      <c r="S237" t="s">
        <v>114</v>
      </c>
      <c r="T237">
        <v>9</v>
      </c>
      <c r="U237">
        <v>1.5</v>
      </c>
      <c r="W237">
        <v>10</v>
      </c>
      <c r="X237" t="s">
        <v>1187</v>
      </c>
      <c r="AD237">
        <v>500</v>
      </c>
      <c r="AE237">
        <v>10</v>
      </c>
      <c r="AF237">
        <v>0.1</v>
      </c>
      <c r="AG237">
        <v>20</v>
      </c>
      <c r="AH237">
        <v>100</v>
      </c>
      <c r="AI237">
        <v>10</v>
      </c>
      <c r="AJ237">
        <v>0.05</v>
      </c>
      <c r="AK237">
        <v>5</v>
      </c>
      <c r="AL237" t="s">
        <v>1186</v>
      </c>
      <c r="AM237" t="s">
        <v>123</v>
      </c>
    </row>
    <row r="238" spans="1:39" x14ac:dyDescent="0.2">
      <c r="A238" s="2">
        <v>45030.510115740741</v>
      </c>
      <c r="B238" s="2">
        <v>45030.515451388892</v>
      </c>
      <c r="C238" t="s">
        <v>42</v>
      </c>
      <c r="D238" t="s">
        <v>1188</v>
      </c>
      <c r="E238">
        <v>100</v>
      </c>
      <c r="F238">
        <v>461</v>
      </c>
      <c r="G238" t="b">
        <v>1</v>
      </c>
      <c r="H238" s="2">
        <v>45030.515462962961</v>
      </c>
      <c r="I238" t="s">
        <v>1189</v>
      </c>
      <c r="N238">
        <v>37.993499999999997</v>
      </c>
      <c r="O238">
        <v>-121.7015</v>
      </c>
      <c r="P238" t="s">
        <v>111</v>
      </c>
      <c r="Q238" t="s">
        <v>112</v>
      </c>
      <c r="R238" t="s">
        <v>1190</v>
      </c>
      <c r="S238" t="s">
        <v>114</v>
      </c>
      <c r="T238">
        <v>60</v>
      </c>
      <c r="V238">
        <v>1</v>
      </c>
      <c r="W238">
        <v>60</v>
      </c>
      <c r="X238" t="s">
        <v>1191</v>
      </c>
      <c r="AD238">
        <v>500</v>
      </c>
      <c r="AE238">
        <v>10</v>
      </c>
      <c r="AF238">
        <v>10</v>
      </c>
      <c r="AG238">
        <v>20</v>
      </c>
      <c r="AH238">
        <v>10</v>
      </c>
      <c r="AI238">
        <v>75</v>
      </c>
      <c r="AJ238">
        <v>0.1</v>
      </c>
      <c r="AK238" t="s">
        <v>208</v>
      </c>
      <c r="AL238" t="s">
        <v>1190</v>
      </c>
      <c r="AM238" t="s">
        <v>123</v>
      </c>
    </row>
    <row r="239" spans="1:39" x14ac:dyDescent="0.2">
      <c r="A239" s="2">
        <v>45030.506388888891</v>
      </c>
      <c r="B239" s="2">
        <v>45030.515509259261</v>
      </c>
      <c r="C239" t="s">
        <v>42</v>
      </c>
      <c r="D239" t="s">
        <v>1192</v>
      </c>
      <c r="E239">
        <v>100</v>
      </c>
      <c r="F239">
        <v>788</v>
      </c>
      <c r="G239" t="b">
        <v>1</v>
      </c>
      <c r="H239" s="2">
        <v>45030.515520833331</v>
      </c>
      <c r="I239" t="s">
        <v>1193</v>
      </c>
      <c r="N239">
        <v>41.850200000000001</v>
      </c>
      <c r="O239">
        <v>-87.673599999999993</v>
      </c>
      <c r="P239" t="s">
        <v>111</v>
      </c>
      <c r="Q239" t="s">
        <v>112</v>
      </c>
      <c r="R239" t="s">
        <v>1194</v>
      </c>
      <c r="S239" t="s">
        <v>114</v>
      </c>
      <c r="W239">
        <v>50</v>
      </c>
      <c r="X239" t="s">
        <v>1195</v>
      </c>
      <c r="Y239">
        <v>0.5</v>
      </c>
      <c r="AD239">
        <v>500</v>
      </c>
      <c r="AE239">
        <v>10</v>
      </c>
      <c r="AF239">
        <v>0.1</v>
      </c>
      <c r="AG239">
        <v>20</v>
      </c>
      <c r="AH239">
        <v>100</v>
      </c>
      <c r="AI239" s="3">
        <v>0.9</v>
      </c>
      <c r="AJ239">
        <v>0.05</v>
      </c>
      <c r="AK239" t="s">
        <v>404</v>
      </c>
      <c r="AL239" t="s">
        <v>1194</v>
      </c>
      <c r="AM239" t="s">
        <v>117</v>
      </c>
    </row>
    <row r="240" spans="1:39" x14ac:dyDescent="0.2">
      <c r="A240" s="2">
        <v>45030.511678240742</v>
      </c>
      <c r="B240" s="2">
        <v>45030.515520833331</v>
      </c>
      <c r="C240" t="s">
        <v>42</v>
      </c>
      <c r="D240" t="s">
        <v>1196</v>
      </c>
      <c r="E240">
        <v>100</v>
      </c>
      <c r="F240">
        <v>332</v>
      </c>
      <c r="G240" t="b">
        <v>1</v>
      </c>
      <c r="H240" s="2">
        <v>45030.515532407408</v>
      </c>
      <c r="I240" t="s">
        <v>1197</v>
      </c>
      <c r="N240">
        <v>25.984300000000001</v>
      </c>
      <c r="O240">
        <v>-80.2149</v>
      </c>
      <c r="P240" t="s">
        <v>111</v>
      </c>
      <c r="Q240" t="s">
        <v>112</v>
      </c>
      <c r="R240" t="s">
        <v>1198</v>
      </c>
      <c r="S240" t="s">
        <v>114</v>
      </c>
      <c r="T240">
        <v>74</v>
      </c>
      <c r="V240">
        <v>9</v>
      </c>
      <c r="W240">
        <v>100</v>
      </c>
      <c r="X240" t="s">
        <v>1199</v>
      </c>
      <c r="AD240">
        <v>500</v>
      </c>
      <c r="AE240">
        <v>10</v>
      </c>
      <c r="AF240">
        <v>0.1</v>
      </c>
      <c r="AG240">
        <v>20</v>
      </c>
      <c r="AH240">
        <v>100</v>
      </c>
      <c r="AI240" s="3">
        <v>0.5</v>
      </c>
      <c r="AJ240">
        <v>0.1</v>
      </c>
      <c r="AK240" t="s">
        <v>164</v>
      </c>
      <c r="AL240" t="s">
        <v>1198</v>
      </c>
      <c r="AM240" t="s">
        <v>123</v>
      </c>
    </row>
    <row r="241" spans="1:39" x14ac:dyDescent="0.2">
      <c r="A241" s="2">
        <v>45030.512175925927</v>
      </c>
      <c r="B241" s="2">
        <v>45030.5158912037</v>
      </c>
      <c r="C241" t="s">
        <v>42</v>
      </c>
      <c r="D241" t="s">
        <v>1200</v>
      </c>
      <c r="E241">
        <v>100</v>
      </c>
      <c r="F241">
        <v>321</v>
      </c>
      <c r="G241" t="b">
        <v>1</v>
      </c>
      <c r="H241" s="2">
        <v>45030.515902777777</v>
      </c>
      <c r="I241" t="s">
        <v>1201</v>
      </c>
      <c r="N241">
        <v>27.9162</v>
      </c>
      <c r="O241">
        <v>-82.729900000000001</v>
      </c>
      <c r="P241" t="s">
        <v>111</v>
      </c>
      <c r="Q241" t="s">
        <v>112</v>
      </c>
      <c r="R241" t="s">
        <v>1202</v>
      </c>
      <c r="S241" t="s">
        <v>114</v>
      </c>
      <c r="W241">
        <v>22</v>
      </c>
      <c r="X241" t="s">
        <v>1203</v>
      </c>
      <c r="Y241">
        <v>1</v>
      </c>
      <c r="AD241">
        <v>500</v>
      </c>
      <c r="AE241">
        <v>1</v>
      </c>
      <c r="AF241">
        <v>10</v>
      </c>
      <c r="AG241">
        <v>20</v>
      </c>
      <c r="AH241">
        <v>100</v>
      </c>
      <c r="AI241">
        <v>20</v>
      </c>
      <c r="AJ241">
        <v>0.1</v>
      </c>
      <c r="AK241">
        <v>100</v>
      </c>
      <c r="AL241" t="s">
        <v>1202</v>
      </c>
      <c r="AM241" t="s">
        <v>117</v>
      </c>
    </row>
    <row r="242" spans="1:39" x14ac:dyDescent="0.2">
      <c r="A242" s="2">
        <v>45030.512476851851</v>
      </c>
      <c r="B242" s="2">
        <v>45030.515949074077</v>
      </c>
      <c r="C242" t="s">
        <v>42</v>
      </c>
      <c r="D242" t="s">
        <v>1204</v>
      </c>
      <c r="E242">
        <v>100</v>
      </c>
      <c r="F242">
        <v>300</v>
      </c>
      <c r="G242" t="b">
        <v>1</v>
      </c>
      <c r="H242" s="2">
        <v>45030.515960648147</v>
      </c>
      <c r="I242" t="s">
        <v>1205</v>
      </c>
      <c r="N242">
        <v>42.4544</v>
      </c>
      <c r="O242">
        <v>-85.599400000000003</v>
      </c>
      <c r="P242" t="s">
        <v>111</v>
      </c>
      <c r="Q242" t="s">
        <v>112</v>
      </c>
      <c r="R242" t="s">
        <v>1206</v>
      </c>
      <c r="S242" t="s">
        <v>114</v>
      </c>
      <c r="W242">
        <v>10</v>
      </c>
      <c r="X242" t="s">
        <v>1207</v>
      </c>
      <c r="AC242">
        <v>3</v>
      </c>
      <c r="AD242">
        <v>500</v>
      </c>
      <c r="AE242" s="4">
        <v>1.0009999999999999</v>
      </c>
      <c r="AF242" s="4">
        <v>1E-3</v>
      </c>
      <c r="AG242">
        <v>20</v>
      </c>
      <c r="AH242">
        <v>100</v>
      </c>
      <c r="AI242" s="3">
        <v>0.9</v>
      </c>
      <c r="AJ242" s="5">
        <v>0.05</v>
      </c>
      <c r="AK242" t="s">
        <v>159</v>
      </c>
      <c r="AL242" t="s">
        <v>1206</v>
      </c>
      <c r="AM242" t="s">
        <v>135</v>
      </c>
    </row>
    <row r="243" spans="1:39" x14ac:dyDescent="0.2">
      <c r="A243" s="2">
        <v>45030.508842592593</v>
      </c>
      <c r="B243" s="2">
        <v>45030.515972222223</v>
      </c>
      <c r="C243" t="s">
        <v>42</v>
      </c>
      <c r="D243" t="s">
        <v>1208</v>
      </c>
      <c r="E243">
        <v>100</v>
      </c>
      <c r="F243">
        <v>616</v>
      </c>
      <c r="G243" t="b">
        <v>1</v>
      </c>
      <c r="H243" s="2">
        <v>45030.515983796293</v>
      </c>
      <c r="I243" t="s">
        <v>1209</v>
      </c>
      <c r="N243">
        <v>29.441099999999999</v>
      </c>
      <c r="O243">
        <v>-98.493600000000001</v>
      </c>
      <c r="P243" t="s">
        <v>111</v>
      </c>
      <c r="Q243" t="s">
        <v>112</v>
      </c>
      <c r="R243" t="s">
        <v>1210</v>
      </c>
      <c r="S243" t="s">
        <v>114</v>
      </c>
      <c r="T243">
        <v>13</v>
      </c>
      <c r="U243">
        <v>2.5</v>
      </c>
      <c r="W243">
        <v>0</v>
      </c>
      <c r="X243" t="s">
        <v>1211</v>
      </c>
      <c r="AD243">
        <v>500</v>
      </c>
      <c r="AE243">
        <v>10</v>
      </c>
      <c r="AF243">
        <v>1</v>
      </c>
      <c r="AG243">
        <v>20</v>
      </c>
      <c r="AH243">
        <v>10</v>
      </c>
      <c r="AI243" s="3">
        <v>0.09</v>
      </c>
      <c r="AJ243">
        <v>5</v>
      </c>
      <c r="AK243">
        <v>5</v>
      </c>
      <c r="AL243" t="s">
        <v>1210</v>
      </c>
      <c r="AM243" t="s">
        <v>123</v>
      </c>
    </row>
    <row r="244" spans="1:39" x14ac:dyDescent="0.2">
      <c r="A244" s="2">
        <v>45030.510266203702</v>
      </c>
      <c r="B244" s="2">
        <v>45030.516168981485</v>
      </c>
      <c r="C244" t="s">
        <v>42</v>
      </c>
      <c r="D244" t="s">
        <v>1212</v>
      </c>
      <c r="E244">
        <v>100</v>
      </c>
      <c r="F244">
        <v>510</v>
      </c>
      <c r="G244" t="b">
        <v>1</v>
      </c>
      <c r="H244" s="2">
        <v>45030.516180555554</v>
      </c>
      <c r="I244" t="s">
        <v>1213</v>
      </c>
      <c r="N244">
        <v>48.798999999999999</v>
      </c>
      <c r="O244">
        <v>-122.4499</v>
      </c>
      <c r="P244" t="s">
        <v>111</v>
      </c>
      <c r="Q244" t="s">
        <v>112</v>
      </c>
      <c r="R244" t="s">
        <v>1214</v>
      </c>
      <c r="S244" t="s">
        <v>114</v>
      </c>
      <c r="T244">
        <v>58</v>
      </c>
      <c r="V244">
        <v>0.25</v>
      </c>
      <c r="W244">
        <v>55</v>
      </c>
      <c r="X244" t="s">
        <v>1215</v>
      </c>
      <c r="AD244">
        <v>500</v>
      </c>
      <c r="AE244">
        <v>10</v>
      </c>
      <c r="AF244">
        <v>0.1</v>
      </c>
      <c r="AG244">
        <v>20</v>
      </c>
      <c r="AH244">
        <v>100</v>
      </c>
      <c r="AI244">
        <v>10</v>
      </c>
      <c r="AJ244">
        <v>0.1</v>
      </c>
      <c r="AK244">
        <v>100</v>
      </c>
      <c r="AL244" t="s">
        <v>1214</v>
      </c>
      <c r="AM244" t="s">
        <v>123</v>
      </c>
    </row>
    <row r="245" spans="1:39" x14ac:dyDescent="0.2">
      <c r="A245" s="2">
        <v>45030.509930555556</v>
      </c>
      <c r="B245" s="2">
        <v>45030.516192129631</v>
      </c>
      <c r="C245" t="s">
        <v>42</v>
      </c>
      <c r="D245" t="s">
        <v>1216</v>
      </c>
      <c r="E245">
        <v>100</v>
      </c>
      <c r="F245">
        <v>540</v>
      </c>
      <c r="G245" t="b">
        <v>1</v>
      </c>
      <c r="H245" s="2">
        <v>45030.516192129631</v>
      </c>
      <c r="I245" t="s">
        <v>1217</v>
      </c>
      <c r="N245">
        <v>40.347299999999997</v>
      </c>
      <c r="O245">
        <v>-75.930499999999995</v>
      </c>
      <c r="P245" t="s">
        <v>111</v>
      </c>
      <c r="Q245" t="s">
        <v>112</v>
      </c>
      <c r="R245" t="s">
        <v>1218</v>
      </c>
      <c r="S245" t="s">
        <v>114</v>
      </c>
      <c r="T245">
        <v>100</v>
      </c>
      <c r="V245">
        <v>0.5</v>
      </c>
      <c r="W245">
        <v>100</v>
      </c>
      <c r="X245" t="s">
        <v>1219</v>
      </c>
      <c r="AD245">
        <v>500</v>
      </c>
      <c r="AE245">
        <v>1</v>
      </c>
      <c r="AF245">
        <v>1</v>
      </c>
      <c r="AG245">
        <v>80</v>
      </c>
      <c r="AH245">
        <v>10</v>
      </c>
      <c r="AI245" s="3">
        <v>0.1</v>
      </c>
      <c r="AJ245">
        <v>1.05</v>
      </c>
      <c r="AK245">
        <v>500</v>
      </c>
      <c r="AL245" t="s">
        <v>1218</v>
      </c>
      <c r="AM245" t="s">
        <v>123</v>
      </c>
    </row>
    <row r="246" spans="1:39" x14ac:dyDescent="0.2">
      <c r="A246" s="2">
        <v>45030.511817129627</v>
      </c>
      <c r="B246" s="2">
        <v>45030.516365740739</v>
      </c>
      <c r="C246" t="s">
        <v>42</v>
      </c>
      <c r="D246" t="s">
        <v>1220</v>
      </c>
      <c r="E246">
        <v>100</v>
      </c>
      <c r="F246">
        <v>393</v>
      </c>
      <c r="G246" t="b">
        <v>1</v>
      </c>
      <c r="H246" s="2">
        <v>45030.516377314816</v>
      </c>
      <c r="I246" t="s">
        <v>1221</v>
      </c>
      <c r="N246">
        <v>43.326999999999998</v>
      </c>
      <c r="O246">
        <v>-89.555400000000006</v>
      </c>
      <c r="P246" t="s">
        <v>111</v>
      </c>
      <c r="Q246" t="s">
        <v>112</v>
      </c>
      <c r="R246" t="s">
        <v>1222</v>
      </c>
      <c r="S246" t="s">
        <v>114</v>
      </c>
      <c r="W246">
        <v>15</v>
      </c>
      <c r="X246" t="s">
        <v>1223</v>
      </c>
      <c r="AA246">
        <v>3</v>
      </c>
      <c r="AD246">
        <v>500</v>
      </c>
      <c r="AE246">
        <v>10</v>
      </c>
      <c r="AF246">
        <v>0.1</v>
      </c>
      <c r="AG246">
        <v>20</v>
      </c>
      <c r="AH246">
        <v>100</v>
      </c>
      <c r="AI246">
        <v>50</v>
      </c>
      <c r="AJ246" s="5">
        <v>0.05</v>
      </c>
      <c r="AK246">
        <v>5</v>
      </c>
      <c r="AL246" t="s">
        <v>1222</v>
      </c>
      <c r="AM246" t="s">
        <v>128</v>
      </c>
    </row>
    <row r="247" spans="1:39" x14ac:dyDescent="0.2">
      <c r="A247" s="2">
        <v>45030.513043981482</v>
      </c>
      <c r="B247" s="2">
        <v>45030.516469907408</v>
      </c>
      <c r="C247" t="s">
        <v>42</v>
      </c>
      <c r="D247" t="s">
        <v>1224</v>
      </c>
      <c r="E247">
        <v>100</v>
      </c>
      <c r="F247">
        <v>295</v>
      </c>
      <c r="G247" t="b">
        <v>1</v>
      </c>
      <c r="H247" s="2">
        <v>45030.516481481478</v>
      </c>
      <c r="I247" t="s">
        <v>1225</v>
      </c>
      <c r="N247">
        <v>34.044699999999999</v>
      </c>
      <c r="O247">
        <v>-118.2946</v>
      </c>
      <c r="P247" t="s">
        <v>111</v>
      </c>
      <c r="Q247" t="s">
        <v>112</v>
      </c>
      <c r="R247" t="s">
        <v>1226</v>
      </c>
      <c r="S247" t="s">
        <v>114</v>
      </c>
      <c r="W247">
        <v>2</v>
      </c>
      <c r="X247" t="s">
        <v>1227</v>
      </c>
      <c r="AC247">
        <v>5</v>
      </c>
      <c r="AD247">
        <v>500</v>
      </c>
      <c r="AE247">
        <v>10</v>
      </c>
      <c r="AF247">
        <v>5</v>
      </c>
      <c r="AG247">
        <v>20</v>
      </c>
      <c r="AH247">
        <v>250</v>
      </c>
      <c r="AI247" s="3">
        <v>0.1</v>
      </c>
      <c r="AJ247">
        <v>0.1</v>
      </c>
      <c r="AK247">
        <v>100</v>
      </c>
      <c r="AL247" t="s">
        <v>1226</v>
      </c>
      <c r="AM247" t="s">
        <v>135</v>
      </c>
    </row>
    <row r="248" spans="1:39" x14ac:dyDescent="0.2">
      <c r="A248" s="2">
        <v>45030.515150462961</v>
      </c>
      <c r="B248" s="2">
        <v>45030.516759259262</v>
      </c>
      <c r="C248" t="s">
        <v>42</v>
      </c>
      <c r="D248" t="s">
        <v>1228</v>
      </c>
      <c r="E248">
        <v>100</v>
      </c>
      <c r="F248">
        <v>138</v>
      </c>
      <c r="G248" t="b">
        <v>1</v>
      </c>
      <c r="H248" s="2">
        <v>45030.516759259262</v>
      </c>
      <c r="I248" t="s">
        <v>1229</v>
      </c>
      <c r="N248">
        <v>35.106299999999997</v>
      </c>
      <c r="O248">
        <v>-89.941000000000003</v>
      </c>
      <c r="P248" t="s">
        <v>111</v>
      </c>
      <c r="Q248" t="s">
        <v>112</v>
      </c>
      <c r="R248" t="s">
        <v>1230</v>
      </c>
      <c r="S248" t="s">
        <v>114</v>
      </c>
      <c r="T248">
        <v>70</v>
      </c>
      <c r="V248">
        <v>30</v>
      </c>
      <c r="W248">
        <v>60</v>
      </c>
      <c r="X248" t="s">
        <v>1231</v>
      </c>
      <c r="AD248">
        <v>550</v>
      </c>
      <c r="AE248">
        <v>10</v>
      </c>
      <c r="AF248">
        <v>0.5</v>
      </c>
      <c r="AG248">
        <v>20</v>
      </c>
      <c r="AH248">
        <v>100</v>
      </c>
      <c r="AI248">
        <v>10</v>
      </c>
      <c r="AJ248">
        <v>0.1</v>
      </c>
      <c r="AK248">
        <v>5</v>
      </c>
      <c r="AL248" t="s">
        <v>1230</v>
      </c>
      <c r="AM248" t="s">
        <v>123</v>
      </c>
    </row>
    <row r="249" spans="1:39" x14ac:dyDescent="0.2">
      <c r="A249" s="2">
        <v>45030.513657407406</v>
      </c>
      <c r="B249" s="2">
        <v>45030.516770833332</v>
      </c>
      <c r="C249" t="s">
        <v>42</v>
      </c>
      <c r="D249" t="s">
        <v>1232</v>
      </c>
      <c r="E249">
        <v>100</v>
      </c>
      <c r="F249">
        <v>269</v>
      </c>
      <c r="G249" t="b">
        <v>1</v>
      </c>
      <c r="H249" s="2">
        <v>45030.516770833332</v>
      </c>
      <c r="I249" t="s">
        <v>1233</v>
      </c>
      <c r="N249">
        <v>45.064799999999998</v>
      </c>
      <c r="O249">
        <v>-92.846599999999995</v>
      </c>
      <c r="P249" t="s">
        <v>111</v>
      </c>
      <c r="Q249" t="s">
        <v>112</v>
      </c>
      <c r="R249" t="s">
        <v>1234</v>
      </c>
      <c r="S249" t="s">
        <v>114</v>
      </c>
      <c r="T249">
        <v>91</v>
      </c>
      <c r="V249" t="s">
        <v>1235</v>
      </c>
      <c r="W249">
        <v>98</v>
      </c>
      <c r="X249" t="s">
        <v>1236</v>
      </c>
      <c r="AD249">
        <v>250</v>
      </c>
      <c r="AE249" t="s">
        <v>1237</v>
      </c>
      <c r="AF249" s="3">
        <v>0.01</v>
      </c>
      <c r="AG249">
        <v>20</v>
      </c>
      <c r="AH249">
        <v>100</v>
      </c>
      <c r="AI249" s="3">
        <v>0.1</v>
      </c>
      <c r="AJ249" t="s">
        <v>241</v>
      </c>
      <c r="AK249">
        <v>100</v>
      </c>
      <c r="AL249" t="s">
        <v>1234</v>
      </c>
      <c r="AM249" t="s">
        <v>123</v>
      </c>
    </row>
    <row r="250" spans="1:39" x14ac:dyDescent="0.2">
      <c r="A250" s="2">
        <v>45030.511319444442</v>
      </c>
      <c r="B250" s="2">
        <v>45030.516793981478</v>
      </c>
      <c r="C250" t="s">
        <v>42</v>
      </c>
      <c r="D250" t="s">
        <v>1238</v>
      </c>
      <c r="E250">
        <v>100</v>
      </c>
      <c r="F250">
        <v>473</v>
      </c>
      <c r="G250" t="b">
        <v>1</v>
      </c>
      <c r="H250" s="2">
        <v>45030.516805555555</v>
      </c>
      <c r="I250" t="s">
        <v>1239</v>
      </c>
      <c r="N250">
        <v>42.1098</v>
      </c>
      <c r="O250">
        <v>-86.425899999999999</v>
      </c>
      <c r="P250" t="s">
        <v>111</v>
      </c>
      <c r="Q250" t="s">
        <v>112</v>
      </c>
      <c r="R250" t="s">
        <v>1240</v>
      </c>
      <c r="S250" t="s">
        <v>114</v>
      </c>
      <c r="W250">
        <v>22</v>
      </c>
      <c r="X250" t="s">
        <v>1241</v>
      </c>
      <c r="AC250">
        <v>4</v>
      </c>
      <c r="AD250">
        <v>500</v>
      </c>
      <c r="AE250">
        <v>10</v>
      </c>
      <c r="AF250">
        <v>0.1</v>
      </c>
      <c r="AG250">
        <v>20</v>
      </c>
      <c r="AH250">
        <v>100</v>
      </c>
      <c r="AI250">
        <v>10</v>
      </c>
      <c r="AJ250">
        <v>20</v>
      </c>
      <c r="AK250">
        <v>20</v>
      </c>
      <c r="AL250" t="s">
        <v>1240</v>
      </c>
      <c r="AM250" t="s">
        <v>135</v>
      </c>
    </row>
    <row r="251" spans="1:39" x14ac:dyDescent="0.2">
      <c r="A251" s="2">
        <v>45030.514131944445</v>
      </c>
      <c r="B251" s="2">
        <v>45030.516886574071</v>
      </c>
      <c r="C251" t="s">
        <v>42</v>
      </c>
      <c r="D251" t="s">
        <v>1242</v>
      </c>
      <c r="E251">
        <v>100</v>
      </c>
      <c r="F251">
        <v>238</v>
      </c>
      <c r="G251" t="b">
        <v>1</v>
      </c>
      <c r="H251" s="2">
        <v>45030.516898148147</v>
      </c>
      <c r="I251" t="s">
        <v>1243</v>
      </c>
      <c r="N251">
        <v>39.9206</v>
      </c>
      <c r="O251">
        <v>-75.182599999999994</v>
      </c>
      <c r="P251" t="s">
        <v>111</v>
      </c>
      <c r="Q251" t="s">
        <v>112</v>
      </c>
      <c r="R251" t="s">
        <v>1244</v>
      </c>
      <c r="S251" t="s">
        <v>114</v>
      </c>
      <c r="W251">
        <v>8</v>
      </c>
      <c r="X251" t="s">
        <v>1245</v>
      </c>
      <c r="AC251" t="s">
        <v>1246</v>
      </c>
      <c r="AD251">
        <v>500</v>
      </c>
      <c r="AE251">
        <v>10</v>
      </c>
      <c r="AF251" s="4">
        <v>1E-4</v>
      </c>
      <c r="AG251">
        <v>20</v>
      </c>
      <c r="AH251">
        <v>100</v>
      </c>
      <c r="AI251" s="3">
        <v>0.9</v>
      </c>
      <c r="AJ251" t="s">
        <v>134</v>
      </c>
      <c r="AK251">
        <v>100</v>
      </c>
      <c r="AL251" t="s">
        <v>1244</v>
      </c>
      <c r="AM251" t="s">
        <v>135</v>
      </c>
    </row>
    <row r="252" spans="1:39" x14ac:dyDescent="0.2">
      <c r="A252" s="2">
        <v>45030.513148148151</v>
      </c>
      <c r="B252" s="2">
        <v>45030.516909722224</v>
      </c>
      <c r="C252" t="s">
        <v>42</v>
      </c>
      <c r="D252" t="s">
        <v>1247</v>
      </c>
      <c r="E252">
        <v>100</v>
      </c>
      <c r="F252">
        <v>325</v>
      </c>
      <c r="G252" t="b">
        <v>1</v>
      </c>
      <c r="H252" s="2">
        <v>45030.516967592594</v>
      </c>
      <c r="I252" t="s">
        <v>1248</v>
      </c>
      <c r="N252">
        <v>39.464199999999998</v>
      </c>
      <c r="O252">
        <v>-87.353099999999998</v>
      </c>
      <c r="P252" t="s">
        <v>111</v>
      </c>
      <c r="Q252" t="s">
        <v>112</v>
      </c>
      <c r="R252" t="s">
        <v>1249</v>
      </c>
      <c r="S252" t="s">
        <v>114</v>
      </c>
      <c r="W252">
        <v>89</v>
      </c>
      <c r="X252" t="s">
        <v>1250</v>
      </c>
      <c r="Y252">
        <v>5</v>
      </c>
      <c r="AD252">
        <v>500</v>
      </c>
      <c r="AE252">
        <v>10</v>
      </c>
      <c r="AF252">
        <v>1</v>
      </c>
      <c r="AG252">
        <v>20</v>
      </c>
      <c r="AH252">
        <v>50</v>
      </c>
      <c r="AI252" s="3">
        <v>0.1</v>
      </c>
      <c r="AJ252" t="s">
        <v>241</v>
      </c>
      <c r="AK252" t="s">
        <v>164</v>
      </c>
      <c r="AL252" t="s">
        <v>1249</v>
      </c>
      <c r="AM252" t="s">
        <v>117</v>
      </c>
    </row>
    <row r="253" spans="1:39" x14ac:dyDescent="0.2">
      <c r="A253" s="2">
        <v>45030.512719907405</v>
      </c>
      <c r="B253" s="2">
        <v>45030.517048611109</v>
      </c>
      <c r="C253" t="s">
        <v>42</v>
      </c>
      <c r="D253" t="s">
        <v>1251</v>
      </c>
      <c r="E253">
        <v>100</v>
      </c>
      <c r="F253">
        <v>374</v>
      </c>
      <c r="G253" t="b">
        <v>1</v>
      </c>
      <c r="H253" s="2">
        <v>45030.517060185186</v>
      </c>
      <c r="I253" t="s">
        <v>1252</v>
      </c>
      <c r="N253">
        <v>32.2333</v>
      </c>
      <c r="O253">
        <v>-107.7453</v>
      </c>
      <c r="P253" t="s">
        <v>111</v>
      </c>
      <c r="Q253" t="s">
        <v>112</v>
      </c>
      <c r="R253" t="s">
        <v>1253</v>
      </c>
      <c r="S253" t="s">
        <v>114</v>
      </c>
      <c r="W253">
        <v>66</v>
      </c>
      <c r="X253" t="s">
        <v>1254</v>
      </c>
      <c r="Z253">
        <v>0.25</v>
      </c>
      <c r="AD253">
        <v>500</v>
      </c>
      <c r="AE253">
        <v>10</v>
      </c>
      <c r="AF253">
        <v>0.1</v>
      </c>
      <c r="AG253">
        <v>20</v>
      </c>
      <c r="AH253">
        <v>100</v>
      </c>
      <c r="AI253" s="3">
        <v>0.9</v>
      </c>
      <c r="AJ253">
        <v>0.05</v>
      </c>
      <c r="AK253">
        <v>5</v>
      </c>
      <c r="AL253" t="s">
        <v>1253</v>
      </c>
      <c r="AM253" t="s">
        <v>128</v>
      </c>
    </row>
    <row r="254" spans="1:39" x14ac:dyDescent="0.2">
      <c r="A254" s="2">
        <v>45030.514988425923</v>
      </c>
      <c r="B254" s="2">
        <v>45030.517060185186</v>
      </c>
      <c r="C254" t="s">
        <v>42</v>
      </c>
      <c r="D254" t="s">
        <v>1255</v>
      </c>
      <c r="E254">
        <v>100</v>
      </c>
      <c r="F254">
        <v>179</v>
      </c>
      <c r="G254" t="b">
        <v>1</v>
      </c>
      <c r="H254" s="2">
        <v>45030.517083333332</v>
      </c>
      <c r="I254" t="s">
        <v>1256</v>
      </c>
      <c r="N254">
        <v>34.2515</v>
      </c>
      <c r="O254">
        <v>-88.720799999999997</v>
      </c>
      <c r="P254" t="s">
        <v>111</v>
      </c>
      <c r="Q254" t="s">
        <v>112</v>
      </c>
      <c r="R254" t="s">
        <v>1257</v>
      </c>
      <c r="S254" t="s">
        <v>114</v>
      </c>
      <c r="T254">
        <v>0</v>
      </c>
      <c r="U254">
        <v>1.5</v>
      </c>
      <c r="W254">
        <v>0</v>
      </c>
      <c r="X254" t="s">
        <v>1258</v>
      </c>
      <c r="AD254">
        <v>500</v>
      </c>
      <c r="AE254">
        <v>10</v>
      </c>
      <c r="AF254">
        <v>0.1</v>
      </c>
      <c r="AG254">
        <v>20</v>
      </c>
      <c r="AH254">
        <v>100</v>
      </c>
      <c r="AI254">
        <v>50</v>
      </c>
      <c r="AJ254">
        <v>1.05</v>
      </c>
      <c r="AK254">
        <v>5</v>
      </c>
      <c r="AL254" t="s">
        <v>1257</v>
      </c>
      <c r="AM254" t="s">
        <v>123</v>
      </c>
    </row>
    <row r="255" spans="1:39" x14ac:dyDescent="0.2">
      <c r="A255" s="2">
        <v>45030.514953703707</v>
      </c>
      <c r="B255" s="2">
        <v>45030.517094907409</v>
      </c>
      <c r="C255" t="s">
        <v>42</v>
      </c>
      <c r="D255" t="s">
        <v>1259</v>
      </c>
      <c r="E255">
        <v>100</v>
      </c>
      <c r="F255">
        <v>185</v>
      </c>
      <c r="G255" t="b">
        <v>1</v>
      </c>
      <c r="H255" s="2">
        <v>45030.517094907409</v>
      </c>
      <c r="I255" t="s">
        <v>1260</v>
      </c>
      <c r="N255">
        <v>32.725499999999997</v>
      </c>
      <c r="O255">
        <v>-96.6233</v>
      </c>
      <c r="P255" t="s">
        <v>111</v>
      </c>
      <c r="Q255" t="s">
        <v>112</v>
      </c>
      <c r="R255" t="s">
        <v>1261</v>
      </c>
      <c r="S255" t="s">
        <v>114</v>
      </c>
      <c r="T255">
        <v>0</v>
      </c>
      <c r="U255">
        <v>2</v>
      </c>
      <c r="W255">
        <v>0</v>
      </c>
      <c r="X255" t="s">
        <v>1262</v>
      </c>
      <c r="AD255">
        <v>500</v>
      </c>
      <c r="AE255">
        <v>10</v>
      </c>
      <c r="AF255">
        <v>1</v>
      </c>
      <c r="AG255">
        <v>20</v>
      </c>
      <c r="AH255">
        <v>100</v>
      </c>
      <c r="AI255" t="s">
        <v>585</v>
      </c>
      <c r="AJ255">
        <v>0.1</v>
      </c>
      <c r="AK255">
        <v>100</v>
      </c>
      <c r="AL255" t="s">
        <v>1261</v>
      </c>
      <c r="AM255" t="s">
        <v>123</v>
      </c>
    </row>
    <row r="256" spans="1:39" x14ac:dyDescent="0.2">
      <c r="A256" s="2">
        <v>45030.504479166666</v>
      </c>
      <c r="B256" s="2">
        <v>45030.517094907409</v>
      </c>
      <c r="C256" t="s">
        <v>42</v>
      </c>
      <c r="D256" t="s">
        <v>1263</v>
      </c>
      <c r="E256">
        <v>100</v>
      </c>
      <c r="F256">
        <v>1090</v>
      </c>
      <c r="G256" t="b">
        <v>1</v>
      </c>
      <c r="H256" s="2">
        <v>45030.517094907409</v>
      </c>
      <c r="I256" t="s">
        <v>1264</v>
      </c>
      <c r="N256">
        <v>43.1661</v>
      </c>
      <c r="O256">
        <v>-77.555499999999995</v>
      </c>
      <c r="P256" t="s">
        <v>111</v>
      </c>
      <c r="Q256" t="s">
        <v>112</v>
      </c>
      <c r="R256" t="s">
        <v>1265</v>
      </c>
      <c r="S256" t="s">
        <v>114</v>
      </c>
      <c r="W256">
        <v>56</v>
      </c>
      <c r="X256" t="s">
        <v>1266</v>
      </c>
      <c r="Z256">
        <v>1</v>
      </c>
      <c r="AD256">
        <v>500</v>
      </c>
      <c r="AE256">
        <v>10</v>
      </c>
      <c r="AF256" s="4">
        <v>1E-4</v>
      </c>
      <c r="AG256" s="3">
        <v>0.2</v>
      </c>
      <c r="AH256">
        <v>100</v>
      </c>
      <c r="AI256" t="s">
        <v>489</v>
      </c>
      <c r="AJ256" t="s">
        <v>241</v>
      </c>
      <c r="AK256">
        <v>100</v>
      </c>
      <c r="AL256" t="s">
        <v>1265</v>
      </c>
      <c r="AM256" t="s">
        <v>128</v>
      </c>
    </row>
    <row r="257" spans="1:39" x14ac:dyDescent="0.2">
      <c r="A257" s="2">
        <v>45030.513240740744</v>
      </c>
      <c r="B257" s="2">
        <v>45030.517175925925</v>
      </c>
      <c r="C257" t="s">
        <v>42</v>
      </c>
      <c r="D257" t="s">
        <v>1267</v>
      </c>
      <c r="E257">
        <v>100</v>
      </c>
      <c r="F257">
        <v>340</v>
      </c>
      <c r="G257" t="b">
        <v>1</v>
      </c>
      <c r="H257" s="2">
        <v>45030.517187500001</v>
      </c>
      <c r="I257" t="s">
        <v>1268</v>
      </c>
      <c r="N257">
        <v>35.370600000000003</v>
      </c>
      <c r="O257">
        <v>-81.978099999999998</v>
      </c>
      <c r="P257" t="s">
        <v>111</v>
      </c>
      <c r="Q257" t="s">
        <v>112</v>
      </c>
      <c r="R257" t="s">
        <v>1269</v>
      </c>
      <c r="S257" t="s">
        <v>114</v>
      </c>
      <c r="T257">
        <v>15</v>
      </c>
      <c r="U257">
        <v>2</v>
      </c>
      <c r="W257">
        <v>15</v>
      </c>
      <c r="X257" t="s">
        <v>1270</v>
      </c>
      <c r="AD257">
        <v>500</v>
      </c>
      <c r="AE257">
        <v>10</v>
      </c>
      <c r="AF257">
        <v>0.1</v>
      </c>
      <c r="AG257">
        <v>20</v>
      </c>
      <c r="AH257">
        <v>100</v>
      </c>
      <c r="AI257">
        <v>50</v>
      </c>
      <c r="AJ257">
        <v>0.05</v>
      </c>
      <c r="AK257">
        <v>5</v>
      </c>
      <c r="AL257" t="s">
        <v>1269</v>
      </c>
      <c r="AM257" t="s">
        <v>123</v>
      </c>
    </row>
    <row r="258" spans="1:39" x14ac:dyDescent="0.2">
      <c r="A258" s="2">
        <v>45030.493379629632</v>
      </c>
      <c r="B258" s="2">
        <v>45030.517199074071</v>
      </c>
      <c r="C258" t="s">
        <v>42</v>
      </c>
      <c r="D258" t="s">
        <v>1271</v>
      </c>
      <c r="E258">
        <v>100</v>
      </c>
      <c r="F258">
        <v>2058</v>
      </c>
      <c r="G258" t="b">
        <v>1</v>
      </c>
      <c r="H258" s="2">
        <v>45030.517210648148</v>
      </c>
      <c r="I258" t="s">
        <v>1272</v>
      </c>
      <c r="N258">
        <v>39.134399999999999</v>
      </c>
      <c r="O258">
        <v>-94.680899999999994</v>
      </c>
      <c r="P258" t="s">
        <v>111</v>
      </c>
      <c r="Q258" t="s">
        <v>112</v>
      </c>
      <c r="R258" t="s">
        <v>1273</v>
      </c>
      <c r="S258" t="s">
        <v>114</v>
      </c>
      <c r="W258">
        <v>60</v>
      </c>
      <c r="X258" t="s">
        <v>1274</v>
      </c>
      <c r="Y258" t="s">
        <v>1275</v>
      </c>
      <c r="AD258">
        <v>500</v>
      </c>
      <c r="AE258">
        <v>10</v>
      </c>
      <c r="AF258" s="4">
        <v>1E-3</v>
      </c>
      <c r="AG258" s="3">
        <v>0.2</v>
      </c>
      <c r="AH258">
        <v>100</v>
      </c>
      <c r="AI258" s="3">
        <v>0.1</v>
      </c>
      <c r="AJ258">
        <v>0.1</v>
      </c>
      <c r="AK258" t="s">
        <v>159</v>
      </c>
      <c r="AL258" t="s">
        <v>1273</v>
      </c>
      <c r="AM258" t="s">
        <v>117</v>
      </c>
    </row>
    <row r="259" spans="1:39" x14ac:dyDescent="0.2">
      <c r="A259" s="2">
        <v>45030.513958333337</v>
      </c>
      <c r="B259" s="2">
        <v>45030.517222222225</v>
      </c>
      <c r="C259" t="s">
        <v>42</v>
      </c>
      <c r="D259" t="s">
        <v>1276</v>
      </c>
      <c r="E259">
        <v>100</v>
      </c>
      <c r="F259">
        <v>281</v>
      </c>
      <c r="G259" t="b">
        <v>1</v>
      </c>
      <c r="H259" s="2">
        <v>45030.517222222225</v>
      </c>
      <c r="I259" t="s">
        <v>1277</v>
      </c>
      <c r="N259">
        <v>32.779699999999998</v>
      </c>
      <c r="O259">
        <v>-96.802199999999999</v>
      </c>
      <c r="P259" t="s">
        <v>111</v>
      </c>
      <c r="Q259" t="s">
        <v>112</v>
      </c>
      <c r="R259" t="s">
        <v>1278</v>
      </c>
      <c r="S259" t="s">
        <v>114</v>
      </c>
      <c r="T259">
        <v>2</v>
      </c>
      <c r="U259">
        <v>2</v>
      </c>
      <c r="W259">
        <v>3</v>
      </c>
      <c r="X259" t="s">
        <v>1279</v>
      </c>
      <c r="AD259">
        <v>500</v>
      </c>
      <c r="AE259">
        <v>10</v>
      </c>
      <c r="AF259" s="4">
        <v>1E-3</v>
      </c>
      <c r="AG259">
        <v>20</v>
      </c>
      <c r="AH259">
        <v>100</v>
      </c>
      <c r="AI259" s="3">
        <v>0.5</v>
      </c>
      <c r="AJ259" s="5">
        <v>0.05</v>
      </c>
      <c r="AK259" t="s">
        <v>159</v>
      </c>
      <c r="AL259" t="s">
        <v>1278</v>
      </c>
      <c r="AM259" t="s">
        <v>123</v>
      </c>
    </row>
    <row r="260" spans="1:39" x14ac:dyDescent="0.2">
      <c r="A260" s="2">
        <v>45030.512291666666</v>
      </c>
      <c r="B260" s="2">
        <v>45030.51734953704</v>
      </c>
      <c r="C260" t="s">
        <v>42</v>
      </c>
      <c r="D260" t="s">
        <v>1280</v>
      </c>
      <c r="E260">
        <v>100</v>
      </c>
      <c r="F260">
        <v>436</v>
      </c>
      <c r="G260" t="b">
        <v>1</v>
      </c>
      <c r="H260" s="2">
        <v>45030.51734953704</v>
      </c>
      <c r="I260" t="s">
        <v>1281</v>
      </c>
      <c r="N260">
        <v>38.252400000000002</v>
      </c>
      <c r="O260">
        <v>-85.766599999999997</v>
      </c>
      <c r="P260" t="s">
        <v>111</v>
      </c>
      <c r="Q260" t="s">
        <v>112</v>
      </c>
      <c r="R260" t="s">
        <v>1282</v>
      </c>
      <c r="S260" t="s">
        <v>114</v>
      </c>
      <c r="W260">
        <v>50</v>
      </c>
      <c r="X260" t="s">
        <v>1283</v>
      </c>
      <c r="Y260">
        <v>1</v>
      </c>
      <c r="AD260">
        <v>500</v>
      </c>
      <c r="AE260">
        <v>10</v>
      </c>
      <c r="AF260" s="4">
        <v>1E-3</v>
      </c>
      <c r="AG260">
        <v>20</v>
      </c>
      <c r="AH260">
        <v>100</v>
      </c>
      <c r="AI260" s="3">
        <v>0.1</v>
      </c>
      <c r="AJ260" s="5">
        <v>0.05</v>
      </c>
      <c r="AK260" t="s">
        <v>159</v>
      </c>
      <c r="AL260" t="s">
        <v>1282</v>
      </c>
      <c r="AM260" t="s">
        <v>117</v>
      </c>
    </row>
    <row r="261" spans="1:39" x14ac:dyDescent="0.2">
      <c r="A261" s="2">
        <v>45030.514444444445</v>
      </c>
      <c r="B261" s="2">
        <v>45030.517361111109</v>
      </c>
      <c r="C261" t="s">
        <v>42</v>
      </c>
      <c r="D261" t="s">
        <v>1284</v>
      </c>
      <c r="E261">
        <v>100</v>
      </c>
      <c r="F261">
        <v>251</v>
      </c>
      <c r="G261" t="b">
        <v>1</v>
      </c>
      <c r="H261" s="2">
        <v>45030.517361111109</v>
      </c>
      <c r="I261" t="s">
        <v>1285</v>
      </c>
      <c r="N261">
        <v>21.400099999999998</v>
      </c>
      <c r="O261">
        <v>-158.01599999999999</v>
      </c>
      <c r="P261" t="s">
        <v>111</v>
      </c>
      <c r="Q261" t="s">
        <v>112</v>
      </c>
      <c r="R261" t="s">
        <v>1286</v>
      </c>
      <c r="S261" t="s">
        <v>114</v>
      </c>
      <c r="W261">
        <v>68</v>
      </c>
      <c r="X261" t="s">
        <v>1287</v>
      </c>
      <c r="AB261" t="s">
        <v>1288</v>
      </c>
      <c r="AD261">
        <v>500</v>
      </c>
      <c r="AE261">
        <v>10</v>
      </c>
      <c r="AF261" s="4">
        <v>1E-3</v>
      </c>
      <c r="AG261" s="3">
        <v>0.2</v>
      </c>
      <c r="AH261">
        <v>100</v>
      </c>
      <c r="AI261">
        <v>90</v>
      </c>
      <c r="AJ261">
        <v>0.1</v>
      </c>
      <c r="AK261" t="s">
        <v>1289</v>
      </c>
      <c r="AL261" t="s">
        <v>1286</v>
      </c>
      <c r="AM261" t="s">
        <v>135</v>
      </c>
    </row>
    <row r="262" spans="1:39" x14ac:dyDescent="0.2">
      <c r="A262" s="2">
        <v>45030.515185185184</v>
      </c>
      <c r="B262" s="2">
        <v>45030.517500000002</v>
      </c>
      <c r="C262" t="s">
        <v>42</v>
      </c>
      <c r="D262" t="s">
        <v>1290</v>
      </c>
      <c r="E262">
        <v>100</v>
      </c>
      <c r="F262">
        <v>199</v>
      </c>
      <c r="G262" t="b">
        <v>1</v>
      </c>
      <c r="H262" s="2">
        <v>45030.517500000002</v>
      </c>
      <c r="I262" t="s">
        <v>1291</v>
      </c>
      <c r="N262">
        <v>41.848199999999999</v>
      </c>
      <c r="O262">
        <v>-87.652100000000004</v>
      </c>
      <c r="P262" t="s">
        <v>111</v>
      </c>
      <c r="Q262" t="s">
        <v>112</v>
      </c>
      <c r="R262" t="s">
        <v>1292</v>
      </c>
      <c r="S262" t="s">
        <v>114</v>
      </c>
      <c r="W262">
        <v>85</v>
      </c>
      <c r="X262" t="s">
        <v>1293</v>
      </c>
      <c r="AB262">
        <v>1.2</v>
      </c>
      <c r="AD262">
        <v>500</v>
      </c>
      <c r="AE262">
        <v>10</v>
      </c>
      <c r="AF262">
        <v>1E-3</v>
      </c>
      <c r="AG262">
        <v>20</v>
      </c>
      <c r="AH262">
        <v>100</v>
      </c>
      <c r="AI262">
        <v>9</v>
      </c>
      <c r="AJ262">
        <v>0.05</v>
      </c>
      <c r="AK262" t="s">
        <v>164</v>
      </c>
      <c r="AL262" t="s">
        <v>1292</v>
      </c>
      <c r="AM262" t="s">
        <v>135</v>
      </c>
    </row>
    <row r="263" spans="1:39" x14ac:dyDescent="0.2">
      <c r="A263" s="2">
        <v>45030.51462962963</v>
      </c>
      <c r="B263" s="2">
        <v>45030.517534722225</v>
      </c>
      <c r="C263" t="s">
        <v>42</v>
      </c>
      <c r="D263" t="s">
        <v>1294</v>
      </c>
      <c r="E263">
        <v>100</v>
      </c>
      <c r="F263">
        <v>250</v>
      </c>
      <c r="G263" t="b">
        <v>1</v>
      </c>
      <c r="H263" s="2">
        <v>45030.517546296294</v>
      </c>
      <c r="I263" t="s">
        <v>1295</v>
      </c>
      <c r="N263">
        <v>39.456000000000003</v>
      </c>
      <c r="O263">
        <v>-82.229900000000001</v>
      </c>
      <c r="P263" t="s">
        <v>111</v>
      </c>
      <c r="Q263" t="s">
        <v>112</v>
      </c>
      <c r="R263" t="s">
        <v>1296</v>
      </c>
      <c r="S263" t="s">
        <v>114</v>
      </c>
      <c r="W263">
        <v>100</v>
      </c>
      <c r="X263" t="s">
        <v>1297</v>
      </c>
      <c r="Z263">
        <v>0.5</v>
      </c>
      <c r="AD263">
        <v>500</v>
      </c>
      <c r="AE263">
        <v>10</v>
      </c>
      <c r="AF263">
        <v>0.1</v>
      </c>
      <c r="AG263">
        <v>20</v>
      </c>
      <c r="AH263">
        <v>100</v>
      </c>
      <c r="AI263" s="3">
        <v>0.1</v>
      </c>
      <c r="AJ263" s="5">
        <v>0.1</v>
      </c>
      <c r="AK263" t="s">
        <v>159</v>
      </c>
      <c r="AL263" t="s">
        <v>1296</v>
      </c>
      <c r="AM263" t="s">
        <v>128</v>
      </c>
    </row>
    <row r="264" spans="1:39" x14ac:dyDescent="0.2">
      <c r="A264" s="2">
        <v>45030.515914351854</v>
      </c>
      <c r="B264" s="2">
        <v>45030.51761574074</v>
      </c>
      <c r="C264" t="s">
        <v>42</v>
      </c>
      <c r="D264" t="s">
        <v>1298</v>
      </c>
      <c r="E264">
        <v>100</v>
      </c>
      <c r="F264">
        <v>147</v>
      </c>
      <c r="G264" t="b">
        <v>1</v>
      </c>
      <c r="H264" s="2">
        <v>45030.517627314817</v>
      </c>
      <c r="I264" t="s">
        <v>1299</v>
      </c>
      <c r="N264">
        <v>34.046999999999997</v>
      </c>
      <c r="O264">
        <v>-118.27500000000001</v>
      </c>
      <c r="P264" t="s">
        <v>111</v>
      </c>
      <c r="Q264" t="s">
        <v>112</v>
      </c>
      <c r="R264" t="s">
        <v>1300</v>
      </c>
      <c r="S264" t="s">
        <v>114</v>
      </c>
      <c r="T264">
        <v>100</v>
      </c>
      <c r="V264">
        <v>2</v>
      </c>
      <c r="W264">
        <v>50</v>
      </c>
      <c r="X264" t="s">
        <v>1301</v>
      </c>
      <c r="AD264">
        <v>167</v>
      </c>
      <c r="AE264">
        <v>10</v>
      </c>
      <c r="AF264">
        <v>1</v>
      </c>
      <c r="AG264">
        <v>20</v>
      </c>
      <c r="AH264">
        <v>100</v>
      </c>
      <c r="AI264" s="3">
        <v>0.1</v>
      </c>
      <c r="AJ264">
        <v>0.9</v>
      </c>
      <c r="AK264">
        <v>10</v>
      </c>
      <c r="AL264" t="s">
        <v>1300</v>
      </c>
      <c r="AM264" t="s">
        <v>123</v>
      </c>
    </row>
    <row r="265" spans="1:39" x14ac:dyDescent="0.2">
      <c r="A265" s="2">
        <v>45030.511724537035</v>
      </c>
      <c r="B265" s="2">
        <v>45030.517685185187</v>
      </c>
      <c r="C265" t="s">
        <v>42</v>
      </c>
      <c r="D265" t="s">
        <v>1302</v>
      </c>
      <c r="E265">
        <v>100</v>
      </c>
      <c r="F265">
        <v>514</v>
      </c>
      <c r="G265" t="b">
        <v>1</v>
      </c>
      <c r="H265" s="2">
        <v>45030.517685185187</v>
      </c>
      <c r="I265" t="s">
        <v>1303</v>
      </c>
      <c r="N265">
        <v>40.731099999999998</v>
      </c>
      <c r="O265">
        <v>-111.8565</v>
      </c>
      <c r="P265" t="s">
        <v>111</v>
      </c>
      <c r="Q265" t="s">
        <v>112</v>
      </c>
      <c r="R265" t="s">
        <v>1304</v>
      </c>
      <c r="S265" t="s">
        <v>114</v>
      </c>
      <c r="W265">
        <v>50</v>
      </c>
      <c r="X265" t="s">
        <v>1305</v>
      </c>
      <c r="Z265">
        <v>2</v>
      </c>
      <c r="AD265">
        <v>500</v>
      </c>
      <c r="AE265">
        <v>10</v>
      </c>
      <c r="AF265">
        <v>0.1</v>
      </c>
      <c r="AG265">
        <v>20</v>
      </c>
      <c r="AH265">
        <v>100</v>
      </c>
      <c r="AI265" s="3">
        <v>0.9</v>
      </c>
      <c r="AJ265" t="s">
        <v>241</v>
      </c>
      <c r="AK265" t="s">
        <v>159</v>
      </c>
      <c r="AL265" t="s">
        <v>1304</v>
      </c>
      <c r="AM265" t="s">
        <v>128</v>
      </c>
    </row>
    <row r="266" spans="1:39" x14ac:dyDescent="0.2">
      <c r="A266" s="2">
        <v>45030.51394675926</v>
      </c>
      <c r="B266" s="2">
        <v>45030.51771990741</v>
      </c>
      <c r="C266" t="s">
        <v>42</v>
      </c>
      <c r="D266" t="s">
        <v>1306</v>
      </c>
      <c r="E266">
        <v>100</v>
      </c>
      <c r="F266">
        <v>326</v>
      </c>
      <c r="G266" t="b">
        <v>1</v>
      </c>
      <c r="H266" s="2">
        <v>45030.51771990741</v>
      </c>
      <c r="I266" t="s">
        <v>1307</v>
      </c>
      <c r="N266">
        <v>34.054400000000001</v>
      </c>
      <c r="O266">
        <v>-118.244</v>
      </c>
      <c r="P266" t="s">
        <v>111</v>
      </c>
      <c r="Q266" t="s">
        <v>112</v>
      </c>
      <c r="R266" t="s">
        <v>1308</v>
      </c>
      <c r="S266" t="s">
        <v>114</v>
      </c>
      <c r="W266">
        <v>60</v>
      </c>
      <c r="X266" t="s">
        <v>1309</v>
      </c>
      <c r="Z266" t="s">
        <v>1310</v>
      </c>
      <c r="AD266">
        <v>500</v>
      </c>
      <c r="AE266">
        <v>10</v>
      </c>
      <c r="AF266" s="4">
        <v>1E-3</v>
      </c>
      <c r="AG266" s="3">
        <v>0.2</v>
      </c>
      <c r="AH266">
        <v>100</v>
      </c>
      <c r="AI266" s="3">
        <v>0.9</v>
      </c>
      <c r="AJ266" s="5">
        <v>0.05</v>
      </c>
      <c r="AK266" t="s">
        <v>159</v>
      </c>
      <c r="AL266" t="s">
        <v>1308</v>
      </c>
      <c r="AM266" t="s">
        <v>128</v>
      </c>
    </row>
    <row r="267" spans="1:39" x14ac:dyDescent="0.2">
      <c r="A267" s="2">
        <v>45030.501319444447</v>
      </c>
      <c r="B267" s="2">
        <v>45030.517766203702</v>
      </c>
      <c r="C267" t="s">
        <v>42</v>
      </c>
      <c r="D267" t="s">
        <v>1311</v>
      </c>
      <c r="E267">
        <v>100</v>
      </c>
      <c r="F267">
        <v>1421</v>
      </c>
      <c r="G267" t="b">
        <v>1</v>
      </c>
      <c r="H267" s="2">
        <v>45030.517777777779</v>
      </c>
      <c r="I267" t="s">
        <v>1312</v>
      </c>
      <c r="N267">
        <v>41.871899999999997</v>
      </c>
      <c r="O267">
        <v>-87.658900000000003</v>
      </c>
      <c r="P267" t="s">
        <v>111</v>
      </c>
      <c r="Q267" t="s">
        <v>112</v>
      </c>
      <c r="R267" t="s">
        <v>1313</v>
      </c>
      <c r="S267" t="s">
        <v>114</v>
      </c>
      <c r="W267">
        <v>19</v>
      </c>
      <c r="X267" t="s">
        <v>1314</v>
      </c>
      <c r="Y267">
        <v>4</v>
      </c>
      <c r="AD267">
        <v>166</v>
      </c>
      <c r="AE267">
        <v>10</v>
      </c>
      <c r="AF267">
        <v>10</v>
      </c>
      <c r="AG267">
        <v>2</v>
      </c>
      <c r="AH267">
        <v>100</v>
      </c>
      <c r="AI267" t="s">
        <v>1315</v>
      </c>
      <c r="AJ267">
        <v>0.1</v>
      </c>
      <c r="AK267">
        <v>100</v>
      </c>
      <c r="AL267" t="s">
        <v>1313</v>
      </c>
      <c r="AM267" t="s">
        <v>117</v>
      </c>
    </row>
    <row r="268" spans="1:39" x14ac:dyDescent="0.2">
      <c r="A268" s="2">
        <v>45030.512395833335</v>
      </c>
      <c r="B268" s="2">
        <v>45030.517777777779</v>
      </c>
      <c r="C268" t="s">
        <v>42</v>
      </c>
      <c r="D268" t="s">
        <v>1316</v>
      </c>
      <c r="E268">
        <v>100</v>
      </c>
      <c r="F268">
        <v>465</v>
      </c>
      <c r="G268" t="b">
        <v>1</v>
      </c>
      <c r="H268" s="2">
        <v>45030.517789351848</v>
      </c>
      <c r="I268" t="s">
        <v>1317</v>
      </c>
      <c r="N268">
        <v>43.638100000000001</v>
      </c>
      <c r="O268">
        <v>-84.2029</v>
      </c>
      <c r="P268" t="s">
        <v>111</v>
      </c>
      <c r="Q268" t="s">
        <v>112</v>
      </c>
      <c r="R268" t="s">
        <v>1318</v>
      </c>
      <c r="S268" t="s">
        <v>114</v>
      </c>
      <c r="W268">
        <v>15</v>
      </c>
      <c r="X268" t="s">
        <v>1319</v>
      </c>
      <c r="AC268">
        <v>3</v>
      </c>
      <c r="AD268">
        <v>500</v>
      </c>
      <c r="AE268">
        <v>10</v>
      </c>
      <c r="AF268">
        <v>0.1</v>
      </c>
      <c r="AG268">
        <v>20</v>
      </c>
      <c r="AH268">
        <v>100</v>
      </c>
      <c r="AI268">
        <v>5</v>
      </c>
      <c r="AJ268">
        <v>0.05</v>
      </c>
      <c r="AK268">
        <v>5</v>
      </c>
      <c r="AL268" t="s">
        <v>1318</v>
      </c>
      <c r="AM268" t="s">
        <v>135</v>
      </c>
    </row>
    <row r="269" spans="1:39" x14ac:dyDescent="0.2">
      <c r="A269" s="2">
        <v>45030.512557870374</v>
      </c>
      <c r="B269" s="2">
        <v>45030.517824074072</v>
      </c>
      <c r="C269" t="s">
        <v>42</v>
      </c>
      <c r="D269" t="s">
        <v>1320</v>
      </c>
      <c r="E269">
        <v>100</v>
      </c>
      <c r="F269">
        <v>454</v>
      </c>
      <c r="G269" t="b">
        <v>1</v>
      </c>
      <c r="H269" s="2">
        <v>45030.517824074072</v>
      </c>
      <c r="I269" t="s">
        <v>1321</v>
      </c>
      <c r="N269">
        <v>30.307500000000001</v>
      </c>
      <c r="O269">
        <v>-97.727099999999993</v>
      </c>
      <c r="P269" t="s">
        <v>111</v>
      </c>
      <c r="Q269" t="s">
        <v>112</v>
      </c>
      <c r="R269" t="s">
        <v>1322</v>
      </c>
      <c r="S269" t="s">
        <v>114</v>
      </c>
      <c r="W269">
        <v>60</v>
      </c>
      <c r="X269" t="s">
        <v>1323</v>
      </c>
      <c r="Z269">
        <v>1</v>
      </c>
      <c r="AD269">
        <v>500</v>
      </c>
      <c r="AE269">
        <v>10</v>
      </c>
      <c r="AF269">
        <v>1</v>
      </c>
      <c r="AG269">
        <v>20</v>
      </c>
      <c r="AH269">
        <v>100</v>
      </c>
      <c r="AI269">
        <v>20</v>
      </c>
      <c r="AJ269">
        <v>0.05</v>
      </c>
      <c r="AK269">
        <v>100</v>
      </c>
      <c r="AL269" t="s">
        <v>1322</v>
      </c>
      <c r="AM269" t="s">
        <v>128</v>
      </c>
    </row>
    <row r="270" spans="1:39" x14ac:dyDescent="0.2">
      <c r="A270" s="2">
        <v>45030.505844907406</v>
      </c>
      <c r="B270" s="2">
        <v>45030.517835648148</v>
      </c>
      <c r="C270" t="s">
        <v>42</v>
      </c>
      <c r="D270" t="s">
        <v>1324</v>
      </c>
      <c r="E270">
        <v>100</v>
      </c>
      <c r="F270">
        <v>1035</v>
      </c>
      <c r="G270" t="b">
        <v>1</v>
      </c>
      <c r="H270" s="2">
        <v>45030.517847222225</v>
      </c>
      <c r="I270" t="s">
        <v>1325</v>
      </c>
      <c r="N270">
        <v>33.701500000000003</v>
      </c>
      <c r="O270">
        <v>-117.75279999999999</v>
      </c>
      <c r="P270" t="s">
        <v>111</v>
      </c>
      <c r="Q270" t="s">
        <v>112</v>
      </c>
      <c r="R270" t="s">
        <v>1326</v>
      </c>
      <c r="S270" t="s">
        <v>114</v>
      </c>
      <c r="W270">
        <v>66</v>
      </c>
      <c r="X270" t="s">
        <v>1327</v>
      </c>
      <c r="Y270">
        <v>0.5</v>
      </c>
      <c r="AD270">
        <v>300</v>
      </c>
      <c r="AE270">
        <v>1</v>
      </c>
      <c r="AF270">
        <v>0.1</v>
      </c>
      <c r="AG270">
        <v>20</v>
      </c>
      <c r="AH270">
        <v>10</v>
      </c>
      <c r="AI270" t="s">
        <v>1328</v>
      </c>
      <c r="AJ270">
        <v>0.1</v>
      </c>
      <c r="AK270">
        <v>50</v>
      </c>
      <c r="AL270" t="s">
        <v>1326</v>
      </c>
      <c r="AM270" t="s">
        <v>117</v>
      </c>
    </row>
    <row r="271" spans="1:39" x14ac:dyDescent="0.2">
      <c r="A271" s="2">
        <v>45030.515208333331</v>
      </c>
      <c r="B271" s="2">
        <v>45030.517905092594</v>
      </c>
      <c r="C271" t="s">
        <v>42</v>
      </c>
      <c r="D271" t="s">
        <v>1329</v>
      </c>
      <c r="E271">
        <v>100</v>
      </c>
      <c r="F271">
        <v>232</v>
      </c>
      <c r="G271" t="b">
        <v>1</v>
      </c>
      <c r="H271" s="2">
        <v>45030.517905092594</v>
      </c>
      <c r="I271" t="s">
        <v>1330</v>
      </c>
      <c r="N271">
        <v>32.720300000000002</v>
      </c>
      <c r="O271">
        <v>-117.15519999999999</v>
      </c>
      <c r="P271" t="s">
        <v>111</v>
      </c>
      <c r="Q271" t="s">
        <v>112</v>
      </c>
      <c r="R271" t="s">
        <v>1331</v>
      </c>
      <c r="S271" t="s">
        <v>114</v>
      </c>
      <c r="T271">
        <v>39</v>
      </c>
      <c r="U271">
        <v>3</v>
      </c>
      <c r="W271">
        <v>40</v>
      </c>
      <c r="X271" t="s">
        <v>1332</v>
      </c>
      <c r="AD271">
        <v>500</v>
      </c>
      <c r="AE271">
        <v>10</v>
      </c>
      <c r="AF271">
        <v>0.1</v>
      </c>
      <c r="AG271">
        <v>20</v>
      </c>
      <c r="AH271">
        <v>100</v>
      </c>
      <c r="AI271">
        <v>90</v>
      </c>
      <c r="AJ271">
        <v>0.05</v>
      </c>
      <c r="AK271" t="s">
        <v>159</v>
      </c>
      <c r="AL271" t="s">
        <v>1331</v>
      </c>
      <c r="AM271" t="s">
        <v>123</v>
      </c>
    </row>
    <row r="272" spans="1:39" x14ac:dyDescent="0.2">
      <c r="A272" s="2">
        <v>45030.51085648148</v>
      </c>
      <c r="B272" s="2">
        <v>45030.517928240741</v>
      </c>
      <c r="C272" t="s">
        <v>42</v>
      </c>
      <c r="D272" t="s">
        <v>1333</v>
      </c>
      <c r="E272">
        <v>100</v>
      </c>
      <c r="F272">
        <v>611</v>
      </c>
      <c r="G272" t="b">
        <v>1</v>
      </c>
      <c r="H272" s="2">
        <v>45030.517939814818</v>
      </c>
      <c r="I272" t="s">
        <v>1334</v>
      </c>
      <c r="N272">
        <v>34.231900000000003</v>
      </c>
      <c r="O272">
        <v>-84.162700000000001</v>
      </c>
      <c r="P272" t="s">
        <v>111</v>
      </c>
      <c r="Q272" t="s">
        <v>112</v>
      </c>
      <c r="R272" t="s">
        <v>1335</v>
      </c>
      <c r="S272" t="s">
        <v>114</v>
      </c>
      <c r="W272">
        <v>70</v>
      </c>
      <c r="X272" t="s">
        <v>1336</v>
      </c>
      <c r="Y272">
        <v>1</v>
      </c>
      <c r="AD272">
        <v>500</v>
      </c>
      <c r="AE272">
        <v>10</v>
      </c>
      <c r="AF272" s="4">
        <v>1E-3</v>
      </c>
      <c r="AG272" s="3">
        <v>0.2</v>
      </c>
      <c r="AH272">
        <v>100</v>
      </c>
      <c r="AI272" t="s">
        <v>1337</v>
      </c>
      <c r="AJ272">
        <v>0.05</v>
      </c>
      <c r="AK272">
        <v>20</v>
      </c>
      <c r="AL272" t="s">
        <v>1335</v>
      </c>
      <c r="AM272" t="s">
        <v>117</v>
      </c>
    </row>
    <row r="273" spans="1:39" x14ac:dyDescent="0.2">
      <c r="A273" s="2">
        <v>45030.515069444446</v>
      </c>
      <c r="B273" s="2">
        <v>45030.517974537041</v>
      </c>
      <c r="C273" t="s">
        <v>42</v>
      </c>
      <c r="D273" t="s">
        <v>1338</v>
      </c>
      <c r="E273">
        <v>100</v>
      </c>
      <c r="F273">
        <v>251</v>
      </c>
      <c r="G273" t="b">
        <v>1</v>
      </c>
      <c r="H273" s="2">
        <v>45030.51798611111</v>
      </c>
      <c r="I273" t="s">
        <v>1339</v>
      </c>
      <c r="N273">
        <v>36.076700000000002</v>
      </c>
      <c r="O273">
        <v>-79.794600000000003</v>
      </c>
      <c r="P273" t="s">
        <v>111</v>
      </c>
      <c r="Q273" t="s">
        <v>112</v>
      </c>
      <c r="R273" t="s">
        <v>1340</v>
      </c>
      <c r="S273" t="s">
        <v>114</v>
      </c>
      <c r="W273">
        <v>70</v>
      </c>
      <c r="X273" t="s">
        <v>1341</v>
      </c>
      <c r="Y273">
        <v>1.45</v>
      </c>
      <c r="AD273">
        <v>500</v>
      </c>
      <c r="AE273">
        <v>10</v>
      </c>
      <c r="AF273">
        <v>0.1</v>
      </c>
      <c r="AG273">
        <v>20</v>
      </c>
      <c r="AH273">
        <v>100</v>
      </c>
      <c r="AI273" s="3">
        <v>0.5</v>
      </c>
      <c r="AJ273">
        <v>0.05</v>
      </c>
      <c r="AK273">
        <v>5</v>
      </c>
      <c r="AL273" t="s">
        <v>1340</v>
      </c>
      <c r="AM273" t="s">
        <v>117</v>
      </c>
    </row>
    <row r="274" spans="1:39" x14ac:dyDescent="0.2">
      <c r="A274" s="2">
        <v>45030.510127314818</v>
      </c>
      <c r="B274" s="2">
        <v>45030.517997685187</v>
      </c>
      <c r="C274" t="s">
        <v>42</v>
      </c>
      <c r="D274" t="s">
        <v>1342</v>
      </c>
      <c r="E274">
        <v>100</v>
      </c>
      <c r="F274">
        <v>680</v>
      </c>
      <c r="G274" t="b">
        <v>1</v>
      </c>
      <c r="H274" s="2">
        <v>45030.518009259256</v>
      </c>
      <c r="I274" t="s">
        <v>1343</v>
      </c>
      <c r="N274">
        <v>32.788899999999998</v>
      </c>
      <c r="O274">
        <v>-96.802099999999996</v>
      </c>
      <c r="P274" t="s">
        <v>111</v>
      </c>
      <c r="Q274" t="s">
        <v>112</v>
      </c>
      <c r="R274" s="6" t="s">
        <v>1344</v>
      </c>
      <c r="S274" t="s">
        <v>114</v>
      </c>
      <c r="W274">
        <v>0</v>
      </c>
      <c r="X274" t="s">
        <v>1345</v>
      </c>
      <c r="AA274">
        <v>5</v>
      </c>
      <c r="AD274">
        <v>500</v>
      </c>
      <c r="AE274">
        <v>10</v>
      </c>
      <c r="AF274">
        <v>1</v>
      </c>
      <c r="AG274">
        <v>20</v>
      </c>
      <c r="AH274">
        <v>100</v>
      </c>
      <c r="AI274">
        <v>9</v>
      </c>
      <c r="AJ274" t="s">
        <v>1021</v>
      </c>
      <c r="AK274">
        <v>100</v>
      </c>
      <c r="AL274" s="6" t="s">
        <v>1344</v>
      </c>
      <c r="AM274" t="s">
        <v>128</v>
      </c>
    </row>
    <row r="275" spans="1:39" x14ac:dyDescent="0.2">
      <c r="A275" s="2">
        <v>45030.51494212963</v>
      </c>
      <c r="B275" s="2">
        <v>45030.518136574072</v>
      </c>
      <c r="C275" t="s">
        <v>42</v>
      </c>
      <c r="D275" t="s">
        <v>1346</v>
      </c>
      <c r="E275">
        <v>100</v>
      </c>
      <c r="F275">
        <v>276</v>
      </c>
      <c r="G275" t="b">
        <v>1</v>
      </c>
      <c r="H275" s="2">
        <v>45030.518148148149</v>
      </c>
      <c r="I275" t="s">
        <v>1347</v>
      </c>
      <c r="N275">
        <v>42.069400000000002</v>
      </c>
      <c r="O275">
        <v>-83.2149</v>
      </c>
      <c r="P275" t="s">
        <v>111</v>
      </c>
      <c r="Q275" t="s">
        <v>112</v>
      </c>
      <c r="R275" t="s">
        <v>1348</v>
      </c>
      <c r="S275" t="s">
        <v>114</v>
      </c>
      <c r="W275">
        <v>81</v>
      </c>
      <c r="X275" t="s">
        <v>1349</v>
      </c>
      <c r="Y275">
        <v>3</v>
      </c>
      <c r="AD275">
        <v>500</v>
      </c>
      <c r="AE275">
        <v>10</v>
      </c>
      <c r="AF275">
        <v>0.01</v>
      </c>
      <c r="AG275">
        <v>20</v>
      </c>
      <c r="AH275">
        <v>100</v>
      </c>
      <c r="AI275" s="3">
        <v>0.9</v>
      </c>
      <c r="AJ275">
        <v>0.1</v>
      </c>
      <c r="AK275">
        <v>100</v>
      </c>
      <c r="AL275" t="s">
        <v>1348</v>
      </c>
      <c r="AM275" t="s">
        <v>117</v>
      </c>
    </row>
    <row r="276" spans="1:39" x14ac:dyDescent="0.2">
      <c r="A276" s="2">
        <v>45030.504537037035</v>
      </c>
      <c r="B276" s="2">
        <v>45030.518229166664</v>
      </c>
      <c r="C276" t="s">
        <v>42</v>
      </c>
      <c r="D276" t="s">
        <v>1350</v>
      </c>
      <c r="E276">
        <v>100</v>
      </c>
      <c r="F276">
        <v>1182</v>
      </c>
      <c r="G276" t="b">
        <v>1</v>
      </c>
      <c r="H276" s="2">
        <v>45030.518229166664</v>
      </c>
      <c r="I276" t="s">
        <v>1351</v>
      </c>
      <c r="N276">
        <v>33.9893</v>
      </c>
      <c r="O276">
        <v>-118.089</v>
      </c>
      <c r="P276" t="s">
        <v>111</v>
      </c>
      <c r="Q276" t="s">
        <v>112</v>
      </c>
      <c r="R276" t="s">
        <v>1352</v>
      </c>
      <c r="S276" t="s">
        <v>114</v>
      </c>
      <c r="W276">
        <v>57</v>
      </c>
      <c r="X276" t="s">
        <v>1353</v>
      </c>
      <c r="AB276">
        <v>3</v>
      </c>
      <c r="AD276">
        <v>500</v>
      </c>
      <c r="AE276">
        <v>10</v>
      </c>
      <c r="AF276">
        <v>0.1</v>
      </c>
      <c r="AG276">
        <v>20</v>
      </c>
      <c r="AH276">
        <v>100</v>
      </c>
      <c r="AI276">
        <v>50</v>
      </c>
      <c r="AJ276">
        <v>0.5</v>
      </c>
      <c r="AK276">
        <v>100</v>
      </c>
      <c r="AL276" t="s">
        <v>1352</v>
      </c>
      <c r="AM276" t="s">
        <v>135</v>
      </c>
    </row>
    <row r="277" spans="1:39" x14ac:dyDescent="0.2">
      <c r="A277" s="2">
        <v>45030.515868055554</v>
      </c>
      <c r="B277" s="2">
        <v>45030.518425925926</v>
      </c>
      <c r="C277" t="s">
        <v>42</v>
      </c>
      <c r="D277" t="s">
        <v>1354</v>
      </c>
      <c r="E277">
        <v>100</v>
      </c>
      <c r="F277">
        <v>220</v>
      </c>
      <c r="G277" t="b">
        <v>1</v>
      </c>
      <c r="H277" s="2">
        <v>45030.518425925926</v>
      </c>
      <c r="I277" t="s">
        <v>1355</v>
      </c>
      <c r="N277">
        <v>33.822899999999997</v>
      </c>
      <c r="O277">
        <v>-84.353499999999997</v>
      </c>
      <c r="P277" t="s">
        <v>111</v>
      </c>
      <c r="Q277" t="s">
        <v>112</v>
      </c>
      <c r="R277" t="s">
        <v>1356</v>
      </c>
      <c r="S277" t="s">
        <v>114</v>
      </c>
      <c r="W277">
        <v>85</v>
      </c>
      <c r="X277" t="s">
        <v>1357</v>
      </c>
      <c r="Y277">
        <v>1.5</v>
      </c>
      <c r="AD277">
        <v>500</v>
      </c>
      <c r="AE277">
        <v>10</v>
      </c>
      <c r="AF277">
        <v>0.1</v>
      </c>
      <c r="AG277">
        <v>20</v>
      </c>
      <c r="AH277">
        <v>100</v>
      </c>
      <c r="AI277">
        <v>10</v>
      </c>
      <c r="AJ277">
        <v>10.5</v>
      </c>
      <c r="AK277">
        <v>10</v>
      </c>
      <c r="AL277" t="s">
        <v>1356</v>
      </c>
      <c r="AM277" t="s">
        <v>117</v>
      </c>
    </row>
    <row r="278" spans="1:39" x14ac:dyDescent="0.2">
      <c r="A278" s="2">
        <v>45030.516203703701</v>
      </c>
      <c r="B278" s="2">
        <v>45030.518449074072</v>
      </c>
      <c r="C278" t="s">
        <v>42</v>
      </c>
      <c r="D278" t="s">
        <v>1358</v>
      </c>
      <c r="E278">
        <v>100</v>
      </c>
      <c r="F278">
        <v>194</v>
      </c>
      <c r="G278" t="b">
        <v>1</v>
      </c>
      <c r="H278" s="2">
        <v>45030.518460648149</v>
      </c>
      <c r="I278" t="s">
        <v>1359</v>
      </c>
      <c r="N278">
        <v>39.872</v>
      </c>
      <c r="O278">
        <v>-105.04049999999999</v>
      </c>
      <c r="P278" t="s">
        <v>111</v>
      </c>
      <c r="Q278" t="s">
        <v>112</v>
      </c>
      <c r="R278" t="s">
        <v>1360</v>
      </c>
      <c r="S278" t="s">
        <v>114</v>
      </c>
      <c r="T278">
        <v>74</v>
      </c>
      <c r="V278">
        <v>0.5</v>
      </c>
      <c r="W278">
        <v>84</v>
      </c>
      <c r="X278" t="s">
        <v>1361</v>
      </c>
      <c r="AD278">
        <v>500</v>
      </c>
      <c r="AE278">
        <v>10</v>
      </c>
      <c r="AF278">
        <v>0.1</v>
      </c>
      <c r="AG278">
        <v>20</v>
      </c>
      <c r="AH278">
        <v>100</v>
      </c>
      <c r="AI278">
        <v>50</v>
      </c>
      <c r="AJ278">
        <v>0.1</v>
      </c>
      <c r="AK278">
        <v>5</v>
      </c>
      <c r="AL278" t="s">
        <v>1360</v>
      </c>
      <c r="AM278" t="s">
        <v>123</v>
      </c>
    </row>
    <row r="279" spans="1:39" ht="34" x14ac:dyDescent="0.2">
      <c r="A279" s="2">
        <v>45030.515370370369</v>
      </c>
      <c r="B279" s="2">
        <v>45030.518460648149</v>
      </c>
      <c r="C279" t="s">
        <v>42</v>
      </c>
      <c r="D279" t="s">
        <v>1362</v>
      </c>
      <c r="E279">
        <v>100</v>
      </c>
      <c r="F279">
        <v>266</v>
      </c>
      <c r="G279" t="b">
        <v>1</v>
      </c>
      <c r="H279" s="2">
        <v>45030.518460648149</v>
      </c>
      <c r="I279" t="s">
        <v>1363</v>
      </c>
      <c r="N279">
        <v>44.942700000000002</v>
      </c>
      <c r="O279">
        <v>-93.287099999999995</v>
      </c>
      <c r="P279" t="s">
        <v>111</v>
      </c>
      <c r="Q279" t="s">
        <v>112</v>
      </c>
      <c r="R279" t="s">
        <v>1364</v>
      </c>
      <c r="S279" t="s">
        <v>114</v>
      </c>
      <c r="W279">
        <v>50</v>
      </c>
      <c r="X279" t="s">
        <v>1365</v>
      </c>
      <c r="Y279">
        <v>1</v>
      </c>
      <c r="AD279" s="3">
        <v>0.5</v>
      </c>
      <c r="AE279" s="1" t="s">
        <v>1366</v>
      </c>
      <c r="AF279" s="4">
        <v>1E-4</v>
      </c>
      <c r="AG279" s="3">
        <v>0.2</v>
      </c>
      <c r="AH279">
        <v>100</v>
      </c>
      <c r="AI279" s="3">
        <v>0.1</v>
      </c>
      <c r="AJ279">
        <v>0.1</v>
      </c>
      <c r="AK279" t="s">
        <v>1367</v>
      </c>
      <c r="AL279" t="s">
        <v>1364</v>
      </c>
      <c r="AM279" t="s">
        <v>117</v>
      </c>
    </row>
    <row r="280" spans="1:39" x14ac:dyDescent="0.2">
      <c r="A280" s="2">
        <v>45030.516030092593</v>
      </c>
      <c r="B280" s="2">
        <v>45030.518472222226</v>
      </c>
      <c r="C280" t="s">
        <v>42</v>
      </c>
      <c r="D280" t="s">
        <v>1368</v>
      </c>
      <c r="E280">
        <v>100</v>
      </c>
      <c r="F280">
        <v>210</v>
      </c>
      <c r="G280" t="b">
        <v>1</v>
      </c>
      <c r="H280" s="2">
        <v>45030.518472222226</v>
      </c>
      <c r="I280" t="s">
        <v>1369</v>
      </c>
      <c r="N280">
        <v>44.970999999999997</v>
      </c>
      <c r="O280">
        <v>-93.049800000000005</v>
      </c>
      <c r="P280" t="s">
        <v>111</v>
      </c>
      <c r="Q280" t="s">
        <v>112</v>
      </c>
      <c r="R280" t="s">
        <v>1370</v>
      </c>
      <c r="S280" t="s">
        <v>114</v>
      </c>
      <c r="W280">
        <v>9</v>
      </c>
      <c r="X280" t="s">
        <v>1371</v>
      </c>
      <c r="AC280" t="s">
        <v>1372</v>
      </c>
      <c r="AD280">
        <v>500</v>
      </c>
      <c r="AE280">
        <v>10</v>
      </c>
      <c r="AF280">
        <v>0.1</v>
      </c>
      <c r="AG280">
        <v>20</v>
      </c>
      <c r="AH280">
        <v>100</v>
      </c>
      <c r="AI280" s="3">
        <v>0.5</v>
      </c>
      <c r="AJ280" t="s">
        <v>134</v>
      </c>
      <c r="AK280" t="s">
        <v>159</v>
      </c>
      <c r="AL280" t="s">
        <v>1370</v>
      </c>
      <c r="AM280" t="s">
        <v>135</v>
      </c>
    </row>
    <row r="281" spans="1:39" x14ac:dyDescent="0.2">
      <c r="A281" s="2">
        <v>45030.514490740738</v>
      </c>
      <c r="B281" s="2">
        <v>45030.518541666665</v>
      </c>
      <c r="C281" t="s">
        <v>42</v>
      </c>
      <c r="D281" t="s">
        <v>1373</v>
      </c>
      <c r="E281">
        <v>100</v>
      </c>
      <c r="F281">
        <v>349</v>
      </c>
      <c r="G281" t="b">
        <v>1</v>
      </c>
      <c r="H281" s="2">
        <v>45030.518553240741</v>
      </c>
      <c r="I281" t="s">
        <v>1374</v>
      </c>
      <c r="N281">
        <v>36.033099999999997</v>
      </c>
      <c r="O281">
        <v>-79.380499999999998</v>
      </c>
      <c r="P281" t="s">
        <v>111</v>
      </c>
      <c r="Q281" t="s">
        <v>112</v>
      </c>
      <c r="R281" t="s">
        <v>1375</v>
      </c>
      <c r="S281" t="s">
        <v>114</v>
      </c>
      <c r="W281">
        <v>91</v>
      </c>
      <c r="X281" t="s">
        <v>1376</v>
      </c>
      <c r="Y281" t="s">
        <v>308</v>
      </c>
      <c r="AD281">
        <v>500</v>
      </c>
      <c r="AE281">
        <v>10</v>
      </c>
      <c r="AF281" s="4">
        <v>1E-3</v>
      </c>
      <c r="AG281">
        <v>20</v>
      </c>
      <c r="AH281">
        <v>100</v>
      </c>
      <c r="AI281" s="3">
        <v>0.1</v>
      </c>
      <c r="AJ281">
        <v>0.05</v>
      </c>
      <c r="AK281">
        <v>100</v>
      </c>
      <c r="AL281" t="s">
        <v>1375</v>
      </c>
      <c r="AM281" t="s">
        <v>117</v>
      </c>
    </row>
    <row r="282" spans="1:39" x14ac:dyDescent="0.2">
      <c r="A282" s="2">
        <v>45030.513333333336</v>
      </c>
      <c r="B282" s="2">
        <v>45030.518611111111</v>
      </c>
      <c r="C282" t="s">
        <v>42</v>
      </c>
      <c r="D282" t="s">
        <v>1377</v>
      </c>
      <c r="E282">
        <v>100</v>
      </c>
      <c r="F282">
        <v>456</v>
      </c>
      <c r="G282" t="b">
        <v>1</v>
      </c>
      <c r="H282" s="2">
        <v>45030.518622685187</v>
      </c>
      <c r="I282" t="s">
        <v>1378</v>
      </c>
      <c r="N282">
        <v>41.215299999999999</v>
      </c>
      <c r="O282">
        <v>-73.1233</v>
      </c>
      <c r="P282" t="s">
        <v>111</v>
      </c>
      <c r="Q282" t="s">
        <v>112</v>
      </c>
      <c r="R282" t="s">
        <v>1379</v>
      </c>
      <c r="S282" t="s">
        <v>114</v>
      </c>
      <c r="W282">
        <v>70</v>
      </c>
      <c r="X282" t="s">
        <v>1380</v>
      </c>
      <c r="Z282">
        <v>0.25</v>
      </c>
      <c r="AD282">
        <v>500</v>
      </c>
      <c r="AE282">
        <v>10</v>
      </c>
      <c r="AF282">
        <v>0.1</v>
      </c>
      <c r="AG282">
        <v>20</v>
      </c>
      <c r="AH282">
        <v>100</v>
      </c>
      <c r="AI282" t="s">
        <v>585</v>
      </c>
      <c r="AJ282">
        <v>0.05</v>
      </c>
      <c r="AK282" t="s">
        <v>159</v>
      </c>
      <c r="AL282" t="s">
        <v>1379</v>
      </c>
      <c r="AM282" t="s">
        <v>128</v>
      </c>
    </row>
    <row r="283" spans="1:39" ht="170" x14ac:dyDescent="0.2">
      <c r="A283" s="2">
        <v>45030.512384259258</v>
      </c>
      <c r="B283" s="2">
        <v>45030.518726851849</v>
      </c>
      <c r="C283" t="s">
        <v>42</v>
      </c>
      <c r="D283" t="s">
        <v>1381</v>
      </c>
      <c r="E283">
        <v>100</v>
      </c>
      <c r="F283">
        <v>547</v>
      </c>
      <c r="G283" t="b">
        <v>1</v>
      </c>
      <c r="H283" s="2">
        <v>45030.518738425926</v>
      </c>
      <c r="I283" t="s">
        <v>1382</v>
      </c>
      <c r="N283">
        <v>47.535699999999999</v>
      </c>
      <c r="O283">
        <v>-122.3503</v>
      </c>
      <c r="P283" t="s">
        <v>111</v>
      </c>
      <c r="Q283" t="s">
        <v>112</v>
      </c>
      <c r="R283" t="s">
        <v>1383</v>
      </c>
      <c r="S283" t="s">
        <v>114</v>
      </c>
      <c r="W283">
        <v>30</v>
      </c>
      <c r="X283" t="s">
        <v>1384</v>
      </c>
      <c r="AC283" t="s">
        <v>1385</v>
      </c>
      <c r="AD283" t="s">
        <v>1386</v>
      </c>
      <c r="AE283">
        <v>100</v>
      </c>
      <c r="AF283" s="4">
        <v>1E-3</v>
      </c>
      <c r="AG283" s="3">
        <v>0.2</v>
      </c>
      <c r="AH283">
        <v>100</v>
      </c>
      <c r="AI283" s="3">
        <v>0.85</v>
      </c>
      <c r="AJ283" s="1" t="s">
        <v>1387</v>
      </c>
      <c r="AK283" t="s">
        <v>159</v>
      </c>
      <c r="AL283" t="s">
        <v>1383</v>
      </c>
      <c r="AM283" t="s">
        <v>135</v>
      </c>
    </row>
    <row r="284" spans="1:39" x14ac:dyDescent="0.2">
      <c r="A284" s="2">
        <v>45030.515381944446</v>
      </c>
      <c r="B284" s="2">
        <v>45030.518726851849</v>
      </c>
      <c r="C284" t="s">
        <v>42</v>
      </c>
      <c r="D284" t="s">
        <v>1388</v>
      </c>
      <c r="E284">
        <v>100</v>
      </c>
      <c r="F284">
        <v>288</v>
      </c>
      <c r="G284" t="b">
        <v>1</v>
      </c>
      <c r="H284" s="2">
        <v>45030.518738425926</v>
      </c>
      <c r="I284" t="s">
        <v>1389</v>
      </c>
      <c r="N284">
        <v>36.203800000000001</v>
      </c>
      <c r="O284">
        <v>-115.2255</v>
      </c>
      <c r="P284" t="s">
        <v>111</v>
      </c>
      <c r="Q284" t="s">
        <v>112</v>
      </c>
      <c r="R284" t="s">
        <v>1390</v>
      </c>
      <c r="S284" t="s">
        <v>114</v>
      </c>
      <c r="W284">
        <v>29</v>
      </c>
      <c r="X284" t="s">
        <v>1391</v>
      </c>
      <c r="Y284">
        <v>3</v>
      </c>
      <c r="AD284">
        <v>500</v>
      </c>
      <c r="AE284">
        <v>10</v>
      </c>
      <c r="AF284">
        <v>0.05</v>
      </c>
      <c r="AG284">
        <v>20</v>
      </c>
      <c r="AH284">
        <v>100</v>
      </c>
      <c r="AI284" s="3">
        <v>0.9</v>
      </c>
      <c r="AJ284">
        <v>0.05</v>
      </c>
      <c r="AK284" t="s">
        <v>159</v>
      </c>
      <c r="AL284" t="s">
        <v>1390</v>
      </c>
      <c r="AM284" t="s">
        <v>117</v>
      </c>
    </row>
    <row r="285" spans="1:39" ht="388" x14ac:dyDescent="0.2">
      <c r="A285" s="2">
        <v>45030.508194444446</v>
      </c>
      <c r="B285" s="2">
        <v>45030.518738425926</v>
      </c>
      <c r="C285" t="s">
        <v>42</v>
      </c>
      <c r="D285" t="s">
        <v>1392</v>
      </c>
      <c r="E285">
        <v>100</v>
      </c>
      <c r="F285">
        <v>911</v>
      </c>
      <c r="G285" t="b">
        <v>1</v>
      </c>
      <c r="H285" s="2">
        <v>45030.518750000003</v>
      </c>
      <c r="I285" t="s">
        <v>1393</v>
      </c>
      <c r="N285">
        <v>42.111199999999997</v>
      </c>
      <c r="O285">
        <v>-88.043899999999994</v>
      </c>
      <c r="P285" t="s">
        <v>111</v>
      </c>
      <c r="Q285" t="s">
        <v>112</v>
      </c>
      <c r="R285" t="s">
        <v>1394</v>
      </c>
      <c r="S285" t="s">
        <v>114</v>
      </c>
      <c r="W285">
        <v>60</v>
      </c>
      <c r="X285" s="1" t="s">
        <v>1395</v>
      </c>
      <c r="AB285">
        <v>1</v>
      </c>
      <c r="AD285">
        <v>500</v>
      </c>
      <c r="AE285">
        <v>10</v>
      </c>
      <c r="AF285">
        <v>10</v>
      </c>
      <c r="AG285">
        <v>20</v>
      </c>
      <c r="AH285">
        <v>1000</v>
      </c>
      <c r="AI285" t="s">
        <v>1396</v>
      </c>
      <c r="AJ285">
        <v>0.1</v>
      </c>
      <c r="AK285">
        <v>100</v>
      </c>
      <c r="AL285" t="s">
        <v>1394</v>
      </c>
      <c r="AM285" t="s">
        <v>135</v>
      </c>
    </row>
    <row r="286" spans="1:39" x14ac:dyDescent="0.2">
      <c r="A286" s="2">
        <v>45030.514988425923</v>
      </c>
      <c r="B286" s="2">
        <v>45030.518807870372</v>
      </c>
      <c r="C286" t="s">
        <v>42</v>
      </c>
      <c r="D286" t="s">
        <v>1397</v>
      </c>
      <c r="E286">
        <v>100</v>
      </c>
      <c r="F286">
        <v>330</v>
      </c>
      <c r="G286" t="b">
        <v>1</v>
      </c>
      <c r="H286" s="2">
        <v>45030.518819444442</v>
      </c>
      <c r="I286" t="s">
        <v>1398</v>
      </c>
      <c r="N286">
        <v>41.876399999999997</v>
      </c>
      <c r="O286">
        <v>-87.613299999999995</v>
      </c>
      <c r="P286" t="s">
        <v>111</v>
      </c>
      <c r="Q286" t="s">
        <v>112</v>
      </c>
      <c r="R286" t="s">
        <v>1399</v>
      </c>
      <c r="S286" t="s">
        <v>114</v>
      </c>
      <c r="W286">
        <v>28</v>
      </c>
      <c r="X286" t="s">
        <v>1400</v>
      </c>
      <c r="AA286" t="s">
        <v>1401</v>
      </c>
      <c r="AD286">
        <v>500</v>
      </c>
      <c r="AE286">
        <v>10</v>
      </c>
      <c r="AF286">
        <v>1E-3</v>
      </c>
      <c r="AG286">
        <v>20</v>
      </c>
      <c r="AH286">
        <v>100</v>
      </c>
      <c r="AI286" s="3">
        <v>0.9</v>
      </c>
      <c r="AJ286">
        <v>0.05</v>
      </c>
      <c r="AK286" t="s">
        <v>159</v>
      </c>
      <c r="AL286" t="s">
        <v>1399</v>
      </c>
      <c r="AM286" t="s">
        <v>128</v>
      </c>
    </row>
    <row r="287" spans="1:39" x14ac:dyDescent="0.2">
      <c r="A287" s="2">
        <v>45030.513923611114</v>
      </c>
      <c r="B287" s="2">
        <v>45030.518819444442</v>
      </c>
      <c r="C287" t="s">
        <v>42</v>
      </c>
      <c r="D287" t="s">
        <v>1402</v>
      </c>
      <c r="E287">
        <v>100</v>
      </c>
      <c r="F287">
        <v>423</v>
      </c>
      <c r="G287" t="b">
        <v>1</v>
      </c>
      <c r="H287" s="2">
        <v>45030.518831018519</v>
      </c>
      <c r="I287" t="s">
        <v>1403</v>
      </c>
      <c r="N287">
        <v>45.610500000000002</v>
      </c>
      <c r="O287">
        <v>-94.436099999999996</v>
      </c>
      <c r="P287" t="s">
        <v>111</v>
      </c>
      <c r="Q287" t="s">
        <v>112</v>
      </c>
      <c r="R287" t="s">
        <v>1404</v>
      </c>
      <c r="S287" t="s">
        <v>114</v>
      </c>
      <c r="W287">
        <v>90</v>
      </c>
      <c r="X287" t="s">
        <v>1405</v>
      </c>
      <c r="Y287">
        <v>2</v>
      </c>
      <c r="AD287">
        <v>600</v>
      </c>
      <c r="AE287">
        <v>10</v>
      </c>
      <c r="AF287">
        <v>0.5</v>
      </c>
      <c r="AG287">
        <v>20</v>
      </c>
      <c r="AH287">
        <v>100</v>
      </c>
      <c r="AI287">
        <v>50</v>
      </c>
      <c r="AJ287">
        <v>0.1</v>
      </c>
      <c r="AK287">
        <v>100</v>
      </c>
      <c r="AL287" t="s">
        <v>1404</v>
      </c>
      <c r="AM287" t="s">
        <v>117</v>
      </c>
    </row>
    <row r="288" spans="1:39" x14ac:dyDescent="0.2">
      <c r="A288" s="2">
        <v>45030.516168981485</v>
      </c>
      <c r="B288" s="2">
        <v>45030.518900462965</v>
      </c>
      <c r="C288" t="s">
        <v>42</v>
      </c>
      <c r="D288" t="s">
        <v>1406</v>
      </c>
      <c r="E288">
        <v>100</v>
      </c>
      <c r="F288">
        <v>236</v>
      </c>
      <c r="G288" t="b">
        <v>1</v>
      </c>
      <c r="H288" s="2">
        <v>45030.518912037034</v>
      </c>
      <c r="I288" t="s">
        <v>1407</v>
      </c>
      <c r="N288">
        <v>29.7912</v>
      </c>
      <c r="O288">
        <v>-95.418199999999999</v>
      </c>
      <c r="P288" t="s">
        <v>111</v>
      </c>
      <c r="Q288" t="s">
        <v>112</v>
      </c>
      <c r="R288" t="s">
        <v>1408</v>
      </c>
      <c r="S288" t="s">
        <v>114</v>
      </c>
      <c r="T288">
        <v>35</v>
      </c>
      <c r="U288">
        <v>1.5</v>
      </c>
      <c r="W288">
        <v>58</v>
      </c>
      <c r="X288" t="s">
        <v>1409</v>
      </c>
      <c r="AD288">
        <v>600</v>
      </c>
      <c r="AE288">
        <v>0.1</v>
      </c>
      <c r="AF288">
        <v>1</v>
      </c>
      <c r="AG288">
        <v>25</v>
      </c>
      <c r="AH288">
        <v>100</v>
      </c>
      <c r="AI288">
        <v>40</v>
      </c>
      <c r="AJ288">
        <v>0.1</v>
      </c>
      <c r="AK288">
        <v>100</v>
      </c>
      <c r="AL288" t="s">
        <v>1408</v>
      </c>
      <c r="AM288" t="s">
        <v>123</v>
      </c>
    </row>
    <row r="289" spans="1:39" x14ac:dyDescent="0.2">
      <c r="A289" s="2">
        <v>45030.514884259261</v>
      </c>
      <c r="B289" s="2">
        <v>45030.518935185188</v>
      </c>
      <c r="C289" t="s">
        <v>42</v>
      </c>
      <c r="D289" t="s">
        <v>1410</v>
      </c>
      <c r="E289">
        <v>100</v>
      </c>
      <c r="F289">
        <v>350</v>
      </c>
      <c r="G289" t="b">
        <v>1</v>
      </c>
      <c r="H289" s="2">
        <v>45030.518946759257</v>
      </c>
      <c r="I289" t="s">
        <v>1411</v>
      </c>
      <c r="N289">
        <v>40.895699999999998</v>
      </c>
      <c r="O289">
        <v>-121.66030000000001</v>
      </c>
      <c r="P289" t="s">
        <v>111</v>
      </c>
      <c r="Q289" t="s">
        <v>112</v>
      </c>
      <c r="R289" t="s">
        <v>1412</v>
      </c>
      <c r="S289" t="s">
        <v>114</v>
      </c>
      <c r="W289">
        <v>19</v>
      </c>
      <c r="X289" t="s">
        <v>1413</v>
      </c>
      <c r="AA289" t="s">
        <v>1414</v>
      </c>
      <c r="AD289">
        <v>500</v>
      </c>
      <c r="AE289">
        <v>10</v>
      </c>
      <c r="AF289">
        <v>0.01</v>
      </c>
      <c r="AG289">
        <v>20</v>
      </c>
      <c r="AH289">
        <v>100</v>
      </c>
      <c r="AI289" s="3">
        <v>0.9</v>
      </c>
      <c r="AJ289" s="5">
        <v>0.05</v>
      </c>
      <c r="AK289" t="s">
        <v>164</v>
      </c>
      <c r="AL289" t="s">
        <v>1412</v>
      </c>
      <c r="AM289" t="s">
        <v>128</v>
      </c>
    </row>
    <row r="290" spans="1:39" x14ac:dyDescent="0.2">
      <c r="A290" s="2">
        <v>45030.515497685185</v>
      </c>
      <c r="B290" s="2">
        <v>45030.51898148148</v>
      </c>
      <c r="C290" t="s">
        <v>42</v>
      </c>
      <c r="D290" t="s">
        <v>1415</v>
      </c>
      <c r="E290">
        <v>100</v>
      </c>
      <c r="F290">
        <v>301</v>
      </c>
      <c r="G290" t="b">
        <v>1</v>
      </c>
      <c r="H290" s="2">
        <v>45030.518993055557</v>
      </c>
      <c r="I290" t="s">
        <v>1416</v>
      </c>
      <c r="N290">
        <v>31.006499999999999</v>
      </c>
      <c r="O290">
        <v>-97.840599999999995</v>
      </c>
      <c r="P290" t="s">
        <v>111</v>
      </c>
      <c r="Q290" t="s">
        <v>112</v>
      </c>
      <c r="R290" t="s">
        <v>1417</v>
      </c>
      <c r="S290" t="s">
        <v>114</v>
      </c>
      <c r="T290">
        <v>20</v>
      </c>
      <c r="U290">
        <v>1</v>
      </c>
      <c r="W290">
        <v>50</v>
      </c>
      <c r="X290" t="s">
        <v>1418</v>
      </c>
      <c r="AD290">
        <v>500</v>
      </c>
      <c r="AE290">
        <v>10</v>
      </c>
      <c r="AF290" s="4">
        <v>1.0000000000000001E-5</v>
      </c>
      <c r="AG290" s="3">
        <v>0.2</v>
      </c>
      <c r="AH290">
        <v>100</v>
      </c>
      <c r="AI290" s="3">
        <v>0.18</v>
      </c>
      <c r="AJ290">
        <v>0.1</v>
      </c>
      <c r="AK290" t="s">
        <v>164</v>
      </c>
      <c r="AL290" t="s">
        <v>1417</v>
      </c>
      <c r="AM290" t="s">
        <v>123</v>
      </c>
    </row>
    <row r="291" spans="1:39" x14ac:dyDescent="0.2">
      <c r="A291" s="2">
        <v>45030.516331018516</v>
      </c>
      <c r="B291" s="2">
        <v>45030.519074074073</v>
      </c>
      <c r="C291" t="s">
        <v>42</v>
      </c>
      <c r="D291" t="s">
        <v>1419</v>
      </c>
      <c r="E291">
        <v>100</v>
      </c>
      <c r="F291">
        <v>236</v>
      </c>
      <c r="G291" t="b">
        <v>1</v>
      </c>
      <c r="H291" s="2">
        <v>45030.519085648149</v>
      </c>
      <c r="I291" t="s">
        <v>1420</v>
      </c>
      <c r="N291">
        <v>39.207900000000002</v>
      </c>
      <c r="O291">
        <v>-120.999</v>
      </c>
      <c r="P291" t="s">
        <v>111</v>
      </c>
      <c r="Q291" t="s">
        <v>112</v>
      </c>
      <c r="R291" t="s">
        <v>1421</v>
      </c>
      <c r="S291" t="s">
        <v>114</v>
      </c>
      <c r="W291">
        <v>10</v>
      </c>
      <c r="X291" t="s">
        <v>1422</v>
      </c>
      <c r="AC291">
        <v>4</v>
      </c>
      <c r="AD291">
        <v>333</v>
      </c>
      <c r="AE291">
        <v>10</v>
      </c>
      <c r="AF291">
        <v>10</v>
      </c>
      <c r="AG291">
        <v>20</v>
      </c>
      <c r="AH291">
        <v>100</v>
      </c>
      <c r="AI291">
        <v>90</v>
      </c>
      <c r="AJ291">
        <v>0.05</v>
      </c>
      <c r="AK291">
        <v>5</v>
      </c>
      <c r="AL291" t="s">
        <v>1421</v>
      </c>
      <c r="AM291" t="s">
        <v>135</v>
      </c>
    </row>
    <row r="292" spans="1:39" x14ac:dyDescent="0.2">
      <c r="A292" s="2">
        <v>45030.516261574077</v>
      </c>
      <c r="B292" s="2">
        <v>45030.519085648149</v>
      </c>
      <c r="C292" t="s">
        <v>42</v>
      </c>
      <c r="D292" t="s">
        <v>1423</v>
      </c>
      <c r="E292">
        <v>100</v>
      </c>
      <c r="F292">
        <v>244</v>
      </c>
      <c r="G292" t="b">
        <v>1</v>
      </c>
      <c r="H292" s="2">
        <v>45030.519097222219</v>
      </c>
      <c r="I292" t="s">
        <v>1424</v>
      </c>
      <c r="N292">
        <v>32.720300000000002</v>
      </c>
      <c r="O292">
        <v>-117.15519999999999</v>
      </c>
      <c r="P292" t="s">
        <v>111</v>
      </c>
      <c r="Q292" t="s">
        <v>112</v>
      </c>
      <c r="R292" t="s">
        <v>1425</v>
      </c>
      <c r="S292" t="s">
        <v>114</v>
      </c>
      <c r="T292">
        <v>40</v>
      </c>
      <c r="U292">
        <v>1.2</v>
      </c>
      <c r="W292">
        <v>40</v>
      </c>
      <c r="X292" t="s">
        <v>1426</v>
      </c>
      <c r="AD292">
        <v>500</v>
      </c>
      <c r="AE292">
        <v>10</v>
      </c>
      <c r="AF292" s="4">
        <v>1E-3</v>
      </c>
      <c r="AG292">
        <v>20</v>
      </c>
      <c r="AH292">
        <v>10</v>
      </c>
      <c r="AI292" s="3">
        <v>0.5</v>
      </c>
      <c r="AJ292" s="5">
        <v>0.05</v>
      </c>
      <c r="AK292" t="s">
        <v>159</v>
      </c>
      <c r="AL292" t="s">
        <v>1425</v>
      </c>
      <c r="AM292" t="s">
        <v>123</v>
      </c>
    </row>
    <row r="293" spans="1:39" x14ac:dyDescent="0.2">
      <c r="A293" s="2">
        <v>45030.511354166665</v>
      </c>
      <c r="B293" s="2">
        <v>45030.519085648149</v>
      </c>
      <c r="C293" t="s">
        <v>42</v>
      </c>
      <c r="D293" t="s">
        <v>1427</v>
      </c>
      <c r="E293">
        <v>100</v>
      </c>
      <c r="F293">
        <v>668</v>
      </c>
      <c r="G293" t="b">
        <v>1</v>
      </c>
      <c r="H293" s="2">
        <v>45030.519097222219</v>
      </c>
      <c r="I293" t="s">
        <v>1428</v>
      </c>
      <c r="N293">
        <v>39.738799999999998</v>
      </c>
      <c r="O293">
        <v>-104.9868</v>
      </c>
      <c r="P293" t="s">
        <v>111</v>
      </c>
      <c r="Q293" t="s">
        <v>112</v>
      </c>
      <c r="R293" t="s">
        <v>1429</v>
      </c>
      <c r="S293" t="s">
        <v>114</v>
      </c>
      <c r="W293">
        <v>0</v>
      </c>
      <c r="X293" t="s">
        <v>1430</v>
      </c>
      <c r="AC293" t="s">
        <v>1431</v>
      </c>
      <c r="AD293" s="3">
        <v>0.5</v>
      </c>
      <c r="AE293">
        <v>10</v>
      </c>
      <c r="AF293" s="3">
        <v>0.01</v>
      </c>
      <c r="AG293" s="3">
        <v>0.2</v>
      </c>
      <c r="AH293">
        <v>100</v>
      </c>
      <c r="AI293" s="3">
        <v>0.9</v>
      </c>
      <c r="AJ293" t="s">
        <v>703</v>
      </c>
      <c r="AK293" t="s">
        <v>122</v>
      </c>
      <c r="AL293" t="s">
        <v>1429</v>
      </c>
      <c r="AM293" t="s">
        <v>135</v>
      </c>
    </row>
    <row r="294" spans="1:39" x14ac:dyDescent="0.2">
      <c r="A294" s="2">
        <v>45030.516215277778</v>
      </c>
      <c r="B294" s="2">
        <v>45030.519201388888</v>
      </c>
      <c r="C294" t="s">
        <v>42</v>
      </c>
      <c r="D294" t="s">
        <v>1432</v>
      </c>
      <c r="E294">
        <v>100</v>
      </c>
      <c r="F294">
        <v>257</v>
      </c>
      <c r="G294" t="b">
        <v>1</v>
      </c>
      <c r="H294" s="2">
        <v>45030.519201388888</v>
      </c>
      <c r="I294" t="s">
        <v>1433</v>
      </c>
      <c r="N294">
        <v>39.092700000000001</v>
      </c>
      <c r="O294">
        <v>-94.513400000000004</v>
      </c>
      <c r="P294" t="s">
        <v>111</v>
      </c>
      <c r="Q294" t="s">
        <v>112</v>
      </c>
      <c r="R294" t="s">
        <v>1434</v>
      </c>
      <c r="S294" t="s">
        <v>114</v>
      </c>
      <c r="W294">
        <v>50</v>
      </c>
      <c r="X294" t="s">
        <v>1435</v>
      </c>
      <c r="Y294">
        <v>1</v>
      </c>
      <c r="AD294">
        <v>330</v>
      </c>
      <c r="AE294">
        <v>10</v>
      </c>
      <c r="AF294">
        <v>0.1</v>
      </c>
      <c r="AG294">
        <v>20</v>
      </c>
      <c r="AH294">
        <v>1</v>
      </c>
      <c r="AI294">
        <v>90</v>
      </c>
      <c r="AJ294">
        <v>0.1</v>
      </c>
      <c r="AK294">
        <v>5</v>
      </c>
      <c r="AL294" t="s">
        <v>1434</v>
      </c>
      <c r="AM294" t="s">
        <v>117</v>
      </c>
    </row>
    <row r="295" spans="1:39" x14ac:dyDescent="0.2">
      <c r="A295" s="2">
        <v>45030.513344907406</v>
      </c>
      <c r="B295" s="2">
        <v>45030.519212962965</v>
      </c>
      <c r="C295" t="s">
        <v>42</v>
      </c>
      <c r="D295" t="s">
        <v>1436</v>
      </c>
      <c r="E295">
        <v>100</v>
      </c>
      <c r="F295">
        <v>507</v>
      </c>
      <c r="G295" t="b">
        <v>1</v>
      </c>
      <c r="H295" s="2">
        <v>45030.519224537034</v>
      </c>
      <c r="I295" t="s">
        <v>1437</v>
      </c>
      <c r="N295">
        <v>34.193100000000001</v>
      </c>
      <c r="O295">
        <v>-118.1383</v>
      </c>
      <c r="P295" t="s">
        <v>111</v>
      </c>
      <c r="Q295" t="s">
        <v>112</v>
      </c>
      <c r="R295" t="s">
        <v>1438</v>
      </c>
      <c r="S295" t="s">
        <v>114</v>
      </c>
      <c r="W295">
        <v>74</v>
      </c>
      <c r="X295" t="s">
        <v>1439</v>
      </c>
      <c r="AB295">
        <v>2</v>
      </c>
      <c r="AD295">
        <v>500</v>
      </c>
      <c r="AE295">
        <v>10</v>
      </c>
      <c r="AF295">
        <v>0.1</v>
      </c>
      <c r="AG295">
        <v>20</v>
      </c>
      <c r="AH295">
        <v>10</v>
      </c>
      <c r="AI295" t="s">
        <v>1045</v>
      </c>
      <c r="AJ295" t="s">
        <v>134</v>
      </c>
      <c r="AK295" t="s">
        <v>159</v>
      </c>
      <c r="AL295" t="s">
        <v>1438</v>
      </c>
      <c r="AM295" t="s">
        <v>135</v>
      </c>
    </row>
    <row r="296" spans="1:39" x14ac:dyDescent="0.2">
      <c r="A296" s="2">
        <v>45030.513599537036</v>
      </c>
      <c r="B296" s="2">
        <v>45030.519317129627</v>
      </c>
      <c r="C296" t="s">
        <v>42</v>
      </c>
      <c r="D296" t="s">
        <v>1440</v>
      </c>
      <c r="E296">
        <v>100</v>
      </c>
      <c r="F296">
        <v>493</v>
      </c>
      <c r="G296" t="b">
        <v>1</v>
      </c>
      <c r="H296" s="2">
        <v>45030.519317129627</v>
      </c>
      <c r="I296" t="s">
        <v>1441</v>
      </c>
      <c r="N296">
        <v>42.416699999999999</v>
      </c>
      <c r="O296">
        <v>-71.682900000000004</v>
      </c>
      <c r="P296" t="s">
        <v>111</v>
      </c>
      <c r="Q296" t="s">
        <v>112</v>
      </c>
      <c r="R296" t="s">
        <v>1442</v>
      </c>
      <c r="S296" t="s">
        <v>114</v>
      </c>
      <c r="W296">
        <v>80</v>
      </c>
      <c r="X296" t="s">
        <v>1443</v>
      </c>
      <c r="Z296" t="s">
        <v>1444</v>
      </c>
      <c r="AD296">
        <v>500</v>
      </c>
      <c r="AE296">
        <v>10</v>
      </c>
      <c r="AF296">
        <v>0.1</v>
      </c>
      <c r="AG296">
        <v>20</v>
      </c>
      <c r="AH296">
        <v>100</v>
      </c>
      <c r="AI296" t="s">
        <v>585</v>
      </c>
      <c r="AJ296">
        <v>0.05</v>
      </c>
      <c r="AK296">
        <v>5</v>
      </c>
      <c r="AL296" t="s">
        <v>1442</v>
      </c>
      <c r="AM296" t="s">
        <v>128</v>
      </c>
    </row>
    <row r="297" spans="1:39" x14ac:dyDescent="0.2">
      <c r="A297" s="2">
        <v>45030.514837962961</v>
      </c>
      <c r="B297" s="2">
        <v>45030.519548611112</v>
      </c>
      <c r="C297" t="s">
        <v>42</v>
      </c>
      <c r="D297" t="s">
        <v>1445</v>
      </c>
      <c r="E297">
        <v>100</v>
      </c>
      <c r="F297">
        <v>406</v>
      </c>
      <c r="G297" t="b">
        <v>1</v>
      </c>
      <c r="H297" s="2">
        <v>45030.519560185188</v>
      </c>
      <c r="I297" t="s">
        <v>1446</v>
      </c>
      <c r="N297">
        <v>42.336399999999998</v>
      </c>
      <c r="O297">
        <v>-71.032600000000002</v>
      </c>
      <c r="P297" t="s">
        <v>111</v>
      </c>
      <c r="Q297" t="s">
        <v>112</v>
      </c>
      <c r="R297" t="s">
        <v>1447</v>
      </c>
      <c r="S297" t="s">
        <v>114</v>
      </c>
      <c r="T297">
        <v>70</v>
      </c>
      <c r="V297" t="s">
        <v>1448</v>
      </c>
      <c r="W297">
        <v>74</v>
      </c>
      <c r="X297" t="s">
        <v>1449</v>
      </c>
      <c r="AD297">
        <v>500</v>
      </c>
      <c r="AE297">
        <v>10</v>
      </c>
      <c r="AF297" s="4">
        <v>1E-3</v>
      </c>
      <c r="AG297">
        <v>20</v>
      </c>
      <c r="AH297">
        <v>1</v>
      </c>
      <c r="AI297" s="3">
        <v>0.9</v>
      </c>
      <c r="AJ297" s="5">
        <v>0.05</v>
      </c>
      <c r="AK297" t="s">
        <v>208</v>
      </c>
      <c r="AL297" t="s">
        <v>1447</v>
      </c>
      <c r="AM297" t="s">
        <v>123</v>
      </c>
    </row>
    <row r="298" spans="1:39" x14ac:dyDescent="0.2">
      <c r="A298" s="2">
        <v>45030.516550925924</v>
      </c>
      <c r="B298" s="2">
        <v>45030.519560185188</v>
      </c>
      <c r="C298" t="s">
        <v>42</v>
      </c>
      <c r="D298" t="s">
        <v>1450</v>
      </c>
      <c r="E298">
        <v>100</v>
      </c>
      <c r="F298">
        <v>259</v>
      </c>
      <c r="G298" t="b">
        <v>1</v>
      </c>
      <c r="H298" s="2">
        <v>45030.519571759258</v>
      </c>
      <c r="I298" t="s">
        <v>1451</v>
      </c>
      <c r="N298">
        <v>40.847700000000003</v>
      </c>
      <c r="O298">
        <v>-73.841800000000006</v>
      </c>
      <c r="P298" t="s">
        <v>111</v>
      </c>
      <c r="Q298" t="s">
        <v>112</v>
      </c>
      <c r="R298" t="s">
        <v>1452</v>
      </c>
      <c r="S298" t="s">
        <v>114</v>
      </c>
      <c r="W298">
        <v>15</v>
      </c>
      <c r="X298" t="s">
        <v>1453</v>
      </c>
      <c r="AC298">
        <v>20</v>
      </c>
      <c r="AD298">
        <v>500</v>
      </c>
      <c r="AE298">
        <v>10</v>
      </c>
      <c r="AF298">
        <v>0.1</v>
      </c>
      <c r="AG298">
        <v>20</v>
      </c>
      <c r="AH298">
        <v>100</v>
      </c>
      <c r="AI298">
        <v>0.5</v>
      </c>
      <c r="AJ298">
        <v>0.05</v>
      </c>
      <c r="AK298">
        <v>5</v>
      </c>
      <c r="AL298" t="s">
        <v>1452</v>
      </c>
      <c r="AM298" t="s">
        <v>135</v>
      </c>
    </row>
    <row r="299" spans="1:39" x14ac:dyDescent="0.2">
      <c r="A299" s="2">
        <v>45030.513275462959</v>
      </c>
      <c r="B299" s="2">
        <v>45030.519571759258</v>
      </c>
      <c r="C299" t="s">
        <v>42</v>
      </c>
      <c r="D299" t="s">
        <v>1454</v>
      </c>
      <c r="E299">
        <v>100</v>
      </c>
      <c r="F299">
        <v>543</v>
      </c>
      <c r="G299" t="b">
        <v>1</v>
      </c>
      <c r="H299" s="2">
        <v>45030.519571759258</v>
      </c>
      <c r="I299" t="s">
        <v>1455</v>
      </c>
      <c r="N299">
        <v>39.939100000000003</v>
      </c>
      <c r="O299">
        <v>-83.047399999999996</v>
      </c>
      <c r="P299" t="s">
        <v>111</v>
      </c>
      <c r="Q299" t="s">
        <v>112</v>
      </c>
      <c r="R299" t="s">
        <v>1456</v>
      </c>
      <c r="S299" t="s">
        <v>114</v>
      </c>
      <c r="T299">
        <v>0</v>
      </c>
      <c r="U299" t="s">
        <v>1457</v>
      </c>
      <c r="W299">
        <v>4</v>
      </c>
      <c r="X299" t="s">
        <v>1458</v>
      </c>
      <c r="AD299">
        <v>500</v>
      </c>
      <c r="AE299">
        <v>10</v>
      </c>
      <c r="AF299" s="4">
        <v>1E-3</v>
      </c>
      <c r="AG299">
        <v>20</v>
      </c>
      <c r="AH299">
        <v>10</v>
      </c>
      <c r="AI299" t="s">
        <v>1459</v>
      </c>
      <c r="AJ299">
        <v>0.05</v>
      </c>
      <c r="AK299">
        <v>10</v>
      </c>
      <c r="AL299" t="s">
        <v>1456</v>
      </c>
      <c r="AM299" t="s">
        <v>123</v>
      </c>
    </row>
    <row r="300" spans="1:39" x14ac:dyDescent="0.2">
      <c r="A300" s="2">
        <v>45030.516226851854</v>
      </c>
      <c r="B300" s="2">
        <v>45030.519583333335</v>
      </c>
      <c r="C300" t="s">
        <v>42</v>
      </c>
      <c r="D300" t="s">
        <v>1460</v>
      </c>
      <c r="E300">
        <v>100</v>
      </c>
      <c r="F300">
        <v>289</v>
      </c>
      <c r="G300" t="b">
        <v>1</v>
      </c>
      <c r="H300" s="2">
        <v>45030.519583333335</v>
      </c>
      <c r="I300" t="s">
        <v>1461</v>
      </c>
      <c r="N300">
        <v>39.697299999999998</v>
      </c>
      <c r="O300">
        <v>-104.8394</v>
      </c>
      <c r="P300" t="s">
        <v>111</v>
      </c>
      <c r="Q300" t="s">
        <v>112</v>
      </c>
      <c r="R300" t="s">
        <v>1462</v>
      </c>
      <c r="S300" t="s">
        <v>114</v>
      </c>
      <c r="W300">
        <v>90</v>
      </c>
      <c r="X300" t="s">
        <v>1463</v>
      </c>
      <c r="Z300">
        <v>0.5</v>
      </c>
      <c r="AD300">
        <v>500</v>
      </c>
      <c r="AE300">
        <v>10</v>
      </c>
      <c r="AF300">
        <v>1E-3</v>
      </c>
      <c r="AG300">
        <v>20</v>
      </c>
      <c r="AH300">
        <v>100</v>
      </c>
      <c r="AI300" s="3">
        <v>0.9</v>
      </c>
      <c r="AJ300">
        <v>1.05</v>
      </c>
      <c r="AK300">
        <v>5</v>
      </c>
      <c r="AL300" t="s">
        <v>1462</v>
      </c>
      <c r="AM300" t="s">
        <v>128</v>
      </c>
    </row>
    <row r="301" spans="1:39" x14ac:dyDescent="0.2">
      <c r="A301" s="2">
        <v>45030.517500000002</v>
      </c>
      <c r="B301" s="2">
        <v>45030.519629629627</v>
      </c>
      <c r="C301" t="s">
        <v>42</v>
      </c>
      <c r="D301" t="s">
        <v>1464</v>
      </c>
      <c r="E301">
        <v>100</v>
      </c>
      <c r="F301">
        <v>183</v>
      </c>
      <c r="G301" t="b">
        <v>1</v>
      </c>
      <c r="H301" s="2">
        <v>45030.519629629627</v>
      </c>
      <c r="I301" t="s">
        <v>1465</v>
      </c>
      <c r="N301">
        <v>40.399000000000001</v>
      </c>
      <c r="O301">
        <v>-86.857500000000002</v>
      </c>
      <c r="P301" t="s">
        <v>111</v>
      </c>
      <c r="Q301" t="s">
        <v>112</v>
      </c>
      <c r="R301" t="s">
        <v>1466</v>
      </c>
      <c r="S301" t="s">
        <v>114</v>
      </c>
      <c r="W301">
        <v>75</v>
      </c>
      <c r="X301" t="s">
        <v>1467</v>
      </c>
      <c r="Z301">
        <v>1</v>
      </c>
      <c r="AD301">
        <v>500</v>
      </c>
      <c r="AE301">
        <v>10</v>
      </c>
      <c r="AF301">
        <v>10</v>
      </c>
      <c r="AG301">
        <v>20</v>
      </c>
      <c r="AH301">
        <v>100</v>
      </c>
      <c r="AI301">
        <v>90</v>
      </c>
      <c r="AJ301">
        <v>0.05</v>
      </c>
      <c r="AK301">
        <v>5</v>
      </c>
      <c r="AL301" t="s">
        <v>1466</v>
      </c>
      <c r="AM301" t="s">
        <v>128</v>
      </c>
    </row>
    <row r="302" spans="1:39" x14ac:dyDescent="0.2">
      <c r="A302" s="2">
        <v>45030.517893518518</v>
      </c>
      <c r="B302" s="2">
        <v>45030.519652777781</v>
      </c>
      <c r="C302" t="s">
        <v>42</v>
      </c>
      <c r="D302" t="s">
        <v>1468</v>
      </c>
      <c r="E302">
        <v>100</v>
      </c>
      <c r="F302">
        <v>152</v>
      </c>
      <c r="G302" t="b">
        <v>1</v>
      </c>
      <c r="H302" s="2">
        <v>45030.519652777781</v>
      </c>
      <c r="I302" t="s">
        <v>1469</v>
      </c>
      <c r="N302">
        <v>42.494500000000002</v>
      </c>
      <c r="O302">
        <v>-71.0715</v>
      </c>
      <c r="P302" t="s">
        <v>111</v>
      </c>
      <c r="Q302" t="s">
        <v>112</v>
      </c>
      <c r="R302" t="s">
        <v>1470</v>
      </c>
      <c r="S302" t="s">
        <v>114</v>
      </c>
      <c r="W302">
        <v>76</v>
      </c>
      <c r="X302" t="s">
        <v>1471</v>
      </c>
      <c r="Y302">
        <v>1</v>
      </c>
      <c r="AD302">
        <v>500</v>
      </c>
      <c r="AE302">
        <v>100</v>
      </c>
      <c r="AF302" s="3">
        <v>0.01</v>
      </c>
      <c r="AG302">
        <v>20</v>
      </c>
      <c r="AH302">
        <v>100</v>
      </c>
      <c r="AI302">
        <v>10</v>
      </c>
      <c r="AJ302">
        <v>0.1</v>
      </c>
      <c r="AK302" t="s">
        <v>164</v>
      </c>
      <c r="AL302" t="s">
        <v>1470</v>
      </c>
      <c r="AM302" t="s">
        <v>117</v>
      </c>
    </row>
    <row r="303" spans="1:39" x14ac:dyDescent="0.2">
      <c r="A303" s="2">
        <v>45030.515219907407</v>
      </c>
      <c r="B303" s="2">
        <v>45030.51966435185</v>
      </c>
      <c r="C303" t="s">
        <v>42</v>
      </c>
      <c r="D303" t="s">
        <v>1472</v>
      </c>
      <c r="E303">
        <v>100</v>
      </c>
      <c r="F303">
        <v>384</v>
      </c>
      <c r="G303" t="b">
        <v>1</v>
      </c>
      <c r="H303" s="2">
        <v>45030.519675925927</v>
      </c>
      <c r="I303" t="s">
        <v>1473</v>
      </c>
      <c r="N303">
        <v>32.800800000000002</v>
      </c>
      <c r="O303">
        <v>-96.788399999999996</v>
      </c>
      <c r="P303" t="s">
        <v>111</v>
      </c>
      <c r="Q303" t="s">
        <v>112</v>
      </c>
      <c r="R303" t="s">
        <v>1474</v>
      </c>
      <c r="S303" t="s">
        <v>114</v>
      </c>
      <c r="W303">
        <v>61</v>
      </c>
      <c r="X303" t="s">
        <v>1475</v>
      </c>
      <c r="Z303">
        <v>2</v>
      </c>
      <c r="AD303">
        <v>500</v>
      </c>
      <c r="AE303">
        <v>10</v>
      </c>
      <c r="AF303">
        <v>10</v>
      </c>
      <c r="AG303" t="s">
        <v>1476</v>
      </c>
      <c r="AH303">
        <v>100</v>
      </c>
      <c r="AI303" s="3">
        <v>0.1</v>
      </c>
      <c r="AJ303">
        <v>0.1</v>
      </c>
      <c r="AK303">
        <v>100</v>
      </c>
      <c r="AL303" t="s">
        <v>1474</v>
      </c>
      <c r="AM303" t="s">
        <v>128</v>
      </c>
    </row>
    <row r="304" spans="1:39" x14ac:dyDescent="0.2">
      <c r="A304" s="2">
        <v>45030.510208333333</v>
      </c>
      <c r="B304" s="2">
        <v>45030.519699074073</v>
      </c>
      <c r="C304" t="s">
        <v>42</v>
      </c>
      <c r="D304" t="s">
        <v>1477</v>
      </c>
      <c r="E304">
        <v>100</v>
      </c>
      <c r="F304">
        <v>819</v>
      </c>
      <c r="G304" t="b">
        <v>1</v>
      </c>
      <c r="H304" s="2">
        <v>45030.51971064815</v>
      </c>
      <c r="I304" t="s">
        <v>1478</v>
      </c>
      <c r="N304">
        <v>39.676600000000001</v>
      </c>
      <c r="O304">
        <v>-86.194400000000002</v>
      </c>
      <c r="P304" t="s">
        <v>111</v>
      </c>
      <c r="Q304" t="s">
        <v>112</v>
      </c>
      <c r="R304" t="s">
        <v>1479</v>
      </c>
      <c r="S304" t="s">
        <v>114</v>
      </c>
      <c r="W304">
        <v>10</v>
      </c>
      <c r="X304" t="s">
        <v>1480</v>
      </c>
      <c r="Y304">
        <v>1</v>
      </c>
      <c r="AD304">
        <v>500</v>
      </c>
      <c r="AE304">
        <v>1</v>
      </c>
      <c r="AF304">
        <v>0.1</v>
      </c>
      <c r="AG304">
        <v>20</v>
      </c>
      <c r="AH304">
        <v>100</v>
      </c>
      <c r="AI304">
        <v>50</v>
      </c>
      <c r="AJ304">
        <v>0.1</v>
      </c>
      <c r="AK304">
        <v>5</v>
      </c>
      <c r="AL304" t="s">
        <v>1479</v>
      </c>
      <c r="AM304" t="s">
        <v>117</v>
      </c>
    </row>
    <row r="305" spans="1:39" x14ac:dyDescent="0.2">
      <c r="A305" s="2">
        <v>45030.517013888886</v>
      </c>
      <c r="B305" s="2">
        <v>45030.519907407404</v>
      </c>
      <c r="C305" t="s">
        <v>42</v>
      </c>
      <c r="D305" t="s">
        <v>1481</v>
      </c>
      <c r="E305">
        <v>100</v>
      </c>
      <c r="F305">
        <v>249</v>
      </c>
      <c r="G305" t="b">
        <v>1</v>
      </c>
      <c r="H305" s="2">
        <v>45030.519907407404</v>
      </c>
      <c r="I305" t="s">
        <v>1482</v>
      </c>
      <c r="N305">
        <v>28.534400000000002</v>
      </c>
      <c r="O305">
        <v>-81.378299999999996</v>
      </c>
      <c r="P305" t="s">
        <v>111</v>
      </c>
      <c r="Q305" t="s">
        <v>112</v>
      </c>
      <c r="R305" t="s">
        <v>1483</v>
      </c>
      <c r="S305" t="s">
        <v>114</v>
      </c>
      <c r="T305">
        <v>10</v>
      </c>
      <c r="U305" t="s">
        <v>217</v>
      </c>
      <c r="W305">
        <v>0</v>
      </c>
      <c r="X305" t="s">
        <v>1484</v>
      </c>
      <c r="AD305">
        <v>500</v>
      </c>
      <c r="AE305">
        <v>10</v>
      </c>
      <c r="AF305" s="4">
        <v>1E-3</v>
      </c>
      <c r="AG305" s="3">
        <v>0.2</v>
      </c>
      <c r="AH305">
        <v>100</v>
      </c>
      <c r="AI305" t="s">
        <v>1485</v>
      </c>
      <c r="AJ305" t="s">
        <v>241</v>
      </c>
      <c r="AK305" t="s">
        <v>159</v>
      </c>
      <c r="AL305" t="s">
        <v>1483</v>
      </c>
      <c r="AM305" t="s">
        <v>123</v>
      </c>
    </row>
    <row r="306" spans="1:39" x14ac:dyDescent="0.2">
      <c r="A306" s="2">
        <v>45030.517164351855</v>
      </c>
      <c r="B306" s="2">
        <v>45030.519942129627</v>
      </c>
      <c r="C306" t="s">
        <v>42</v>
      </c>
      <c r="D306" t="s">
        <v>1486</v>
      </c>
      <c r="E306">
        <v>100</v>
      </c>
      <c r="F306">
        <v>240</v>
      </c>
      <c r="G306" t="b">
        <v>1</v>
      </c>
      <c r="H306" s="2">
        <v>45030.519953703704</v>
      </c>
      <c r="I306" t="s">
        <v>1487</v>
      </c>
      <c r="N306">
        <v>25.787299999999998</v>
      </c>
      <c r="O306">
        <v>-80.156400000000005</v>
      </c>
      <c r="P306" t="s">
        <v>111</v>
      </c>
      <c r="Q306" t="s">
        <v>112</v>
      </c>
      <c r="R306" t="s">
        <v>1488</v>
      </c>
      <c r="S306" t="s">
        <v>114</v>
      </c>
      <c r="T306">
        <v>20</v>
      </c>
      <c r="U306">
        <v>1</v>
      </c>
      <c r="W306">
        <v>0</v>
      </c>
      <c r="X306" t="s">
        <v>1489</v>
      </c>
      <c r="AD306">
        <v>500</v>
      </c>
      <c r="AE306">
        <v>10</v>
      </c>
      <c r="AF306">
        <v>0.01</v>
      </c>
      <c r="AG306">
        <v>20</v>
      </c>
      <c r="AH306">
        <v>100</v>
      </c>
      <c r="AI306">
        <v>10</v>
      </c>
      <c r="AJ306" t="s">
        <v>134</v>
      </c>
      <c r="AK306" t="s">
        <v>159</v>
      </c>
      <c r="AL306" t="s">
        <v>1488</v>
      </c>
      <c r="AM306" t="s">
        <v>123</v>
      </c>
    </row>
    <row r="307" spans="1:39" x14ac:dyDescent="0.2">
      <c r="A307" s="2">
        <v>45030.517164351855</v>
      </c>
      <c r="B307" s="2">
        <v>45030.520057870373</v>
      </c>
      <c r="C307" t="s">
        <v>42</v>
      </c>
      <c r="D307" t="s">
        <v>1490</v>
      </c>
      <c r="E307">
        <v>100</v>
      </c>
      <c r="F307">
        <v>249</v>
      </c>
      <c r="G307" t="b">
        <v>1</v>
      </c>
      <c r="H307" s="2">
        <v>45030.520057870373</v>
      </c>
      <c r="I307" t="s">
        <v>1491</v>
      </c>
      <c r="N307">
        <v>38.8476</v>
      </c>
      <c r="O307">
        <v>-77.328100000000006</v>
      </c>
      <c r="P307" t="s">
        <v>111</v>
      </c>
      <c r="Q307" t="s">
        <v>112</v>
      </c>
      <c r="R307" t="s">
        <v>1492</v>
      </c>
      <c r="S307" t="s">
        <v>114</v>
      </c>
      <c r="W307">
        <v>86</v>
      </c>
      <c r="X307" t="s">
        <v>1493</v>
      </c>
      <c r="Y307" t="s">
        <v>1494</v>
      </c>
      <c r="AD307">
        <v>500</v>
      </c>
      <c r="AE307">
        <v>100</v>
      </c>
      <c r="AF307">
        <v>0.01</v>
      </c>
      <c r="AG307" s="3">
        <v>0.2</v>
      </c>
      <c r="AH307">
        <v>100</v>
      </c>
      <c r="AI307">
        <v>10</v>
      </c>
      <c r="AJ307">
        <v>0.5</v>
      </c>
      <c r="AK307">
        <v>100</v>
      </c>
      <c r="AL307" t="s">
        <v>1492</v>
      </c>
      <c r="AM307" t="s">
        <v>117</v>
      </c>
    </row>
    <row r="308" spans="1:39" x14ac:dyDescent="0.2">
      <c r="A308" s="2">
        <v>45030.517604166664</v>
      </c>
      <c r="B308" s="2">
        <v>45030.520185185182</v>
      </c>
      <c r="C308" t="s">
        <v>42</v>
      </c>
      <c r="D308" t="s">
        <v>1495</v>
      </c>
      <c r="E308">
        <v>100</v>
      </c>
      <c r="F308">
        <v>222</v>
      </c>
      <c r="G308" t="b">
        <v>1</v>
      </c>
      <c r="H308" s="2">
        <v>45030.520196759258</v>
      </c>
      <c r="I308" t="s">
        <v>1496</v>
      </c>
      <c r="N308">
        <v>34.345399999999998</v>
      </c>
      <c r="O308">
        <v>-86.274000000000001</v>
      </c>
      <c r="P308" t="s">
        <v>111</v>
      </c>
      <c r="Q308" t="s">
        <v>112</v>
      </c>
      <c r="R308" t="s">
        <v>1497</v>
      </c>
      <c r="S308" t="s">
        <v>114</v>
      </c>
      <c r="W308">
        <v>75</v>
      </c>
      <c r="X308" t="s">
        <v>1498</v>
      </c>
      <c r="Z308">
        <v>2</v>
      </c>
      <c r="AD308">
        <v>500</v>
      </c>
      <c r="AE308">
        <v>10</v>
      </c>
      <c r="AF308">
        <v>0.1</v>
      </c>
      <c r="AG308">
        <v>20</v>
      </c>
      <c r="AH308">
        <v>100</v>
      </c>
      <c r="AI308">
        <v>90</v>
      </c>
      <c r="AJ308">
        <v>0.05</v>
      </c>
      <c r="AK308">
        <v>5</v>
      </c>
      <c r="AL308" t="s">
        <v>1497</v>
      </c>
      <c r="AM308" t="s">
        <v>128</v>
      </c>
    </row>
    <row r="309" spans="1:39" x14ac:dyDescent="0.2">
      <c r="A309" s="2">
        <v>45030.517500000002</v>
      </c>
      <c r="B309" s="2">
        <v>45030.520208333335</v>
      </c>
      <c r="C309" t="s">
        <v>42</v>
      </c>
      <c r="D309" t="s">
        <v>1499</v>
      </c>
      <c r="E309">
        <v>100</v>
      </c>
      <c r="F309">
        <v>233</v>
      </c>
      <c r="G309" t="b">
        <v>1</v>
      </c>
      <c r="H309" s="2">
        <v>45030.520208333335</v>
      </c>
      <c r="I309" t="s">
        <v>1500</v>
      </c>
      <c r="N309">
        <v>42.735500000000002</v>
      </c>
      <c r="O309">
        <v>-89.040499999999994</v>
      </c>
      <c r="P309" t="s">
        <v>111</v>
      </c>
      <c r="Q309" t="s">
        <v>112</v>
      </c>
      <c r="R309" t="s">
        <v>1501</v>
      </c>
      <c r="S309" t="s">
        <v>114</v>
      </c>
      <c r="W309">
        <v>71</v>
      </c>
      <c r="X309" t="s">
        <v>1502</v>
      </c>
      <c r="Y309" t="s">
        <v>389</v>
      </c>
      <c r="AD309">
        <v>500</v>
      </c>
      <c r="AE309">
        <v>10</v>
      </c>
      <c r="AF309">
        <v>0.1</v>
      </c>
      <c r="AG309">
        <v>20</v>
      </c>
      <c r="AH309">
        <v>100</v>
      </c>
      <c r="AI309" t="s">
        <v>1503</v>
      </c>
      <c r="AJ309">
        <v>0.05</v>
      </c>
      <c r="AK309" t="s">
        <v>159</v>
      </c>
      <c r="AL309" t="s">
        <v>1501</v>
      </c>
      <c r="AM309" t="s">
        <v>117</v>
      </c>
    </row>
    <row r="310" spans="1:39" x14ac:dyDescent="0.2">
      <c r="A310" s="2">
        <v>45030.518414351849</v>
      </c>
      <c r="B310" s="2">
        <v>45030.520312499997</v>
      </c>
      <c r="C310" t="s">
        <v>42</v>
      </c>
      <c r="D310" t="s">
        <v>1504</v>
      </c>
      <c r="E310">
        <v>100</v>
      </c>
      <c r="F310">
        <v>164</v>
      </c>
      <c r="G310" t="b">
        <v>1</v>
      </c>
      <c r="H310" s="2">
        <v>45030.520324074074</v>
      </c>
      <c r="I310" t="s">
        <v>1505</v>
      </c>
      <c r="N310">
        <v>37.341700000000003</v>
      </c>
      <c r="O310">
        <v>-121.9753</v>
      </c>
      <c r="P310" t="s">
        <v>111</v>
      </c>
      <c r="Q310" t="s">
        <v>112</v>
      </c>
      <c r="R310" t="s">
        <v>1506</v>
      </c>
      <c r="S310" t="s">
        <v>114</v>
      </c>
      <c r="T310">
        <v>0</v>
      </c>
      <c r="U310">
        <v>3</v>
      </c>
      <c r="W310">
        <v>0</v>
      </c>
      <c r="X310" t="s">
        <v>1507</v>
      </c>
      <c r="AD310">
        <v>700</v>
      </c>
      <c r="AE310">
        <v>1</v>
      </c>
      <c r="AF310">
        <v>0.01</v>
      </c>
      <c r="AG310">
        <v>20</v>
      </c>
      <c r="AH310">
        <v>100</v>
      </c>
      <c r="AI310">
        <v>81</v>
      </c>
      <c r="AJ310">
        <v>5</v>
      </c>
      <c r="AK310">
        <v>5</v>
      </c>
      <c r="AL310" t="s">
        <v>1506</v>
      </c>
      <c r="AM310" t="s">
        <v>123</v>
      </c>
    </row>
    <row r="311" spans="1:39" x14ac:dyDescent="0.2">
      <c r="A311" s="2">
        <v>45030.516192129631</v>
      </c>
      <c r="B311" s="2">
        <v>45030.52039351852</v>
      </c>
      <c r="C311" t="s">
        <v>42</v>
      </c>
      <c r="D311" t="s">
        <v>1508</v>
      </c>
      <c r="E311">
        <v>100</v>
      </c>
      <c r="F311">
        <v>363</v>
      </c>
      <c r="G311" t="b">
        <v>1</v>
      </c>
      <c r="H311" s="2">
        <v>45030.520405092589</v>
      </c>
      <c r="I311" t="s">
        <v>1509</v>
      </c>
      <c r="N311">
        <v>32.360700000000001</v>
      </c>
      <c r="O311">
        <v>-95.309399999999997</v>
      </c>
      <c r="P311" t="s">
        <v>111</v>
      </c>
      <c r="Q311" t="s">
        <v>112</v>
      </c>
      <c r="R311" t="s">
        <v>1510</v>
      </c>
      <c r="S311" t="s">
        <v>114</v>
      </c>
      <c r="W311">
        <v>91</v>
      </c>
      <c r="X311" t="s">
        <v>1511</v>
      </c>
      <c r="Z311">
        <v>0.5</v>
      </c>
      <c r="AD311">
        <v>500</v>
      </c>
      <c r="AE311">
        <v>10</v>
      </c>
      <c r="AF311">
        <v>10</v>
      </c>
      <c r="AG311">
        <v>20</v>
      </c>
      <c r="AH311">
        <v>100</v>
      </c>
      <c r="AI311">
        <v>10</v>
      </c>
      <c r="AJ311">
        <v>0.1</v>
      </c>
      <c r="AK311">
        <v>100</v>
      </c>
      <c r="AL311" t="s">
        <v>1510</v>
      </c>
      <c r="AM311" t="s">
        <v>128</v>
      </c>
    </row>
    <row r="312" spans="1:39" x14ac:dyDescent="0.2">
      <c r="A312" s="2">
        <v>45030.511076388888</v>
      </c>
      <c r="B312" s="2">
        <v>45030.520451388889</v>
      </c>
      <c r="C312" t="s">
        <v>42</v>
      </c>
      <c r="D312" t="s">
        <v>1512</v>
      </c>
      <c r="E312">
        <v>100</v>
      </c>
      <c r="F312">
        <v>809</v>
      </c>
      <c r="G312" t="b">
        <v>1</v>
      </c>
      <c r="H312" s="2">
        <v>45030.520451388889</v>
      </c>
      <c r="I312" t="s">
        <v>1513</v>
      </c>
      <c r="N312">
        <v>39.793199999999999</v>
      </c>
      <c r="O312">
        <v>-86.213200000000001</v>
      </c>
      <c r="P312" t="s">
        <v>111</v>
      </c>
      <c r="Q312" t="s">
        <v>112</v>
      </c>
      <c r="R312" t="s">
        <v>1514</v>
      </c>
      <c r="S312" t="s">
        <v>114</v>
      </c>
      <c r="W312">
        <v>75</v>
      </c>
      <c r="X312" t="s">
        <v>1515</v>
      </c>
      <c r="Z312">
        <v>3</v>
      </c>
      <c r="AD312" t="s">
        <v>1516</v>
      </c>
      <c r="AE312">
        <v>10</v>
      </c>
      <c r="AF312">
        <v>1</v>
      </c>
      <c r="AG312">
        <v>20</v>
      </c>
      <c r="AH312">
        <v>100</v>
      </c>
      <c r="AI312" s="3">
        <v>0.9</v>
      </c>
      <c r="AJ312">
        <v>0.1</v>
      </c>
      <c r="AK312" t="s">
        <v>1517</v>
      </c>
      <c r="AL312" t="s">
        <v>1514</v>
      </c>
      <c r="AM312" t="s">
        <v>128</v>
      </c>
    </row>
    <row r="313" spans="1:39" x14ac:dyDescent="0.2">
      <c r="A313" s="2">
        <v>45030.514976851853</v>
      </c>
      <c r="B313" s="2">
        <v>45030.520474537036</v>
      </c>
      <c r="C313" t="s">
        <v>42</v>
      </c>
      <c r="D313" t="s">
        <v>1518</v>
      </c>
      <c r="E313">
        <v>100</v>
      </c>
      <c r="F313">
        <v>475</v>
      </c>
      <c r="G313" t="b">
        <v>1</v>
      </c>
      <c r="H313" s="2">
        <v>45030.520486111112</v>
      </c>
      <c r="I313" t="s">
        <v>1519</v>
      </c>
      <c r="N313">
        <v>35.763300000000001</v>
      </c>
      <c r="O313">
        <v>-78.709999999999994</v>
      </c>
      <c r="P313" t="s">
        <v>111</v>
      </c>
      <c r="Q313" t="s">
        <v>112</v>
      </c>
      <c r="R313" t="s">
        <v>1520</v>
      </c>
      <c r="S313" t="s">
        <v>114</v>
      </c>
      <c r="W313">
        <v>29</v>
      </c>
      <c r="X313" t="s">
        <v>1521</v>
      </c>
      <c r="AC313" t="s">
        <v>1522</v>
      </c>
      <c r="AD313">
        <v>500</v>
      </c>
      <c r="AE313">
        <v>10</v>
      </c>
      <c r="AF313">
        <v>0.1</v>
      </c>
      <c r="AG313">
        <v>20</v>
      </c>
      <c r="AH313">
        <v>100</v>
      </c>
      <c r="AI313">
        <v>90</v>
      </c>
      <c r="AJ313">
        <v>0.05</v>
      </c>
      <c r="AK313" t="s">
        <v>159</v>
      </c>
      <c r="AL313" t="s">
        <v>1520</v>
      </c>
      <c r="AM313" t="s">
        <v>135</v>
      </c>
    </row>
    <row r="314" spans="1:39" x14ac:dyDescent="0.2">
      <c r="A314" s="2">
        <v>45030.51185185185</v>
      </c>
      <c r="B314" s="2">
        <v>45030.520486111112</v>
      </c>
      <c r="C314" t="s">
        <v>42</v>
      </c>
      <c r="D314" t="s">
        <v>1523</v>
      </c>
      <c r="E314">
        <v>100</v>
      </c>
      <c r="F314">
        <v>745</v>
      </c>
      <c r="G314" t="b">
        <v>1</v>
      </c>
      <c r="H314" s="2">
        <v>45030.520486111112</v>
      </c>
      <c r="I314" t="s">
        <v>1524</v>
      </c>
      <c r="N314">
        <v>37.805100000000003</v>
      </c>
      <c r="O314">
        <v>-122.27200000000001</v>
      </c>
      <c r="P314" t="s">
        <v>111</v>
      </c>
      <c r="Q314" t="s">
        <v>112</v>
      </c>
      <c r="R314" t="s">
        <v>1525</v>
      </c>
      <c r="S314" t="s">
        <v>114</v>
      </c>
      <c r="W314">
        <v>71</v>
      </c>
      <c r="X314" t="s">
        <v>1526</v>
      </c>
      <c r="Y314">
        <v>1</v>
      </c>
      <c r="AD314">
        <v>500</v>
      </c>
      <c r="AE314">
        <v>10</v>
      </c>
      <c r="AF314">
        <v>0.01</v>
      </c>
      <c r="AG314">
        <v>20</v>
      </c>
      <c r="AH314">
        <v>100</v>
      </c>
      <c r="AI314" s="3">
        <v>0.09</v>
      </c>
      <c r="AJ314">
        <v>0.1</v>
      </c>
      <c r="AK314" t="s">
        <v>164</v>
      </c>
      <c r="AL314" t="s">
        <v>1525</v>
      </c>
      <c r="AM314" t="s">
        <v>117</v>
      </c>
    </row>
    <row r="315" spans="1:39" x14ac:dyDescent="0.2">
      <c r="A315" s="2">
        <v>45030.518553240741</v>
      </c>
      <c r="B315" s="2">
        <v>45030.520497685182</v>
      </c>
      <c r="C315" t="s">
        <v>42</v>
      </c>
      <c r="D315" t="s">
        <v>1527</v>
      </c>
      <c r="E315">
        <v>100</v>
      </c>
      <c r="F315">
        <v>167</v>
      </c>
      <c r="G315" t="b">
        <v>1</v>
      </c>
      <c r="H315" s="2">
        <v>45030.520497685182</v>
      </c>
      <c r="I315" t="s">
        <v>1528</v>
      </c>
      <c r="N315">
        <v>44.554200000000002</v>
      </c>
      <c r="O315">
        <v>-69.617900000000006</v>
      </c>
      <c r="P315" t="s">
        <v>111</v>
      </c>
      <c r="Q315" t="s">
        <v>112</v>
      </c>
      <c r="R315" t="s">
        <v>1529</v>
      </c>
      <c r="S315" t="s">
        <v>114</v>
      </c>
      <c r="W315">
        <v>80</v>
      </c>
      <c r="X315" t="s">
        <v>1530</v>
      </c>
      <c r="AB315">
        <v>0.5</v>
      </c>
      <c r="AD315">
        <v>500</v>
      </c>
      <c r="AE315">
        <v>10</v>
      </c>
      <c r="AF315">
        <v>0.01</v>
      </c>
      <c r="AG315">
        <v>20</v>
      </c>
      <c r="AH315">
        <v>100</v>
      </c>
      <c r="AI315">
        <v>80</v>
      </c>
      <c r="AJ315">
        <v>10</v>
      </c>
      <c r="AK315" t="s">
        <v>159</v>
      </c>
      <c r="AL315" t="s">
        <v>1529</v>
      </c>
      <c r="AM315" t="s">
        <v>135</v>
      </c>
    </row>
    <row r="316" spans="1:39" x14ac:dyDescent="0.2">
      <c r="A316" s="2">
        <v>45030.517500000002</v>
      </c>
      <c r="B316" s="2">
        <v>45030.520497685182</v>
      </c>
      <c r="C316" t="s">
        <v>42</v>
      </c>
      <c r="D316" t="s">
        <v>1531</v>
      </c>
      <c r="E316">
        <v>100</v>
      </c>
      <c r="F316">
        <v>259</v>
      </c>
      <c r="G316" t="b">
        <v>1</v>
      </c>
      <c r="H316" s="2">
        <v>45030.520509259259</v>
      </c>
      <c r="I316" t="s">
        <v>1532</v>
      </c>
      <c r="N316">
        <v>40.703800000000001</v>
      </c>
      <c r="O316">
        <v>-111.5437</v>
      </c>
      <c r="P316" t="s">
        <v>111</v>
      </c>
      <c r="Q316" t="s">
        <v>112</v>
      </c>
      <c r="R316" t="s">
        <v>1533</v>
      </c>
      <c r="S316" t="s">
        <v>114</v>
      </c>
      <c r="W316">
        <v>68</v>
      </c>
      <c r="X316" t="s">
        <v>1534</v>
      </c>
      <c r="Y316" t="s">
        <v>1535</v>
      </c>
      <c r="AD316">
        <v>500</v>
      </c>
      <c r="AE316">
        <v>10</v>
      </c>
      <c r="AF316">
        <v>1E-3</v>
      </c>
      <c r="AG316">
        <v>20</v>
      </c>
      <c r="AH316">
        <v>100</v>
      </c>
      <c r="AI316" s="3">
        <v>0.1</v>
      </c>
      <c r="AJ316">
        <v>0.05</v>
      </c>
      <c r="AK316" t="s">
        <v>159</v>
      </c>
      <c r="AL316" t="s">
        <v>1533</v>
      </c>
      <c r="AM316" t="s">
        <v>117</v>
      </c>
    </row>
    <row r="317" spans="1:39" x14ac:dyDescent="0.2">
      <c r="A317" s="2">
        <v>45030.513564814813</v>
      </c>
      <c r="B317" s="2">
        <v>45030.520509259259</v>
      </c>
      <c r="C317" t="s">
        <v>42</v>
      </c>
      <c r="D317" t="s">
        <v>1536</v>
      </c>
      <c r="E317">
        <v>100</v>
      </c>
      <c r="F317">
        <v>599</v>
      </c>
      <c r="G317" t="b">
        <v>1</v>
      </c>
      <c r="H317" s="2">
        <v>45030.520520833335</v>
      </c>
      <c r="I317" t="s">
        <v>1537</v>
      </c>
      <c r="N317">
        <v>42.462200000000003</v>
      </c>
      <c r="O317">
        <v>-83.3994</v>
      </c>
      <c r="P317" t="s">
        <v>111</v>
      </c>
      <c r="Q317" t="s">
        <v>112</v>
      </c>
      <c r="R317" t="s">
        <v>1538</v>
      </c>
      <c r="S317" t="s">
        <v>114</v>
      </c>
      <c r="W317">
        <v>8</v>
      </c>
      <c r="X317" t="s">
        <v>1539</v>
      </c>
      <c r="AA317" t="s">
        <v>1540</v>
      </c>
      <c r="AD317">
        <v>500</v>
      </c>
      <c r="AE317">
        <v>10</v>
      </c>
      <c r="AF317">
        <v>1E-3</v>
      </c>
      <c r="AG317">
        <v>20</v>
      </c>
      <c r="AH317">
        <v>100</v>
      </c>
      <c r="AI317">
        <v>10</v>
      </c>
      <c r="AJ317">
        <v>5</v>
      </c>
      <c r="AK317">
        <v>5</v>
      </c>
      <c r="AL317" t="s">
        <v>1538</v>
      </c>
      <c r="AM317" t="s">
        <v>128</v>
      </c>
    </row>
    <row r="318" spans="1:39" x14ac:dyDescent="0.2">
      <c r="A318" s="2">
        <v>45030.517951388887</v>
      </c>
      <c r="B318" s="2">
        <v>45030.520520833335</v>
      </c>
      <c r="C318" t="s">
        <v>42</v>
      </c>
      <c r="D318" t="s">
        <v>1541</v>
      </c>
      <c r="E318">
        <v>100</v>
      </c>
      <c r="F318">
        <v>222</v>
      </c>
      <c r="G318" t="b">
        <v>1</v>
      </c>
      <c r="H318" s="2">
        <v>45030.520520833335</v>
      </c>
      <c r="I318" t="s">
        <v>1542</v>
      </c>
      <c r="N318">
        <v>36.035800000000002</v>
      </c>
      <c r="O318">
        <v>-79.507499999999993</v>
      </c>
      <c r="P318" t="s">
        <v>111</v>
      </c>
      <c r="Q318" t="s">
        <v>112</v>
      </c>
      <c r="R318" t="s">
        <v>1543</v>
      </c>
      <c r="S318" t="s">
        <v>114</v>
      </c>
      <c r="W318">
        <v>70</v>
      </c>
      <c r="X318" t="s">
        <v>1544</v>
      </c>
      <c r="AB318">
        <v>1</v>
      </c>
      <c r="AD318">
        <v>500</v>
      </c>
      <c r="AE318">
        <v>10</v>
      </c>
      <c r="AF318" s="4">
        <v>1E-3</v>
      </c>
      <c r="AG318">
        <v>20</v>
      </c>
      <c r="AH318">
        <v>100</v>
      </c>
      <c r="AI318" s="3">
        <v>0.9</v>
      </c>
      <c r="AJ318" s="5">
        <v>0.5</v>
      </c>
      <c r="AK318" t="s">
        <v>385</v>
      </c>
      <c r="AL318" t="s">
        <v>1543</v>
      </c>
      <c r="AM318" t="s">
        <v>135</v>
      </c>
    </row>
    <row r="319" spans="1:39" x14ac:dyDescent="0.2">
      <c r="A319" s="2">
        <v>45030.517442129632</v>
      </c>
      <c r="B319" s="2">
        <v>45030.520543981482</v>
      </c>
      <c r="C319" t="s">
        <v>42</v>
      </c>
      <c r="D319" t="s">
        <v>1545</v>
      </c>
      <c r="E319">
        <v>100</v>
      </c>
      <c r="F319">
        <v>267</v>
      </c>
      <c r="G319" t="b">
        <v>1</v>
      </c>
      <c r="H319" s="2">
        <v>45030.520543981482</v>
      </c>
      <c r="I319" t="s">
        <v>1546</v>
      </c>
      <c r="N319">
        <v>42.009399999999999</v>
      </c>
      <c r="O319">
        <v>-87.835400000000007</v>
      </c>
      <c r="P319" t="s">
        <v>111</v>
      </c>
      <c r="Q319" t="s">
        <v>112</v>
      </c>
      <c r="R319" t="s">
        <v>1547</v>
      </c>
      <c r="S319" t="s">
        <v>114</v>
      </c>
      <c r="W319">
        <v>11</v>
      </c>
      <c r="X319" t="s">
        <v>1548</v>
      </c>
      <c r="AC319">
        <v>3</v>
      </c>
      <c r="AD319">
        <v>500</v>
      </c>
      <c r="AE319">
        <v>10</v>
      </c>
      <c r="AF319">
        <v>0.1</v>
      </c>
      <c r="AG319">
        <v>20</v>
      </c>
      <c r="AH319">
        <v>100</v>
      </c>
      <c r="AI319" s="3">
        <v>0.5</v>
      </c>
      <c r="AJ319" s="5">
        <v>0.05</v>
      </c>
      <c r="AK319" t="s">
        <v>159</v>
      </c>
      <c r="AL319" t="s">
        <v>1547</v>
      </c>
      <c r="AM319" t="s">
        <v>135</v>
      </c>
    </row>
    <row r="320" spans="1:39" x14ac:dyDescent="0.2">
      <c r="A320" s="2">
        <v>45030.516261574077</v>
      </c>
      <c r="B320" s="2">
        <v>45030.520648148151</v>
      </c>
      <c r="C320" t="s">
        <v>42</v>
      </c>
      <c r="D320" t="s">
        <v>1549</v>
      </c>
      <c r="E320">
        <v>100</v>
      </c>
      <c r="F320">
        <v>379</v>
      </c>
      <c r="G320" t="b">
        <v>1</v>
      </c>
      <c r="H320" s="2">
        <v>45030.52065972222</v>
      </c>
      <c r="I320" t="s">
        <v>1550</v>
      </c>
      <c r="N320">
        <v>38.053100000000001</v>
      </c>
      <c r="O320">
        <v>-77.337699999999998</v>
      </c>
      <c r="P320" t="s">
        <v>111</v>
      </c>
      <c r="Q320" t="s">
        <v>112</v>
      </c>
      <c r="R320" t="s">
        <v>1551</v>
      </c>
      <c r="S320" t="s">
        <v>114</v>
      </c>
      <c r="W320">
        <v>90</v>
      </c>
      <c r="X320" t="s">
        <v>1552</v>
      </c>
      <c r="Z320" t="s">
        <v>1553</v>
      </c>
      <c r="AD320">
        <v>500</v>
      </c>
      <c r="AE320">
        <v>10</v>
      </c>
      <c r="AF320" s="3">
        <v>0.01</v>
      </c>
      <c r="AG320" s="3">
        <v>0.2</v>
      </c>
      <c r="AH320">
        <v>100</v>
      </c>
      <c r="AI320" s="3">
        <v>0.09</v>
      </c>
      <c r="AJ320">
        <v>0.05</v>
      </c>
      <c r="AK320" t="s">
        <v>159</v>
      </c>
      <c r="AL320" t="s">
        <v>1551</v>
      </c>
      <c r="AM320" t="s">
        <v>128</v>
      </c>
    </row>
    <row r="321" spans="1:39" x14ac:dyDescent="0.2">
      <c r="A321" s="2">
        <v>45030.518726851849</v>
      </c>
      <c r="B321" s="2">
        <v>45030.520682870374</v>
      </c>
      <c r="C321" t="s">
        <v>42</v>
      </c>
      <c r="D321" t="s">
        <v>1554</v>
      </c>
      <c r="E321">
        <v>100</v>
      </c>
      <c r="F321">
        <v>169</v>
      </c>
      <c r="G321" t="b">
        <v>1</v>
      </c>
      <c r="H321" s="2">
        <v>45030.520694444444</v>
      </c>
      <c r="I321" t="s">
        <v>1555</v>
      </c>
      <c r="N321">
        <v>42.043900000000001</v>
      </c>
      <c r="O321">
        <v>-88.086100000000002</v>
      </c>
      <c r="P321" t="s">
        <v>111</v>
      </c>
      <c r="Q321" t="s">
        <v>112</v>
      </c>
      <c r="R321" t="s">
        <v>1556</v>
      </c>
      <c r="S321" t="s">
        <v>114</v>
      </c>
      <c r="T321">
        <v>92</v>
      </c>
      <c r="V321">
        <v>1</v>
      </c>
      <c r="W321">
        <v>99</v>
      </c>
      <c r="X321" t="s">
        <v>1557</v>
      </c>
      <c r="AD321">
        <v>333</v>
      </c>
      <c r="AE321">
        <v>10</v>
      </c>
      <c r="AF321">
        <v>1</v>
      </c>
      <c r="AG321">
        <v>20</v>
      </c>
      <c r="AH321">
        <v>100</v>
      </c>
      <c r="AI321">
        <v>5</v>
      </c>
      <c r="AJ321">
        <v>0.05</v>
      </c>
      <c r="AK321">
        <v>5</v>
      </c>
      <c r="AL321" t="s">
        <v>1556</v>
      </c>
      <c r="AM321" t="s">
        <v>123</v>
      </c>
    </row>
    <row r="322" spans="1:39" x14ac:dyDescent="0.2">
      <c r="A322" s="2">
        <v>45030.517557870371</v>
      </c>
      <c r="B322" s="2">
        <v>45030.52070601852</v>
      </c>
      <c r="C322" t="s">
        <v>42</v>
      </c>
      <c r="D322" t="s">
        <v>1558</v>
      </c>
      <c r="E322">
        <v>100</v>
      </c>
      <c r="F322">
        <v>272</v>
      </c>
      <c r="G322" t="b">
        <v>1</v>
      </c>
      <c r="H322" s="2">
        <v>45030.52071759259</v>
      </c>
      <c r="I322" t="s">
        <v>1559</v>
      </c>
      <c r="N322">
        <v>37.457700000000003</v>
      </c>
      <c r="O322">
        <v>-122.1957</v>
      </c>
      <c r="P322" t="s">
        <v>111</v>
      </c>
      <c r="Q322" t="s">
        <v>112</v>
      </c>
      <c r="R322" s="6" t="s">
        <v>1560</v>
      </c>
      <c r="S322" t="s">
        <v>114</v>
      </c>
      <c r="T322">
        <v>9</v>
      </c>
      <c r="U322">
        <v>2</v>
      </c>
      <c r="W322">
        <v>0</v>
      </c>
      <c r="X322" t="s">
        <v>1561</v>
      </c>
      <c r="AD322">
        <v>500</v>
      </c>
      <c r="AE322">
        <v>10</v>
      </c>
      <c r="AF322" s="3">
        <v>0.01</v>
      </c>
      <c r="AG322" s="3">
        <v>0.2</v>
      </c>
      <c r="AH322">
        <v>100</v>
      </c>
      <c r="AI322" s="3">
        <v>0.9</v>
      </c>
      <c r="AJ322">
        <v>0.1</v>
      </c>
      <c r="AK322" t="s">
        <v>159</v>
      </c>
      <c r="AL322" s="6" t="s">
        <v>1560</v>
      </c>
      <c r="AM322" t="s">
        <v>123</v>
      </c>
    </row>
    <row r="323" spans="1:39" x14ac:dyDescent="0.2">
      <c r="A323" s="2">
        <v>45030.517164351855</v>
      </c>
      <c r="B323" s="2">
        <v>45030.52070601852</v>
      </c>
      <c r="C323" t="s">
        <v>42</v>
      </c>
      <c r="D323" t="s">
        <v>1562</v>
      </c>
      <c r="E323">
        <v>100</v>
      </c>
      <c r="F323">
        <v>306</v>
      </c>
      <c r="G323" t="b">
        <v>1</v>
      </c>
      <c r="H323" s="2">
        <v>45030.52071759259</v>
      </c>
      <c r="I323" t="s">
        <v>1563</v>
      </c>
      <c r="N323">
        <v>40.232900000000001</v>
      </c>
      <c r="O323">
        <v>-111.6688</v>
      </c>
      <c r="P323" t="s">
        <v>111</v>
      </c>
      <c r="Q323" t="s">
        <v>112</v>
      </c>
      <c r="R323" t="s">
        <v>1564</v>
      </c>
      <c r="S323" t="s">
        <v>114</v>
      </c>
      <c r="W323">
        <v>74</v>
      </c>
      <c r="X323" t="s">
        <v>1565</v>
      </c>
      <c r="Z323" t="s">
        <v>1566</v>
      </c>
      <c r="AD323" t="s">
        <v>534</v>
      </c>
      <c r="AE323" t="s">
        <v>535</v>
      </c>
      <c r="AF323" s="4">
        <v>1E-3</v>
      </c>
      <c r="AG323" s="3">
        <v>0.2</v>
      </c>
      <c r="AH323">
        <v>100</v>
      </c>
      <c r="AI323" s="3">
        <v>0.82</v>
      </c>
      <c r="AJ323" t="s">
        <v>241</v>
      </c>
      <c r="AK323" t="s">
        <v>164</v>
      </c>
      <c r="AL323" t="s">
        <v>1564</v>
      </c>
      <c r="AM323" t="s">
        <v>128</v>
      </c>
    </row>
    <row r="324" spans="1:39" x14ac:dyDescent="0.2">
      <c r="A324" s="2">
        <v>45030.51017361111</v>
      </c>
      <c r="B324" s="2">
        <v>45030.520729166667</v>
      </c>
      <c r="C324" t="s">
        <v>42</v>
      </c>
      <c r="D324" t="s">
        <v>1567</v>
      </c>
      <c r="E324">
        <v>100</v>
      </c>
      <c r="F324">
        <v>911</v>
      </c>
      <c r="G324" t="b">
        <v>1</v>
      </c>
      <c r="H324" s="2">
        <v>45030.520729166667</v>
      </c>
      <c r="I324" t="s">
        <v>1568</v>
      </c>
      <c r="N324">
        <v>46.6828</v>
      </c>
      <c r="O324">
        <v>-68.016900000000007</v>
      </c>
      <c r="P324" t="s">
        <v>111</v>
      </c>
      <c r="Q324" t="s">
        <v>112</v>
      </c>
      <c r="R324" t="s">
        <v>1569</v>
      </c>
      <c r="S324" t="s">
        <v>114</v>
      </c>
      <c r="W324">
        <v>60</v>
      </c>
      <c r="X324" t="s">
        <v>1570</v>
      </c>
      <c r="Z324" t="s">
        <v>1571</v>
      </c>
      <c r="AD324" t="s">
        <v>1572</v>
      </c>
      <c r="AE324" t="s">
        <v>1573</v>
      </c>
      <c r="AF324" s="4">
        <v>1E-3</v>
      </c>
      <c r="AG324" s="3">
        <v>0.2</v>
      </c>
      <c r="AH324">
        <v>100</v>
      </c>
      <c r="AI324" s="3">
        <v>0.5</v>
      </c>
      <c r="AJ324" s="5">
        <v>0.05</v>
      </c>
      <c r="AK324" t="s">
        <v>164</v>
      </c>
      <c r="AL324" t="s">
        <v>1569</v>
      </c>
      <c r="AM324" t="s">
        <v>128</v>
      </c>
    </row>
    <row r="325" spans="1:39" x14ac:dyDescent="0.2">
      <c r="A325" s="2">
        <v>45030.510879629626</v>
      </c>
      <c r="B325" s="2">
        <v>45030.520879629628</v>
      </c>
      <c r="C325" t="s">
        <v>42</v>
      </c>
      <c r="D325" t="s">
        <v>1574</v>
      </c>
      <c r="E325">
        <v>100</v>
      </c>
      <c r="F325">
        <v>863</v>
      </c>
      <c r="G325" t="b">
        <v>1</v>
      </c>
      <c r="H325" s="2">
        <v>45030.520879629628</v>
      </c>
      <c r="I325" t="s">
        <v>1575</v>
      </c>
      <c r="N325">
        <v>30.005299999999998</v>
      </c>
      <c r="O325">
        <v>-91.822599999999994</v>
      </c>
      <c r="P325" t="s">
        <v>111</v>
      </c>
      <c r="Q325" t="s">
        <v>112</v>
      </c>
      <c r="R325" t="s">
        <v>1576</v>
      </c>
      <c r="S325" t="s">
        <v>114</v>
      </c>
      <c r="T325">
        <v>68</v>
      </c>
      <c r="V325">
        <v>0.2</v>
      </c>
      <c r="W325">
        <v>62</v>
      </c>
      <c r="X325" t="s">
        <v>1577</v>
      </c>
      <c r="AD325" t="s">
        <v>1578</v>
      </c>
      <c r="AE325" t="s">
        <v>1579</v>
      </c>
      <c r="AF325" t="s">
        <v>1580</v>
      </c>
      <c r="AG325" s="3">
        <v>0.2</v>
      </c>
      <c r="AH325">
        <v>10</v>
      </c>
      <c r="AI325" s="3">
        <v>0.18</v>
      </c>
      <c r="AJ325" t="s">
        <v>241</v>
      </c>
      <c r="AK325" t="s">
        <v>159</v>
      </c>
      <c r="AL325" t="s">
        <v>1576</v>
      </c>
      <c r="AM325" t="s">
        <v>123</v>
      </c>
    </row>
    <row r="326" spans="1:39" x14ac:dyDescent="0.2">
      <c r="A326" s="2">
        <v>45030.518622685187</v>
      </c>
      <c r="B326" s="2">
        <v>45030.520983796298</v>
      </c>
      <c r="C326" t="s">
        <v>42</v>
      </c>
      <c r="D326" t="s">
        <v>1581</v>
      </c>
      <c r="E326">
        <v>100</v>
      </c>
      <c r="F326">
        <v>203</v>
      </c>
      <c r="G326" t="b">
        <v>1</v>
      </c>
      <c r="H326" s="2">
        <v>45030.520995370367</v>
      </c>
      <c r="I326" t="s">
        <v>1582</v>
      </c>
      <c r="N326">
        <v>42.311999999999998</v>
      </c>
      <c r="O326">
        <v>-71.108099999999993</v>
      </c>
      <c r="P326" t="s">
        <v>111</v>
      </c>
      <c r="Q326" t="s">
        <v>112</v>
      </c>
      <c r="R326" t="s">
        <v>1583</v>
      </c>
      <c r="S326" t="s">
        <v>114</v>
      </c>
      <c r="W326">
        <v>59</v>
      </c>
      <c r="X326" t="s">
        <v>1584</v>
      </c>
      <c r="Y326">
        <v>2</v>
      </c>
      <c r="AD326">
        <v>50</v>
      </c>
      <c r="AE326">
        <v>10</v>
      </c>
      <c r="AF326">
        <v>10</v>
      </c>
      <c r="AG326">
        <v>20</v>
      </c>
      <c r="AH326">
        <v>100</v>
      </c>
      <c r="AI326" t="s">
        <v>1585</v>
      </c>
      <c r="AJ326" s="5">
        <v>0.1</v>
      </c>
      <c r="AK326">
        <v>100</v>
      </c>
      <c r="AL326" t="s">
        <v>1583</v>
      </c>
      <c r="AM326" t="s">
        <v>117</v>
      </c>
    </row>
    <row r="327" spans="1:39" x14ac:dyDescent="0.2">
      <c r="A327" s="2">
        <v>45030.515555555554</v>
      </c>
      <c r="B327" s="2">
        <v>45030.520995370367</v>
      </c>
      <c r="C327" t="s">
        <v>42</v>
      </c>
      <c r="D327" t="s">
        <v>1586</v>
      </c>
      <c r="E327">
        <v>100</v>
      </c>
      <c r="F327">
        <v>470</v>
      </c>
      <c r="G327" t="b">
        <v>1</v>
      </c>
      <c r="H327" s="2">
        <v>45030.521006944444</v>
      </c>
      <c r="I327" t="s">
        <v>1587</v>
      </c>
      <c r="N327">
        <v>41.613300000000002</v>
      </c>
      <c r="O327">
        <v>-87.044600000000003</v>
      </c>
      <c r="P327" t="s">
        <v>111</v>
      </c>
      <c r="Q327" t="s">
        <v>112</v>
      </c>
      <c r="R327" t="s">
        <v>1588</v>
      </c>
      <c r="S327" t="s">
        <v>114</v>
      </c>
      <c r="W327">
        <v>19</v>
      </c>
      <c r="X327" t="s">
        <v>1589</v>
      </c>
      <c r="AA327" t="s">
        <v>1590</v>
      </c>
      <c r="AD327" s="3">
        <v>0.5</v>
      </c>
      <c r="AE327">
        <v>10</v>
      </c>
      <c r="AF327" s="3">
        <v>0.1</v>
      </c>
      <c r="AG327">
        <v>20</v>
      </c>
      <c r="AH327">
        <v>100</v>
      </c>
      <c r="AI327" s="3">
        <v>0.09</v>
      </c>
      <c r="AJ327" t="s">
        <v>134</v>
      </c>
      <c r="AK327">
        <v>5</v>
      </c>
      <c r="AL327" t="s">
        <v>1588</v>
      </c>
      <c r="AM327" t="s">
        <v>128</v>
      </c>
    </row>
    <row r="328" spans="1:39" x14ac:dyDescent="0.2">
      <c r="A328" s="2">
        <v>45030.516643518517</v>
      </c>
      <c r="B328" s="2">
        <v>45030.521006944444</v>
      </c>
      <c r="C328" t="s">
        <v>42</v>
      </c>
      <c r="D328" t="s">
        <v>1591</v>
      </c>
      <c r="E328">
        <v>100</v>
      </c>
      <c r="F328">
        <v>377</v>
      </c>
      <c r="G328" t="b">
        <v>1</v>
      </c>
      <c r="H328" s="2">
        <v>45030.521006944444</v>
      </c>
      <c r="I328" t="s">
        <v>1592</v>
      </c>
      <c r="N328">
        <v>37.9998</v>
      </c>
      <c r="O328">
        <v>-120.3267</v>
      </c>
      <c r="P328" t="s">
        <v>111</v>
      </c>
      <c r="Q328" t="s">
        <v>112</v>
      </c>
      <c r="R328" t="s">
        <v>1593</v>
      </c>
      <c r="S328" t="s">
        <v>114</v>
      </c>
      <c r="W328">
        <v>60</v>
      </c>
      <c r="X328" t="s">
        <v>1594</v>
      </c>
      <c r="AB328">
        <v>10</v>
      </c>
      <c r="AD328">
        <v>120</v>
      </c>
      <c r="AE328">
        <v>10</v>
      </c>
      <c r="AF328">
        <v>100</v>
      </c>
      <c r="AG328">
        <v>20</v>
      </c>
      <c r="AH328">
        <v>10</v>
      </c>
      <c r="AI328" t="s">
        <v>1595</v>
      </c>
      <c r="AJ328">
        <v>5</v>
      </c>
      <c r="AK328">
        <v>5</v>
      </c>
      <c r="AL328" t="s">
        <v>1593</v>
      </c>
      <c r="AM328" t="s">
        <v>135</v>
      </c>
    </row>
    <row r="329" spans="1:39" x14ac:dyDescent="0.2">
      <c r="A329" s="2">
        <v>45030.516377314816</v>
      </c>
      <c r="B329" s="2">
        <v>45030.520995370367</v>
      </c>
      <c r="C329" t="s">
        <v>42</v>
      </c>
      <c r="D329" t="s">
        <v>1596</v>
      </c>
      <c r="E329">
        <v>100</v>
      </c>
      <c r="F329">
        <v>398</v>
      </c>
      <c r="G329" t="b">
        <v>1</v>
      </c>
      <c r="H329" s="2">
        <v>45030.521018518521</v>
      </c>
      <c r="I329" t="s">
        <v>1597</v>
      </c>
      <c r="N329">
        <v>32.482300000000002</v>
      </c>
      <c r="O329">
        <v>-93.733199999999997</v>
      </c>
      <c r="P329" t="s">
        <v>111</v>
      </c>
      <c r="Q329" t="s">
        <v>112</v>
      </c>
      <c r="R329" t="s">
        <v>1598</v>
      </c>
      <c r="S329" t="s">
        <v>114</v>
      </c>
      <c r="W329">
        <v>100</v>
      </c>
      <c r="X329" t="s">
        <v>1599</v>
      </c>
      <c r="Y329" s="3">
        <v>0.23</v>
      </c>
      <c r="AD329">
        <v>660</v>
      </c>
      <c r="AE329">
        <v>10</v>
      </c>
      <c r="AF329">
        <v>0.01</v>
      </c>
      <c r="AG329">
        <v>20</v>
      </c>
      <c r="AH329">
        <v>100</v>
      </c>
      <c r="AI329" s="3">
        <v>0.9</v>
      </c>
      <c r="AJ329">
        <v>0.1</v>
      </c>
      <c r="AK329">
        <v>100</v>
      </c>
      <c r="AL329" t="s">
        <v>1598</v>
      </c>
      <c r="AM329" t="s">
        <v>117</v>
      </c>
    </row>
    <row r="330" spans="1:39" x14ac:dyDescent="0.2">
      <c r="A330" s="2">
        <v>45030.517743055556</v>
      </c>
      <c r="B330" s="2">
        <v>45030.52103009259</v>
      </c>
      <c r="C330" t="s">
        <v>42</v>
      </c>
      <c r="D330" t="s">
        <v>1600</v>
      </c>
      <c r="E330">
        <v>100</v>
      </c>
      <c r="F330">
        <v>284</v>
      </c>
      <c r="G330" t="b">
        <v>1</v>
      </c>
      <c r="H330" s="2">
        <v>45030.521041666667</v>
      </c>
      <c r="I330" t="s">
        <v>1601</v>
      </c>
      <c r="N330">
        <v>39.907200000000003</v>
      </c>
      <c r="O330">
        <v>-82.755300000000005</v>
      </c>
      <c r="P330" t="s">
        <v>111</v>
      </c>
      <c r="Q330" t="s">
        <v>112</v>
      </c>
      <c r="R330" t="s">
        <v>1602</v>
      </c>
      <c r="S330" t="s">
        <v>114</v>
      </c>
      <c r="W330">
        <v>19</v>
      </c>
      <c r="X330" t="s">
        <v>1603</v>
      </c>
      <c r="AC330">
        <v>0.5</v>
      </c>
      <c r="AD330">
        <v>500</v>
      </c>
      <c r="AE330">
        <v>10</v>
      </c>
      <c r="AF330">
        <v>0.1</v>
      </c>
      <c r="AG330">
        <v>20</v>
      </c>
      <c r="AH330">
        <v>100</v>
      </c>
      <c r="AI330" s="3">
        <v>0.5</v>
      </c>
      <c r="AJ330">
        <v>0.05</v>
      </c>
      <c r="AK330">
        <v>5</v>
      </c>
      <c r="AL330" t="s">
        <v>1602</v>
      </c>
      <c r="AM330" t="s">
        <v>135</v>
      </c>
    </row>
    <row r="331" spans="1:39" x14ac:dyDescent="0.2">
      <c r="A331" s="2">
        <v>45030.515023148146</v>
      </c>
      <c r="B331" s="2">
        <v>45030.521099537036</v>
      </c>
      <c r="C331" t="s">
        <v>42</v>
      </c>
      <c r="D331" t="s">
        <v>1604</v>
      </c>
      <c r="E331">
        <v>100</v>
      </c>
      <c r="F331">
        <v>525</v>
      </c>
      <c r="G331" t="b">
        <v>1</v>
      </c>
      <c r="H331" s="2">
        <v>45030.521111111113</v>
      </c>
      <c r="I331" t="s">
        <v>1605</v>
      </c>
      <c r="N331">
        <v>42.111199999999997</v>
      </c>
      <c r="O331">
        <v>-88.043899999999994</v>
      </c>
      <c r="P331" t="s">
        <v>111</v>
      </c>
      <c r="Q331" t="s">
        <v>112</v>
      </c>
      <c r="R331" t="s">
        <v>1606</v>
      </c>
      <c r="S331" t="s">
        <v>114</v>
      </c>
      <c r="W331">
        <v>36</v>
      </c>
      <c r="X331" t="s">
        <v>1607</v>
      </c>
      <c r="AA331">
        <v>0</v>
      </c>
      <c r="AD331">
        <v>500</v>
      </c>
      <c r="AE331">
        <v>10</v>
      </c>
      <c r="AF331">
        <v>0.1</v>
      </c>
      <c r="AG331">
        <v>20</v>
      </c>
      <c r="AH331">
        <v>100</v>
      </c>
      <c r="AI331" s="3">
        <v>0.5</v>
      </c>
      <c r="AJ331">
        <v>0.05</v>
      </c>
      <c r="AK331" t="s">
        <v>208</v>
      </c>
      <c r="AL331" t="s">
        <v>1606</v>
      </c>
      <c r="AM331" t="s">
        <v>128</v>
      </c>
    </row>
    <row r="332" spans="1:39" x14ac:dyDescent="0.2">
      <c r="A332" s="2">
        <v>45030.517187500001</v>
      </c>
      <c r="B332" s="2">
        <v>45030.521180555559</v>
      </c>
      <c r="C332" t="s">
        <v>42</v>
      </c>
      <c r="D332" t="s">
        <v>1608</v>
      </c>
      <c r="E332">
        <v>100</v>
      </c>
      <c r="F332">
        <v>344</v>
      </c>
      <c r="G332" t="b">
        <v>1</v>
      </c>
      <c r="H332" s="2">
        <v>45030.521192129629</v>
      </c>
      <c r="I332" t="s">
        <v>1609</v>
      </c>
      <c r="N332">
        <v>33.933199999999999</v>
      </c>
      <c r="O332">
        <v>-83.3536</v>
      </c>
      <c r="P332" t="s">
        <v>111</v>
      </c>
      <c r="Q332" t="s">
        <v>112</v>
      </c>
      <c r="R332" t="s">
        <v>1610</v>
      </c>
      <c r="S332" t="s">
        <v>114</v>
      </c>
      <c r="W332">
        <v>66</v>
      </c>
      <c r="X332" t="s">
        <v>1611</v>
      </c>
      <c r="AB332">
        <v>1</v>
      </c>
      <c r="AD332" t="s">
        <v>1612</v>
      </c>
      <c r="AE332" t="s">
        <v>1039</v>
      </c>
      <c r="AF332" s="4">
        <v>1E-3</v>
      </c>
      <c r="AG332">
        <v>20</v>
      </c>
      <c r="AH332">
        <v>100</v>
      </c>
      <c r="AI332" t="s">
        <v>1585</v>
      </c>
      <c r="AJ332" t="s">
        <v>219</v>
      </c>
      <c r="AK332" t="s">
        <v>1613</v>
      </c>
      <c r="AL332" t="s">
        <v>1610</v>
      </c>
      <c r="AM332" t="s">
        <v>135</v>
      </c>
    </row>
    <row r="333" spans="1:39" x14ac:dyDescent="0.2">
      <c r="A333" s="2">
        <v>45030.516331018516</v>
      </c>
      <c r="B333" s="2">
        <v>45030.521192129629</v>
      </c>
      <c r="C333" t="s">
        <v>42</v>
      </c>
      <c r="D333" t="s">
        <v>1614</v>
      </c>
      <c r="E333">
        <v>100</v>
      </c>
      <c r="F333">
        <v>420</v>
      </c>
      <c r="G333" t="b">
        <v>1</v>
      </c>
      <c r="H333" s="2">
        <v>45030.521203703705</v>
      </c>
      <c r="I333" t="s">
        <v>1615</v>
      </c>
      <c r="N333">
        <v>32.691699999999997</v>
      </c>
      <c r="O333">
        <v>-117.1151</v>
      </c>
      <c r="P333" t="s">
        <v>111</v>
      </c>
      <c r="Q333" t="s">
        <v>112</v>
      </c>
      <c r="R333" t="s">
        <v>1616</v>
      </c>
      <c r="S333" t="s">
        <v>114</v>
      </c>
      <c r="W333">
        <v>5</v>
      </c>
      <c r="X333" t="s">
        <v>1617</v>
      </c>
      <c r="Y333">
        <v>2</v>
      </c>
      <c r="AD333">
        <v>500</v>
      </c>
      <c r="AE333" t="s">
        <v>1039</v>
      </c>
      <c r="AF333">
        <v>1</v>
      </c>
      <c r="AG333">
        <v>25</v>
      </c>
      <c r="AH333">
        <v>100</v>
      </c>
      <c r="AI333" s="3">
        <v>0.09</v>
      </c>
      <c r="AJ333">
        <v>0.1</v>
      </c>
      <c r="AK333" t="s">
        <v>159</v>
      </c>
      <c r="AL333" t="s">
        <v>1616</v>
      </c>
      <c r="AM333" t="s">
        <v>117</v>
      </c>
    </row>
    <row r="334" spans="1:39" x14ac:dyDescent="0.2">
      <c r="A334" s="2">
        <v>45030.517395833333</v>
      </c>
      <c r="B334" s="2">
        <v>45030.521226851852</v>
      </c>
      <c r="C334" t="s">
        <v>42</v>
      </c>
      <c r="D334" t="s">
        <v>1618</v>
      </c>
      <c r="E334">
        <v>100</v>
      </c>
      <c r="F334">
        <v>330</v>
      </c>
      <c r="G334" t="b">
        <v>1</v>
      </c>
      <c r="H334" s="2">
        <v>45030.521238425928</v>
      </c>
      <c r="I334" t="s">
        <v>1619</v>
      </c>
      <c r="N334">
        <v>30.052900000000001</v>
      </c>
      <c r="O334">
        <v>-95.178299999999993</v>
      </c>
      <c r="P334" t="s">
        <v>111</v>
      </c>
      <c r="Q334" t="s">
        <v>112</v>
      </c>
      <c r="R334" t="s">
        <v>1620</v>
      </c>
      <c r="S334" t="s">
        <v>114</v>
      </c>
      <c r="W334">
        <v>5</v>
      </c>
      <c r="X334" t="s">
        <v>1621</v>
      </c>
      <c r="AC334" t="s">
        <v>1622</v>
      </c>
      <c r="AD334">
        <v>550</v>
      </c>
      <c r="AE334">
        <v>1</v>
      </c>
      <c r="AF334" s="3">
        <v>0.01</v>
      </c>
      <c r="AG334">
        <v>20</v>
      </c>
      <c r="AH334">
        <v>100</v>
      </c>
      <c r="AI334" s="3">
        <v>0.01</v>
      </c>
      <c r="AJ334">
        <v>0.1</v>
      </c>
      <c r="AK334" t="s">
        <v>159</v>
      </c>
      <c r="AL334" t="s">
        <v>1620</v>
      </c>
      <c r="AM334" t="s">
        <v>135</v>
      </c>
    </row>
    <row r="335" spans="1:39" x14ac:dyDescent="0.2">
      <c r="A335" s="2">
        <v>45030.513738425929</v>
      </c>
      <c r="B335" s="2">
        <v>45030.521238425928</v>
      </c>
      <c r="C335" t="s">
        <v>42</v>
      </c>
      <c r="D335" t="s">
        <v>1623</v>
      </c>
      <c r="E335">
        <v>100</v>
      </c>
      <c r="F335">
        <v>648</v>
      </c>
      <c r="G335" t="b">
        <v>1</v>
      </c>
      <c r="H335" s="2">
        <v>45030.521261574075</v>
      </c>
      <c r="I335" t="s">
        <v>1624</v>
      </c>
      <c r="N335">
        <v>37.779400000000003</v>
      </c>
      <c r="O335">
        <v>-122.2178</v>
      </c>
      <c r="P335" t="s">
        <v>111</v>
      </c>
      <c r="Q335" t="s">
        <v>112</v>
      </c>
      <c r="R335" t="s">
        <v>1625</v>
      </c>
      <c r="S335" t="s">
        <v>114</v>
      </c>
      <c r="W335">
        <v>7</v>
      </c>
      <c r="X335" t="s">
        <v>1626</v>
      </c>
      <c r="Y335" t="s">
        <v>1627</v>
      </c>
      <c r="AD335">
        <v>500</v>
      </c>
      <c r="AE335">
        <v>10</v>
      </c>
      <c r="AF335" s="4">
        <v>9.9999999999999995E-7</v>
      </c>
      <c r="AG335" s="3">
        <v>0.2</v>
      </c>
      <c r="AH335">
        <v>100</v>
      </c>
      <c r="AI335" s="3">
        <v>0.09</v>
      </c>
      <c r="AJ335">
        <v>0.1</v>
      </c>
      <c r="AK335" t="s">
        <v>1628</v>
      </c>
      <c r="AL335" t="s">
        <v>1625</v>
      </c>
      <c r="AM335" t="s">
        <v>117</v>
      </c>
    </row>
    <row r="336" spans="1:39" x14ac:dyDescent="0.2">
      <c r="A336" s="2">
        <v>45030.516597222224</v>
      </c>
      <c r="B336" s="2">
        <v>45030.521273148152</v>
      </c>
      <c r="C336" t="s">
        <v>42</v>
      </c>
      <c r="D336" t="s">
        <v>1629</v>
      </c>
      <c r="E336">
        <v>100</v>
      </c>
      <c r="F336">
        <v>403</v>
      </c>
      <c r="G336" t="b">
        <v>1</v>
      </c>
      <c r="H336" s="2">
        <v>45030.521273148152</v>
      </c>
      <c r="I336" t="s">
        <v>1630</v>
      </c>
      <c r="N336">
        <v>34.197000000000003</v>
      </c>
      <c r="O336">
        <v>-118.8199</v>
      </c>
      <c r="P336" t="s">
        <v>111</v>
      </c>
      <c r="Q336" t="s">
        <v>112</v>
      </c>
      <c r="R336" t="s">
        <v>1631</v>
      </c>
      <c r="S336" t="s">
        <v>114</v>
      </c>
      <c r="W336">
        <v>80</v>
      </c>
      <c r="X336" t="s">
        <v>1632</v>
      </c>
      <c r="Y336">
        <v>0.5</v>
      </c>
      <c r="AD336">
        <v>500</v>
      </c>
      <c r="AE336">
        <v>10</v>
      </c>
      <c r="AF336">
        <v>0.1</v>
      </c>
      <c r="AG336">
        <v>20</v>
      </c>
      <c r="AH336">
        <v>100</v>
      </c>
      <c r="AI336">
        <v>50</v>
      </c>
      <c r="AJ336" s="5">
        <v>0.05</v>
      </c>
      <c r="AK336" t="s">
        <v>159</v>
      </c>
      <c r="AL336" t="s">
        <v>1631</v>
      </c>
      <c r="AM336" t="s">
        <v>117</v>
      </c>
    </row>
    <row r="337" spans="1:39" x14ac:dyDescent="0.2">
      <c r="A337" s="2">
        <v>45030.514421296299</v>
      </c>
      <c r="B337" s="2">
        <v>45030.521284722221</v>
      </c>
      <c r="C337" t="s">
        <v>42</v>
      </c>
      <c r="D337" t="s">
        <v>1633</v>
      </c>
      <c r="E337">
        <v>100</v>
      </c>
      <c r="F337">
        <v>593</v>
      </c>
      <c r="G337" t="b">
        <v>1</v>
      </c>
      <c r="H337" s="2">
        <v>45030.521284722221</v>
      </c>
      <c r="I337" t="s">
        <v>1634</v>
      </c>
      <c r="N337">
        <v>43.650199999999998</v>
      </c>
      <c r="O337">
        <v>-116.43429999999999</v>
      </c>
      <c r="P337" t="s">
        <v>111</v>
      </c>
      <c r="Q337" t="s">
        <v>112</v>
      </c>
      <c r="R337" t="s">
        <v>1635</v>
      </c>
      <c r="S337" t="s">
        <v>114</v>
      </c>
      <c r="W337">
        <v>20</v>
      </c>
      <c r="X337" t="s">
        <v>1636</v>
      </c>
      <c r="Y337">
        <v>2</v>
      </c>
      <c r="AD337">
        <v>500</v>
      </c>
      <c r="AE337">
        <v>10</v>
      </c>
      <c r="AF337" s="4">
        <v>1E-3</v>
      </c>
      <c r="AG337">
        <v>20</v>
      </c>
      <c r="AH337">
        <v>100</v>
      </c>
      <c r="AI337" s="3">
        <v>0.1</v>
      </c>
      <c r="AJ337" t="s">
        <v>134</v>
      </c>
      <c r="AK337" t="s">
        <v>159</v>
      </c>
      <c r="AL337" t="s">
        <v>1635</v>
      </c>
      <c r="AM337" t="s">
        <v>117</v>
      </c>
    </row>
    <row r="338" spans="1:39" x14ac:dyDescent="0.2">
      <c r="A338" s="2">
        <v>45030.511516203704</v>
      </c>
      <c r="B338" s="2">
        <v>45030.521331018521</v>
      </c>
      <c r="C338" t="s">
        <v>42</v>
      </c>
      <c r="D338" t="s">
        <v>1637</v>
      </c>
      <c r="E338">
        <v>100</v>
      </c>
      <c r="F338">
        <v>847</v>
      </c>
      <c r="G338" t="b">
        <v>1</v>
      </c>
      <c r="H338" s="2">
        <v>45030.52134259259</v>
      </c>
      <c r="I338" t="s">
        <v>1638</v>
      </c>
      <c r="N338">
        <v>27.825700000000001</v>
      </c>
      <c r="O338">
        <v>-82.1374</v>
      </c>
      <c r="P338" t="s">
        <v>111</v>
      </c>
      <c r="Q338" t="s">
        <v>112</v>
      </c>
      <c r="R338" t="s">
        <v>1639</v>
      </c>
      <c r="S338" t="s">
        <v>114</v>
      </c>
      <c r="T338">
        <v>0</v>
      </c>
      <c r="U338">
        <v>3</v>
      </c>
      <c r="W338">
        <v>0</v>
      </c>
      <c r="X338" t="s">
        <v>1640</v>
      </c>
      <c r="AD338">
        <v>500</v>
      </c>
      <c r="AE338">
        <v>10</v>
      </c>
      <c r="AF338">
        <v>0.1</v>
      </c>
      <c r="AG338">
        <v>20</v>
      </c>
      <c r="AH338">
        <v>100</v>
      </c>
      <c r="AI338" t="s">
        <v>1165</v>
      </c>
      <c r="AJ338">
        <v>0.05</v>
      </c>
      <c r="AK338">
        <v>5</v>
      </c>
      <c r="AL338" t="s">
        <v>1639</v>
      </c>
      <c r="AM338" t="s">
        <v>123</v>
      </c>
    </row>
    <row r="339" spans="1:39" x14ac:dyDescent="0.2">
      <c r="A339" s="2">
        <v>45030.516377314816</v>
      </c>
      <c r="B339" s="2">
        <v>45030.52134259259</v>
      </c>
      <c r="C339" t="s">
        <v>42</v>
      </c>
      <c r="D339" t="s">
        <v>1641</v>
      </c>
      <c r="E339">
        <v>100</v>
      </c>
      <c r="F339">
        <v>428</v>
      </c>
      <c r="G339" t="b">
        <v>1</v>
      </c>
      <c r="H339" s="2">
        <v>45030.52134259259</v>
      </c>
      <c r="I339" t="s">
        <v>1642</v>
      </c>
      <c r="N339">
        <v>32.246000000000002</v>
      </c>
      <c r="O339">
        <v>-110.9177</v>
      </c>
      <c r="P339" t="s">
        <v>111</v>
      </c>
      <c r="Q339" t="s">
        <v>112</v>
      </c>
      <c r="R339" t="s">
        <v>1643</v>
      </c>
      <c r="S339" t="s">
        <v>114</v>
      </c>
      <c r="T339">
        <v>60</v>
      </c>
      <c r="V339">
        <v>5</v>
      </c>
      <c r="W339">
        <v>65</v>
      </c>
      <c r="X339" t="s">
        <v>1644</v>
      </c>
      <c r="AD339">
        <v>500</v>
      </c>
      <c r="AE339">
        <v>10</v>
      </c>
      <c r="AF339" s="3">
        <v>0.1</v>
      </c>
      <c r="AG339">
        <v>20</v>
      </c>
      <c r="AH339">
        <v>100</v>
      </c>
      <c r="AI339" s="3">
        <v>0.18</v>
      </c>
      <c r="AJ339" t="s">
        <v>985</v>
      </c>
      <c r="AK339" t="s">
        <v>404</v>
      </c>
      <c r="AL339" t="s">
        <v>1643</v>
      </c>
      <c r="AM339" t="s">
        <v>123</v>
      </c>
    </row>
    <row r="340" spans="1:39" x14ac:dyDescent="0.2">
      <c r="A340" s="2">
        <v>45030.516365740739</v>
      </c>
      <c r="B340" s="2">
        <v>45030.521365740744</v>
      </c>
      <c r="C340" t="s">
        <v>42</v>
      </c>
      <c r="D340" t="s">
        <v>1645</v>
      </c>
      <c r="E340">
        <v>100</v>
      </c>
      <c r="F340">
        <v>431</v>
      </c>
      <c r="G340" t="b">
        <v>1</v>
      </c>
      <c r="H340" s="2">
        <v>45030.521365740744</v>
      </c>
      <c r="I340" t="s">
        <v>1646</v>
      </c>
      <c r="N340">
        <v>39.693300000000001</v>
      </c>
      <c r="O340">
        <v>-104.7865</v>
      </c>
      <c r="P340" t="s">
        <v>111</v>
      </c>
      <c r="Q340" t="s">
        <v>112</v>
      </c>
      <c r="R340" s="6" t="s">
        <v>1647</v>
      </c>
      <c r="S340" t="s">
        <v>114</v>
      </c>
      <c r="W340">
        <v>62</v>
      </c>
      <c r="X340" t="s">
        <v>1648</v>
      </c>
      <c r="Y340">
        <v>1</v>
      </c>
      <c r="AD340">
        <v>500</v>
      </c>
      <c r="AE340">
        <v>10</v>
      </c>
      <c r="AF340">
        <v>0.1</v>
      </c>
      <c r="AG340">
        <v>20</v>
      </c>
      <c r="AH340">
        <v>100</v>
      </c>
      <c r="AI340">
        <v>50</v>
      </c>
      <c r="AJ340">
        <v>0.05</v>
      </c>
      <c r="AK340">
        <v>5</v>
      </c>
      <c r="AL340" s="6" t="s">
        <v>1647</v>
      </c>
      <c r="AM340" t="s">
        <v>117</v>
      </c>
    </row>
    <row r="341" spans="1:39" x14ac:dyDescent="0.2">
      <c r="A341" s="2">
        <v>45030.51357638889</v>
      </c>
      <c r="B341" s="2">
        <v>45030.521377314813</v>
      </c>
      <c r="C341" t="s">
        <v>42</v>
      </c>
      <c r="D341" t="s">
        <v>1649</v>
      </c>
      <c r="E341">
        <v>100</v>
      </c>
      <c r="F341">
        <v>673</v>
      </c>
      <c r="G341" t="b">
        <v>1</v>
      </c>
      <c r="H341" s="2">
        <v>45030.52138888889</v>
      </c>
      <c r="I341" t="s">
        <v>1650</v>
      </c>
      <c r="N341">
        <v>48.1999</v>
      </c>
      <c r="O341">
        <v>-114.3034</v>
      </c>
      <c r="P341" t="s">
        <v>111</v>
      </c>
      <c r="Q341" t="s">
        <v>112</v>
      </c>
      <c r="R341" t="s">
        <v>1651</v>
      </c>
      <c r="S341" t="s">
        <v>114</v>
      </c>
      <c r="W341">
        <v>0</v>
      </c>
      <c r="X341" t="s">
        <v>1652</v>
      </c>
      <c r="AA341" t="s">
        <v>1653</v>
      </c>
      <c r="AD341" t="s">
        <v>585</v>
      </c>
      <c r="AE341">
        <v>10</v>
      </c>
      <c r="AF341" t="s">
        <v>1045</v>
      </c>
      <c r="AG341" t="s">
        <v>1654</v>
      </c>
      <c r="AH341">
        <v>100</v>
      </c>
      <c r="AI341" t="s">
        <v>625</v>
      </c>
      <c r="AJ341" s="5">
        <v>0.1</v>
      </c>
      <c r="AK341" t="s">
        <v>159</v>
      </c>
      <c r="AL341" t="s">
        <v>1651</v>
      </c>
      <c r="AM341" t="s">
        <v>128</v>
      </c>
    </row>
    <row r="342" spans="1:39" x14ac:dyDescent="0.2">
      <c r="A342" s="2">
        <v>45030.51730324074</v>
      </c>
      <c r="B342" s="2">
        <v>45030.521539351852</v>
      </c>
      <c r="C342" t="s">
        <v>42</v>
      </c>
      <c r="D342" t="s">
        <v>1655</v>
      </c>
      <c r="E342">
        <v>100</v>
      </c>
      <c r="F342">
        <v>366</v>
      </c>
      <c r="G342" t="b">
        <v>1</v>
      </c>
      <c r="H342" s="2">
        <v>45030.521562499998</v>
      </c>
      <c r="I342" t="s">
        <v>1656</v>
      </c>
      <c r="N342">
        <v>39.903799999999997</v>
      </c>
      <c r="O342">
        <v>-104.9419</v>
      </c>
      <c r="P342" t="s">
        <v>111</v>
      </c>
      <c r="Q342" t="s">
        <v>112</v>
      </c>
      <c r="R342" t="s">
        <v>1657</v>
      </c>
      <c r="S342" t="s">
        <v>114</v>
      </c>
      <c r="W342">
        <v>91</v>
      </c>
      <c r="X342" t="s">
        <v>1658</v>
      </c>
      <c r="Z342">
        <v>1</v>
      </c>
      <c r="AD342">
        <v>500</v>
      </c>
      <c r="AE342">
        <v>100</v>
      </c>
      <c r="AF342">
        <v>0.1</v>
      </c>
      <c r="AG342">
        <v>20</v>
      </c>
      <c r="AH342">
        <v>100</v>
      </c>
      <c r="AI342">
        <v>10</v>
      </c>
      <c r="AJ342">
        <v>0.9</v>
      </c>
      <c r="AK342">
        <v>100</v>
      </c>
      <c r="AL342" t="s">
        <v>1657</v>
      </c>
      <c r="AM342" t="s">
        <v>128</v>
      </c>
    </row>
    <row r="343" spans="1:39" x14ac:dyDescent="0.2">
      <c r="A343" s="2">
        <v>45030.518067129633</v>
      </c>
      <c r="B343" s="2">
        <v>45030.521562499998</v>
      </c>
      <c r="C343" t="s">
        <v>42</v>
      </c>
      <c r="D343" t="s">
        <v>1659</v>
      </c>
      <c r="E343">
        <v>100</v>
      </c>
      <c r="F343">
        <v>302</v>
      </c>
      <c r="G343" t="b">
        <v>1</v>
      </c>
      <c r="H343" s="2">
        <v>45030.521574074075</v>
      </c>
      <c r="I343" t="s">
        <v>1660</v>
      </c>
      <c r="N343">
        <v>41.220799999999997</v>
      </c>
      <c r="O343">
        <v>-75.773600000000002</v>
      </c>
      <c r="P343" t="s">
        <v>111</v>
      </c>
      <c r="Q343" t="s">
        <v>112</v>
      </c>
      <c r="R343" t="s">
        <v>1661</v>
      </c>
      <c r="S343" t="s">
        <v>114</v>
      </c>
      <c r="W343">
        <v>84</v>
      </c>
      <c r="X343" t="s">
        <v>1662</v>
      </c>
      <c r="Y343">
        <v>1.5</v>
      </c>
      <c r="AD343">
        <v>500</v>
      </c>
      <c r="AE343">
        <v>10</v>
      </c>
      <c r="AF343">
        <v>1E-3</v>
      </c>
      <c r="AG343">
        <v>20</v>
      </c>
      <c r="AH343">
        <v>100</v>
      </c>
      <c r="AI343">
        <v>50</v>
      </c>
      <c r="AJ343">
        <v>0.05</v>
      </c>
      <c r="AK343">
        <v>100</v>
      </c>
      <c r="AL343" t="s">
        <v>1661</v>
      </c>
      <c r="AM343" t="s">
        <v>117</v>
      </c>
    </row>
    <row r="344" spans="1:39" x14ac:dyDescent="0.2">
      <c r="A344" s="2">
        <v>45030.518171296295</v>
      </c>
      <c r="B344" s="2">
        <v>45030.521770833337</v>
      </c>
      <c r="C344" t="s">
        <v>42</v>
      </c>
      <c r="D344" t="s">
        <v>1663</v>
      </c>
      <c r="E344">
        <v>100</v>
      </c>
      <c r="F344">
        <v>311</v>
      </c>
      <c r="G344" t="b">
        <v>1</v>
      </c>
      <c r="H344" s="2">
        <v>45030.521770833337</v>
      </c>
      <c r="I344" t="s">
        <v>1664</v>
      </c>
      <c r="N344">
        <v>38.893999999999998</v>
      </c>
      <c r="O344">
        <v>-77.036500000000004</v>
      </c>
      <c r="P344" t="s">
        <v>111</v>
      </c>
      <c r="Q344" t="s">
        <v>112</v>
      </c>
      <c r="R344" t="s">
        <v>1665</v>
      </c>
      <c r="S344" t="s">
        <v>114</v>
      </c>
      <c r="W344">
        <v>20</v>
      </c>
      <c r="X344" t="s">
        <v>1666</v>
      </c>
      <c r="AC344" t="s">
        <v>1667</v>
      </c>
      <c r="AD344">
        <v>500</v>
      </c>
      <c r="AE344">
        <v>0.1</v>
      </c>
      <c r="AF344">
        <v>0.1</v>
      </c>
      <c r="AG344">
        <v>20</v>
      </c>
      <c r="AH344">
        <v>100</v>
      </c>
      <c r="AI344" s="3">
        <v>0.1</v>
      </c>
      <c r="AJ344">
        <v>0.05</v>
      </c>
      <c r="AK344">
        <v>5</v>
      </c>
      <c r="AL344" t="s">
        <v>1665</v>
      </c>
      <c r="AM344" t="s">
        <v>135</v>
      </c>
    </row>
    <row r="345" spans="1:39" x14ac:dyDescent="0.2">
      <c r="A345" s="2">
        <v>45030.513067129628</v>
      </c>
      <c r="B345" s="2">
        <v>45030.521979166668</v>
      </c>
      <c r="C345" t="s">
        <v>42</v>
      </c>
      <c r="D345" t="s">
        <v>1668</v>
      </c>
      <c r="E345">
        <v>100</v>
      </c>
      <c r="F345">
        <v>770</v>
      </c>
      <c r="G345" t="b">
        <v>1</v>
      </c>
      <c r="H345" s="2">
        <v>45030.521979166668</v>
      </c>
      <c r="I345" t="s">
        <v>1669</v>
      </c>
      <c r="N345">
        <v>37.9527</v>
      </c>
      <c r="O345">
        <v>-121.31610000000001</v>
      </c>
      <c r="P345" t="s">
        <v>111</v>
      </c>
      <c r="Q345" t="s">
        <v>112</v>
      </c>
      <c r="R345" t="s">
        <v>1670</v>
      </c>
      <c r="S345" t="s">
        <v>114</v>
      </c>
      <c r="W345">
        <v>80</v>
      </c>
      <c r="X345" t="s">
        <v>1671</v>
      </c>
      <c r="Y345">
        <v>4</v>
      </c>
      <c r="AD345" t="s">
        <v>534</v>
      </c>
      <c r="AE345" t="s">
        <v>535</v>
      </c>
      <c r="AF345" t="s">
        <v>1018</v>
      </c>
      <c r="AG345" t="s">
        <v>1672</v>
      </c>
      <c r="AH345" t="s">
        <v>535</v>
      </c>
      <c r="AI345" t="s">
        <v>1673</v>
      </c>
      <c r="AJ345" t="s">
        <v>134</v>
      </c>
      <c r="AK345" t="s">
        <v>208</v>
      </c>
      <c r="AL345" t="s">
        <v>1670</v>
      </c>
      <c r="AM345" t="s">
        <v>117</v>
      </c>
    </row>
    <row r="346" spans="1:39" x14ac:dyDescent="0.2">
      <c r="A346" s="2">
        <v>45030.515601851854</v>
      </c>
      <c r="B346" s="2">
        <v>45030.522129629629</v>
      </c>
      <c r="C346" t="s">
        <v>42</v>
      </c>
      <c r="D346" t="s">
        <v>1674</v>
      </c>
      <c r="E346">
        <v>100</v>
      </c>
      <c r="F346">
        <v>564</v>
      </c>
      <c r="G346" t="b">
        <v>1</v>
      </c>
      <c r="H346" s="2">
        <v>45030.522141203706</v>
      </c>
      <c r="I346" t="s">
        <v>1675</v>
      </c>
      <c r="N346">
        <v>45.517299999999999</v>
      </c>
      <c r="O346">
        <v>-122.63979999999999</v>
      </c>
      <c r="P346" t="s">
        <v>111</v>
      </c>
      <c r="Q346" t="s">
        <v>112</v>
      </c>
      <c r="R346" t="s">
        <v>1676</v>
      </c>
      <c r="S346" t="s">
        <v>114</v>
      </c>
      <c r="W346">
        <v>5</v>
      </c>
      <c r="X346" t="s">
        <v>1677</v>
      </c>
      <c r="AC346">
        <v>5</v>
      </c>
      <c r="AD346">
        <v>500</v>
      </c>
      <c r="AE346">
        <v>1</v>
      </c>
      <c r="AF346">
        <v>1E-4</v>
      </c>
      <c r="AG346">
        <v>20</v>
      </c>
      <c r="AH346">
        <v>1</v>
      </c>
      <c r="AI346">
        <v>10</v>
      </c>
      <c r="AJ346">
        <v>0.1</v>
      </c>
      <c r="AK346">
        <v>5</v>
      </c>
      <c r="AL346" t="s">
        <v>1676</v>
      </c>
      <c r="AM346" t="s">
        <v>135</v>
      </c>
    </row>
    <row r="347" spans="1:39" x14ac:dyDescent="0.2">
      <c r="A347" s="2">
        <v>45030.517824074072</v>
      </c>
      <c r="B347" s="2">
        <v>45030.522210648145</v>
      </c>
      <c r="C347" t="s">
        <v>42</v>
      </c>
      <c r="D347" t="s">
        <v>1678</v>
      </c>
      <c r="E347">
        <v>100</v>
      </c>
      <c r="F347">
        <v>378</v>
      </c>
      <c r="G347" t="b">
        <v>1</v>
      </c>
      <c r="H347" s="2">
        <v>45030.522222222222</v>
      </c>
      <c r="I347" t="s">
        <v>1679</v>
      </c>
      <c r="N347">
        <v>44.933900000000001</v>
      </c>
      <c r="O347">
        <v>-93.123500000000007</v>
      </c>
      <c r="P347" t="s">
        <v>111</v>
      </c>
      <c r="Q347" t="s">
        <v>112</v>
      </c>
      <c r="R347" t="s">
        <v>1680</v>
      </c>
      <c r="S347" t="s">
        <v>114</v>
      </c>
      <c r="W347">
        <v>81</v>
      </c>
      <c r="X347" t="s">
        <v>1681</v>
      </c>
      <c r="Y347" t="s">
        <v>1682</v>
      </c>
      <c r="AD347" t="s">
        <v>1683</v>
      </c>
      <c r="AE347" t="s">
        <v>1684</v>
      </c>
      <c r="AF347" s="4">
        <v>1E-3</v>
      </c>
      <c r="AG347" s="3">
        <v>0.2</v>
      </c>
      <c r="AH347">
        <v>100</v>
      </c>
      <c r="AI347" s="3">
        <v>0.82</v>
      </c>
      <c r="AJ347" s="5">
        <v>0.1</v>
      </c>
      <c r="AK347" t="s">
        <v>1685</v>
      </c>
      <c r="AL347" t="s">
        <v>1680</v>
      </c>
      <c r="AM347" t="s">
        <v>117</v>
      </c>
    </row>
    <row r="348" spans="1:39" x14ac:dyDescent="0.2">
      <c r="A348" s="2">
        <v>45030.517905092594</v>
      </c>
      <c r="B348" s="2">
        <v>45030.522303240738</v>
      </c>
      <c r="C348" t="s">
        <v>42</v>
      </c>
      <c r="D348" t="s">
        <v>1686</v>
      </c>
      <c r="E348">
        <v>100</v>
      </c>
      <c r="F348">
        <v>380</v>
      </c>
      <c r="G348" t="b">
        <v>1</v>
      </c>
      <c r="H348" s="2">
        <v>45030.522314814814</v>
      </c>
      <c r="I348" t="s">
        <v>1687</v>
      </c>
      <c r="N348">
        <v>33.187600000000003</v>
      </c>
      <c r="O348">
        <v>-96.126800000000003</v>
      </c>
      <c r="P348" t="s">
        <v>111</v>
      </c>
      <c r="Q348" t="s">
        <v>112</v>
      </c>
      <c r="R348" t="s">
        <v>1688</v>
      </c>
      <c r="S348" t="s">
        <v>114</v>
      </c>
      <c r="T348">
        <v>6</v>
      </c>
      <c r="U348" t="s">
        <v>1689</v>
      </c>
      <c r="W348">
        <v>5</v>
      </c>
      <c r="X348" t="s">
        <v>1690</v>
      </c>
      <c r="AD348">
        <v>500</v>
      </c>
      <c r="AE348">
        <v>10</v>
      </c>
      <c r="AF348">
        <v>1</v>
      </c>
      <c r="AG348">
        <v>20</v>
      </c>
      <c r="AH348">
        <v>100</v>
      </c>
      <c r="AI348" t="s">
        <v>1691</v>
      </c>
      <c r="AJ348" t="s">
        <v>241</v>
      </c>
      <c r="AK348" t="s">
        <v>164</v>
      </c>
      <c r="AL348" t="s">
        <v>1688</v>
      </c>
      <c r="AM348" t="s">
        <v>123</v>
      </c>
    </row>
    <row r="349" spans="1:39" x14ac:dyDescent="0.2">
      <c r="A349" s="2">
        <v>45030.513993055552</v>
      </c>
      <c r="B349" s="2">
        <v>45030.522326388891</v>
      </c>
      <c r="C349" t="s">
        <v>42</v>
      </c>
      <c r="D349" t="s">
        <v>1692</v>
      </c>
      <c r="E349">
        <v>100</v>
      </c>
      <c r="F349">
        <v>720</v>
      </c>
      <c r="G349" t="b">
        <v>1</v>
      </c>
      <c r="H349" s="2">
        <v>45030.522337962961</v>
      </c>
      <c r="I349" t="s">
        <v>1693</v>
      </c>
      <c r="N349">
        <v>29.421299999999999</v>
      </c>
      <c r="O349">
        <v>-98.531300000000002</v>
      </c>
      <c r="P349" t="s">
        <v>111</v>
      </c>
      <c r="Q349" t="s">
        <v>112</v>
      </c>
      <c r="R349" t="s">
        <v>1694</v>
      </c>
      <c r="S349" t="s">
        <v>114</v>
      </c>
      <c r="W349">
        <v>95</v>
      </c>
      <c r="X349" t="s">
        <v>1695</v>
      </c>
      <c r="AB349">
        <v>1.1499999999999999</v>
      </c>
      <c r="AD349">
        <v>500</v>
      </c>
      <c r="AE349">
        <v>10</v>
      </c>
      <c r="AF349" s="3">
        <v>0.01</v>
      </c>
      <c r="AG349" s="3">
        <v>0.2</v>
      </c>
      <c r="AH349">
        <v>100</v>
      </c>
      <c r="AI349" s="3">
        <v>0.9</v>
      </c>
      <c r="AJ349" s="5">
        <v>0.1</v>
      </c>
      <c r="AK349" t="s">
        <v>159</v>
      </c>
      <c r="AL349" t="s">
        <v>1694</v>
      </c>
      <c r="AM349" t="s">
        <v>135</v>
      </c>
    </row>
    <row r="350" spans="1:39" x14ac:dyDescent="0.2">
      <c r="A350" s="2">
        <v>45030.518414351849</v>
      </c>
      <c r="B350" s="2">
        <v>45030.522372685184</v>
      </c>
      <c r="C350" t="s">
        <v>42</v>
      </c>
      <c r="D350" t="s">
        <v>1696</v>
      </c>
      <c r="E350">
        <v>100</v>
      </c>
      <c r="F350">
        <v>342</v>
      </c>
      <c r="G350" t="b">
        <v>1</v>
      </c>
      <c r="H350" s="2">
        <v>45030.52238425926</v>
      </c>
      <c r="I350" t="s">
        <v>1697</v>
      </c>
      <c r="N350">
        <v>37.754800000000003</v>
      </c>
      <c r="O350">
        <v>-84.298500000000004</v>
      </c>
      <c r="P350" t="s">
        <v>111</v>
      </c>
      <c r="Q350" t="s">
        <v>112</v>
      </c>
      <c r="R350" t="s">
        <v>1698</v>
      </c>
      <c r="S350" t="s">
        <v>114</v>
      </c>
      <c r="T350">
        <v>0</v>
      </c>
      <c r="U350">
        <v>1.75</v>
      </c>
      <c r="W350">
        <v>10</v>
      </c>
      <c r="X350" t="s">
        <v>1699</v>
      </c>
      <c r="AD350">
        <v>500</v>
      </c>
      <c r="AE350">
        <v>10</v>
      </c>
      <c r="AF350">
        <v>1000</v>
      </c>
      <c r="AG350">
        <v>20</v>
      </c>
      <c r="AH350">
        <v>100</v>
      </c>
      <c r="AI350" t="s">
        <v>1700</v>
      </c>
      <c r="AJ350" s="5">
        <v>0.1</v>
      </c>
      <c r="AK350" t="s">
        <v>164</v>
      </c>
      <c r="AL350" t="s">
        <v>1698</v>
      </c>
      <c r="AM350" t="s">
        <v>123</v>
      </c>
    </row>
    <row r="351" spans="1:39" x14ac:dyDescent="0.2">
      <c r="A351" s="2">
        <v>45030.518171296295</v>
      </c>
      <c r="B351" s="2">
        <v>45030.522407407407</v>
      </c>
      <c r="C351" t="s">
        <v>42</v>
      </c>
      <c r="D351" t="s">
        <v>1701</v>
      </c>
      <c r="E351">
        <v>100</v>
      </c>
      <c r="F351">
        <v>366</v>
      </c>
      <c r="G351" t="b">
        <v>1</v>
      </c>
      <c r="H351" s="2">
        <v>45030.522407407407</v>
      </c>
      <c r="I351" t="s">
        <v>1702</v>
      </c>
      <c r="N351">
        <v>38.447499999999998</v>
      </c>
      <c r="O351">
        <v>-78.869299999999996</v>
      </c>
      <c r="P351" t="s">
        <v>111</v>
      </c>
      <c r="Q351" t="s">
        <v>112</v>
      </c>
      <c r="R351" t="s">
        <v>1703</v>
      </c>
      <c r="S351" t="s">
        <v>114</v>
      </c>
      <c r="W351">
        <v>100</v>
      </c>
      <c r="X351" t="s">
        <v>1704</v>
      </c>
      <c r="Z351">
        <v>1.2</v>
      </c>
      <c r="AD351">
        <v>200</v>
      </c>
      <c r="AE351">
        <v>10</v>
      </c>
      <c r="AF351">
        <v>80</v>
      </c>
      <c r="AG351">
        <v>20</v>
      </c>
      <c r="AH351">
        <v>100</v>
      </c>
      <c r="AI351" t="s">
        <v>1705</v>
      </c>
      <c r="AJ351" t="s">
        <v>1706</v>
      </c>
      <c r="AK351">
        <v>100</v>
      </c>
      <c r="AL351" t="s">
        <v>1703</v>
      </c>
      <c r="AM351" t="s">
        <v>128</v>
      </c>
    </row>
    <row r="352" spans="1:39" x14ac:dyDescent="0.2">
      <c r="A352" s="2">
        <v>45030.516562500001</v>
      </c>
      <c r="B352" s="2">
        <v>45030.522430555553</v>
      </c>
      <c r="C352" t="s">
        <v>42</v>
      </c>
      <c r="D352" t="s">
        <v>1707</v>
      </c>
      <c r="E352">
        <v>100</v>
      </c>
      <c r="F352">
        <v>507</v>
      </c>
      <c r="G352" t="b">
        <v>1</v>
      </c>
      <c r="H352" s="2">
        <v>45030.522430555553</v>
      </c>
      <c r="I352" t="s">
        <v>1708</v>
      </c>
      <c r="N352">
        <v>45.712600000000002</v>
      </c>
      <c r="O352">
        <v>-122.62390000000001</v>
      </c>
      <c r="P352" t="s">
        <v>111</v>
      </c>
      <c r="Q352" t="s">
        <v>112</v>
      </c>
      <c r="R352" t="s">
        <v>1709</v>
      </c>
      <c r="S352" t="s">
        <v>114</v>
      </c>
      <c r="T352">
        <v>1</v>
      </c>
      <c r="U352">
        <v>4</v>
      </c>
      <c r="W352">
        <v>0</v>
      </c>
      <c r="X352" t="s">
        <v>1710</v>
      </c>
      <c r="AD352">
        <v>500</v>
      </c>
      <c r="AE352">
        <v>10</v>
      </c>
      <c r="AF352" s="3">
        <v>0.01</v>
      </c>
      <c r="AG352" s="3">
        <v>0.2</v>
      </c>
      <c r="AH352">
        <v>100</v>
      </c>
      <c r="AI352" s="3">
        <v>0.9</v>
      </c>
      <c r="AJ352">
        <v>0.5</v>
      </c>
      <c r="AK352">
        <v>500</v>
      </c>
      <c r="AL352" t="s">
        <v>1709</v>
      </c>
      <c r="AM352" t="s">
        <v>123</v>
      </c>
    </row>
    <row r="353" spans="1:39" x14ac:dyDescent="0.2">
      <c r="A353" s="2">
        <v>45030.516527777778</v>
      </c>
      <c r="B353" s="2">
        <v>45030.522523148145</v>
      </c>
      <c r="C353" t="s">
        <v>42</v>
      </c>
      <c r="D353" t="s">
        <v>1711</v>
      </c>
      <c r="E353">
        <v>100</v>
      </c>
      <c r="F353">
        <v>517</v>
      </c>
      <c r="G353" t="b">
        <v>1</v>
      </c>
      <c r="H353" s="2">
        <v>45030.522523148145</v>
      </c>
      <c r="I353" t="s">
        <v>1712</v>
      </c>
      <c r="N353">
        <v>38.886800000000001</v>
      </c>
      <c r="O353">
        <v>-94.822299999999998</v>
      </c>
      <c r="P353" t="s">
        <v>111</v>
      </c>
      <c r="Q353" t="s">
        <v>112</v>
      </c>
      <c r="R353" t="s">
        <v>1713</v>
      </c>
      <c r="S353" t="s">
        <v>114</v>
      </c>
      <c r="W353">
        <v>8</v>
      </c>
      <c r="X353" t="s">
        <v>1714</v>
      </c>
      <c r="AC353">
        <v>0.06</v>
      </c>
      <c r="AD353">
        <v>500</v>
      </c>
      <c r="AE353">
        <v>10</v>
      </c>
      <c r="AF353">
        <v>1E-3</v>
      </c>
      <c r="AG353">
        <v>20</v>
      </c>
      <c r="AH353">
        <v>100</v>
      </c>
      <c r="AI353" t="s">
        <v>1485</v>
      </c>
      <c r="AJ353">
        <v>0.1</v>
      </c>
      <c r="AK353">
        <v>100</v>
      </c>
      <c r="AL353" t="s">
        <v>1713</v>
      </c>
      <c r="AM353" t="s">
        <v>135</v>
      </c>
    </row>
    <row r="354" spans="1:39" x14ac:dyDescent="0.2">
      <c r="A354" s="2">
        <v>45030.517407407409</v>
      </c>
      <c r="B354" s="2">
        <v>45030.52270833333</v>
      </c>
      <c r="C354" t="s">
        <v>42</v>
      </c>
      <c r="D354" t="s">
        <v>1715</v>
      </c>
      <c r="E354">
        <v>100</v>
      </c>
      <c r="F354">
        <v>458</v>
      </c>
      <c r="G354" t="b">
        <v>1</v>
      </c>
      <c r="H354" s="2">
        <v>45030.522731481484</v>
      </c>
      <c r="I354" t="s">
        <v>1716</v>
      </c>
      <c r="N354">
        <v>37.802100000000003</v>
      </c>
      <c r="O354">
        <v>-122.43300000000001</v>
      </c>
      <c r="P354" t="s">
        <v>111</v>
      </c>
      <c r="Q354" t="s">
        <v>112</v>
      </c>
      <c r="R354" t="s">
        <v>1717</v>
      </c>
      <c r="S354" t="s">
        <v>114</v>
      </c>
      <c r="T354">
        <v>23</v>
      </c>
      <c r="U354">
        <v>2</v>
      </c>
      <c r="W354">
        <v>20</v>
      </c>
      <c r="X354" t="s">
        <v>1718</v>
      </c>
      <c r="AD354">
        <v>500</v>
      </c>
      <c r="AE354">
        <v>10</v>
      </c>
      <c r="AF354" s="4">
        <v>1E-3</v>
      </c>
      <c r="AG354">
        <v>20</v>
      </c>
      <c r="AH354">
        <v>100</v>
      </c>
      <c r="AI354" s="3">
        <v>0.09</v>
      </c>
      <c r="AJ354">
        <v>0.1</v>
      </c>
      <c r="AK354" t="s">
        <v>164</v>
      </c>
      <c r="AL354" t="s">
        <v>1717</v>
      </c>
      <c r="AM354" t="s">
        <v>123</v>
      </c>
    </row>
    <row r="355" spans="1:39" x14ac:dyDescent="0.2">
      <c r="A355" s="2">
        <v>45030.519849537035</v>
      </c>
      <c r="B355" s="2">
        <v>45030.522812499999</v>
      </c>
      <c r="C355" t="s">
        <v>42</v>
      </c>
      <c r="D355" t="s">
        <v>1719</v>
      </c>
      <c r="E355">
        <v>100</v>
      </c>
      <c r="F355">
        <v>256</v>
      </c>
      <c r="G355" t="b">
        <v>1</v>
      </c>
      <c r="H355" s="2">
        <v>45030.522824074076</v>
      </c>
      <c r="I355" t="s">
        <v>1720</v>
      </c>
      <c r="N355">
        <v>34.862699999999997</v>
      </c>
      <c r="O355">
        <v>-82.318600000000004</v>
      </c>
      <c r="P355" t="s">
        <v>111</v>
      </c>
      <c r="Q355" t="s">
        <v>112</v>
      </c>
      <c r="R355" t="s">
        <v>1721</v>
      </c>
      <c r="S355" t="s">
        <v>114</v>
      </c>
      <c r="W355">
        <v>75</v>
      </c>
      <c r="X355" t="s">
        <v>1722</v>
      </c>
      <c r="Y355">
        <v>3</v>
      </c>
      <c r="AD355">
        <v>500</v>
      </c>
      <c r="AE355">
        <v>10</v>
      </c>
      <c r="AF355" s="4">
        <v>1E-3</v>
      </c>
      <c r="AG355">
        <v>20</v>
      </c>
      <c r="AH355">
        <v>100</v>
      </c>
      <c r="AI355">
        <v>50</v>
      </c>
      <c r="AJ355" s="5">
        <v>0.05</v>
      </c>
      <c r="AK355" t="s">
        <v>159</v>
      </c>
      <c r="AL355" t="s">
        <v>1721</v>
      </c>
      <c r="AM355" t="s">
        <v>117</v>
      </c>
    </row>
    <row r="356" spans="1:39" x14ac:dyDescent="0.2">
      <c r="A356" s="2">
        <v>45030.519965277781</v>
      </c>
      <c r="B356" s="2">
        <v>45030.522951388892</v>
      </c>
      <c r="C356" t="s">
        <v>42</v>
      </c>
      <c r="D356" t="s">
        <v>1723</v>
      </c>
      <c r="E356">
        <v>100</v>
      </c>
      <c r="F356">
        <v>258</v>
      </c>
      <c r="G356" t="b">
        <v>1</v>
      </c>
      <c r="H356" s="2">
        <v>45030.522962962961</v>
      </c>
      <c r="I356" t="s">
        <v>1724</v>
      </c>
      <c r="N356">
        <v>43.059199999999997</v>
      </c>
      <c r="O356">
        <v>-73.735600000000005</v>
      </c>
      <c r="P356" t="s">
        <v>111</v>
      </c>
      <c r="Q356" t="s">
        <v>112</v>
      </c>
      <c r="R356" t="s">
        <v>1725</v>
      </c>
      <c r="S356" t="s">
        <v>114</v>
      </c>
      <c r="W356">
        <v>72</v>
      </c>
      <c r="X356" t="s">
        <v>1726</v>
      </c>
      <c r="Z356" t="s">
        <v>1727</v>
      </c>
      <c r="AD356">
        <v>500</v>
      </c>
      <c r="AE356">
        <v>10</v>
      </c>
      <c r="AF356">
        <v>0.1</v>
      </c>
      <c r="AG356">
        <v>20</v>
      </c>
      <c r="AH356">
        <v>10</v>
      </c>
      <c r="AI356">
        <v>90</v>
      </c>
      <c r="AJ356">
        <v>0.05</v>
      </c>
      <c r="AK356" t="s">
        <v>208</v>
      </c>
      <c r="AL356" t="s">
        <v>1725</v>
      </c>
      <c r="AM356" t="s">
        <v>128</v>
      </c>
    </row>
    <row r="357" spans="1:39" x14ac:dyDescent="0.2">
      <c r="A357" s="2">
        <v>45030.511192129627</v>
      </c>
      <c r="B357" s="2">
        <v>45030.523032407407</v>
      </c>
      <c r="C357" t="s">
        <v>42</v>
      </c>
      <c r="D357" t="s">
        <v>1728</v>
      </c>
      <c r="E357">
        <v>100</v>
      </c>
      <c r="F357">
        <v>1023</v>
      </c>
      <c r="G357" t="b">
        <v>1</v>
      </c>
      <c r="H357" s="2">
        <v>45030.523043981484</v>
      </c>
      <c r="I357" t="s">
        <v>1729</v>
      </c>
      <c r="N357">
        <v>36.8919</v>
      </c>
      <c r="O357">
        <v>-76.232500000000002</v>
      </c>
      <c r="P357" t="s">
        <v>111</v>
      </c>
      <c r="Q357" t="s">
        <v>112</v>
      </c>
      <c r="R357" t="s">
        <v>1730</v>
      </c>
      <c r="S357" t="s">
        <v>114</v>
      </c>
      <c r="W357">
        <v>31</v>
      </c>
      <c r="X357" t="s">
        <v>1731</v>
      </c>
      <c r="AA357">
        <v>3</v>
      </c>
      <c r="AD357" s="3">
        <v>0.55000000000000004</v>
      </c>
      <c r="AE357" s="3">
        <v>0.01</v>
      </c>
      <c r="AF357" t="s">
        <v>1732</v>
      </c>
      <c r="AG357" s="3">
        <v>0.2</v>
      </c>
      <c r="AH357">
        <v>10</v>
      </c>
      <c r="AI357" s="3">
        <v>0.18</v>
      </c>
      <c r="AJ357" t="s">
        <v>1733</v>
      </c>
      <c r="AK357" t="s">
        <v>164</v>
      </c>
      <c r="AL357" t="s">
        <v>1730</v>
      </c>
      <c r="AM357" t="s">
        <v>128</v>
      </c>
    </row>
    <row r="358" spans="1:39" x14ac:dyDescent="0.2">
      <c r="A358" s="2">
        <v>45030.518900462965</v>
      </c>
      <c r="B358" s="2">
        <v>45030.523125</v>
      </c>
      <c r="C358" t="s">
        <v>42</v>
      </c>
      <c r="D358" t="s">
        <v>1734</v>
      </c>
      <c r="E358">
        <v>100</v>
      </c>
      <c r="F358">
        <v>365</v>
      </c>
      <c r="G358" t="b">
        <v>1</v>
      </c>
      <c r="H358" s="2">
        <v>45030.523136574076</v>
      </c>
      <c r="I358" t="s">
        <v>1735</v>
      </c>
      <c r="N358">
        <v>36.223999999999997</v>
      </c>
      <c r="O358">
        <v>-83.317899999999995</v>
      </c>
      <c r="P358" t="s">
        <v>111</v>
      </c>
      <c r="Q358" t="s">
        <v>112</v>
      </c>
      <c r="R358" t="s">
        <v>1736</v>
      </c>
      <c r="S358" t="s">
        <v>114</v>
      </c>
      <c r="T358">
        <v>40</v>
      </c>
      <c r="U358" t="s">
        <v>1737</v>
      </c>
      <c r="W358">
        <v>35</v>
      </c>
      <c r="X358" t="s">
        <v>1738</v>
      </c>
      <c r="AD358" t="s">
        <v>1739</v>
      </c>
      <c r="AE358" t="s">
        <v>1740</v>
      </c>
      <c r="AF358" s="4">
        <v>1E-3</v>
      </c>
      <c r="AG358" s="3">
        <v>0.2</v>
      </c>
      <c r="AH358">
        <v>10</v>
      </c>
      <c r="AI358" t="s">
        <v>1741</v>
      </c>
      <c r="AJ358" t="s">
        <v>1706</v>
      </c>
      <c r="AK358" t="s">
        <v>1742</v>
      </c>
      <c r="AL358" t="s">
        <v>1736</v>
      </c>
      <c r="AM358" t="s">
        <v>123</v>
      </c>
    </row>
    <row r="359" spans="1:39" x14ac:dyDescent="0.2">
      <c r="A359" s="2">
        <v>45030.519803240742</v>
      </c>
      <c r="B359" s="2">
        <v>45030.523136574076</v>
      </c>
      <c r="C359" t="s">
        <v>42</v>
      </c>
      <c r="D359" t="s">
        <v>1743</v>
      </c>
      <c r="E359">
        <v>100</v>
      </c>
      <c r="F359">
        <v>287</v>
      </c>
      <c r="G359" t="b">
        <v>1</v>
      </c>
      <c r="H359" s="2">
        <v>45030.523136574076</v>
      </c>
      <c r="I359" t="s">
        <v>1744</v>
      </c>
      <c r="N359">
        <v>43.801299999999998</v>
      </c>
      <c r="O359">
        <v>-91.213399999999993</v>
      </c>
      <c r="P359" t="s">
        <v>111</v>
      </c>
      <c r="Q359" t="s">
        <v>112</v>
      </c>
      <c r="R359" t="s">
        <v>1745</v>
      </c>
      <c r="S359" t="s">
        <v>114</v>
      </c>
      <c r="W359">
        <v>51</v>
      </c>
      <c r="X359" t="s">
        <v>1746</v>
      </c>
      <c r="Z359" t="s">
        <v>1747</v>
      </c>
      <c r="AD359">
        <v>500</v>
      </c>
      <c r="AE359">
        <v>10</v>
      </c>
      <c r="AF359">
        <v>10</v>
      </c>
      <c r="AG359">
        <v>20</v>
      </c>
      <c r="AH359">
        <v>100</v>
      </c>
      <c r="AI359" s="3">
        <v>0.5</v>
      </c>
      <c r="AJ359">
        <v>0.05</v>
      </c>
      <c r="AK359" t="s">
        <v>159</v>
      </c>
      <c r="AL359" t="s">
        <v>1745</v>
      </c>
      <c r="AM359" t="s">
        <v>128</v>
      </c>
    </row>
    <row r="360" spans="1:39" x14ac:dyDescent="0.2">
      <c r="A360" s="2">
        <v>45030.519803240742</v>
      </c>
      <c r="B360" s="2">
        <v>45030.523125</v>
      </c>
      <c r="C360" t="s">
        <v>42</v>
      </c>
      <c r="D360" t="s">
        <v>1748</v>
      </c>
      <c r="E360">
        <v>100</v>
      </c>
      <c r="F360">
        <v>287</v>
      </c>
      <c r="G360" t="b">
        <v>1</v>
      </c>
      <c r="H360" s="2">
        <v>45030.523136574076</v>
      </c>
      <c r="I360" t="s">
        <v>1749</v>
      </c>
      <c r="N360">
        <v>35.078099999999999</v>
      </c>
      <c r="O360">
        <v>-106.6583</v>
      </c>
      <c r="P360" t="s">
        <v>111</v>
      </c>
      <c r="Q360" t="s">
        <v>112</v>
      </c>
      <c r="R360" t="s">
        <v>1750</v>
      </c>
      <c r="S360" t="s">
        <v>114</v>
      </c>
      <c r="W360">
        <v>60</v>
      </c>
      <c r="X360" t="s">
        <v>1751</v>
      </c>
      <c r="Z360">
        <v>1.5</v>
      </c>
      <c r="AD360">
        <v>500</v>
      </c>
      <c r="AE360">
        <v>10</v>
      </c>
      <c r="AF360" s="4">
        <v>1E-3</v>
      </c>
      <c r="AG360">
        <v>20</v>
      </c>
      <c r="AH360">
        <v>100</v>
      </c>
      <c r="AI360" s="3">
        <v>0.5</v>
      </c>
      <c r="AJ360" s="5">
        <v>0.05</v>
      </c>
      <c r="AK360">
        <v>100</v>
      </c>
      <c r="AL360" t="s">
        <v>1750</v>
      </c>
      <c r="AM360" t="s">
        <v>128</v>
      </c>
    </row>
    <row r="361" spans="1:39" x14ac:dyDescent="0.2">
      <c r="A361" s="2">
        <v>45030.519675925927</v>
      </c>
      <c r="B361" s="2">
        <v>45030.523206018515</v>
      </c>
      <c r="C361" t="s">
        <v>42</v>
      </c>
      <c r="D361" t="s">
        <v>1752</v>
      </c>
      <c r="E361">
        <v>100</v>
      </c>
      <c r="F361">
        <v>304</v>
      </c>
      <c r="G361" t="b">
        <v>1</v>
      </c>
      <c r="H361" s="2">
        <v>45030.523206018515</v>
      </c>
      <c r="I361" t="s">
        <v>1753</v>
      </c>
      <c r="N361">
        <v>43.116599999999998</v>
      </c>
      <c r="O361">
        <v>-87.990399999999994</v>
      </c>
      <c r="P361" t="s">
        <v>111</v>
      </c>
      <c r="Q361" t="s">
        <v>112</v>
      </c>
      <c r="R361" t="s">
        <v>1754</v>
      </c>
      <c r="S361" t="s">
        <v>114</v>
      </c>
      <c r="W361">
        <v>8</v>
      </c>
      <c r="X361" t="s">
        <v>1755</v>
      </c>
      <c r="AC361" t="s">
        <v>1756</v>
      </c>
      <c r="AD361">
        <v>500</v>
      </c>
      <c r="AE361">
        <v>10</v>
      </c>
      <c r="AF361">
        <v>1E-3</v>
      </c>
      <c r="AG361">
        <v>20</v>
      </c>
      <c r="AH361">
        <v>100</v>
      </c>
      <c r="AI361" s="3">
        <v>0.9</v>
      </c>
      <c r="AJ361">
        <v>0.05</v>
      </c>
      <c r="AK361" t="s">
        <v>159</v>
      </c>
      <c r="AL361" t="s">
        <v>1754</v>
      </c>
      <c r="AM361" t="s">
        <v>135</v>
      </c>
    </row>
    <row r="362" spans="1:39" x14ac:dyDescent="0.2">
      <c r="A362" s="2">
        <v>45030.515694444446</v>
      </c>
      <c r="B362" s="2">
        <v>45030.523287037038</v>
      </c>
      <c r="C362" t="s">
        <v>42</v>
      </c>
      <c r="D362" t="s">
        <v>1757</v>
      </c>
      <c r="E362">
        <v>100</v>
      </c>
      <c r="F362">
        <v>656</v>
      </c>
      <c r="G362" t="b">
        <v>1</v>
      </c>
      <c r="H362" s="2">
        <v>45030.523298611108</v>
      </c>
      <c r="I362" t="s">
        <v>1758</v>
      </c>
      <c r="N362">
        <v>39.036999999999999</v>
      </c>
      <c r="O362">
        <v>-77.041200000000003</v>
      </c>
      <c r="P362" t="s">
        <v>111</v>
      </c>
      <c r="Q362" t="s">
        <v>112</v>
      </c>
      <c r="R362" t="s">
        <v>1759</v>
      </c>
      <c r="S362" t="s">
        <v>114</v>
      </c>
      <c r="W362">
        <v>0</v>
      </c>
      <c r="X362" t="s">
        <v>1760</v>
      </c>
      <c r="Y362" t="s">
        <v>1761</v>
      </c>
      <c r="AD362">
        <v>300</v>
      </c>
      <c r="AE362">
        <v>10</v>
      </c>
      <c r="AF362">
        <v>10</v>
      </c>
      <c r="AG362">
        <v>20</v>
      </c>
      <c r="AH362">
        <v>100</v>
      </c>
      <c r="AI362" t="s">
        <v>1762</v>
      </c>
      <c r="AJ362" s="5">
        <v>0.1</v>
      </c>
      <c r="AK362" t="s">
        <v>148</v>
      </c>
      <c r="AL362" t="s">
        <v>1759</v>
      </c>
      <c r="AM362" t="s">
        <v>117</v>
      </c>
    </row>
    <row r="363" spans="1:39" x14ac:dyDescent="0.2">
      <c r="A363" s="2">
        <v>45030.512430555558</v>
      </c>
      <c r="B363" s="2">
        <v>45030.523298611108</v>
      </c>
      <c r="C363" t="s">
        <v>42</v>
      </c>
      <c r="D363" t="s">
        <v>1763</v>
      </c>
      <c r="E363">
        <v>100</v>
      </c>
      <c r="F363">
        <v>939</v>
      </c>
      <c r="G363" t="b">
        <v>1</v>
      </c>
      <c r="H363" s="2">
        <v>45030.523310185185</v>
      </c>
      <c r="I363" t="s">
        <v>1764</v>
      </c>
      <c r="N363">
        <v>41.757899999999999</v>
      </c>
      <c r="O363">
        <v>-88.293400000000005</v>
      </c>
      <c r="P363" t="s">
        <v>111</v>
      </c>
      <c r="Q363" t="s">
        <v>112</v>
      </c>
      <c r="R363" t="s">
        <v>1765</v>
      </c>
      <c r="S363" t="s">
        <v>114</v>
      </c>
      <c r="T363">
        <v>0</v>
      </c>
      <c r="U363" t="s">
        <v>1457</v>
      </c>
      <c r="W363">
        <v>0</v>
      </c>
      <c r="X363" t="s">
        <v>1766</v>
      </c>
      <c r="AD363" s="3">
        <v>0.5</v>
      </c>
      <c r="AE363">
        <v>10</v>
      </c>
      <c r="AF363" t="s">
        <v>1767</v>
      </c>
      <c r="AG363">
        <v>20</v>
      </c>
      <c r="AH363">
        <v>100</v>
      </c>
      <c r="AI363" t="s">
        <v>1768</v>
      </c>
      <c r="AJ363">
        <v>0.1</v>
      </c>
      <c r="AK363" t="s">
        <v>159</v>
      </c>
      <c r="AL363" t="s">
        <v>1765</v>
      </c>
      <c r="AM363" t="s">
        <v>123</v>
      </c>
    </row>
    <row r="364" spans="1:39" ht="289" x14ac:dyDescent="0.2">
      <c r="A364" s="2">
        <v>45030.519513888888</v>
      </c>
      <c r="B364" s="2">
        <v>45030.523310185185</v>
      </c>
      <c r="C364" t="s">
        <v>42</v>
      </c>
      <c r="D364" t="s">
        <v>1769</v>
      </c>
      <c r="E364">
        <v>100</v>
      </c>
      <c r="F364">
        <v>327</v>
      </c>
      <c r="G364" t="b">
        <v>1</v>
      </c>
      <c r="H364" s="2">
        <v>45030.523321759261</v>
      </c>
      <c r="I364" t="s">
        <v>1770</v>
      </c>
      <c r="N364">
        <v>25.869599999999998</v>
      </c>
      <c r="O364">
        <v>-80.307299999999998</v>
      </c>
      <c r="P364" t="s">
        <v>111</v>
      </c>
      <c r="Q364" t="s">
        <v>112</v>
      </c>
      <c r="R364" t="s">
        <v>1771</v>
      </c>
      <c r="S364" t="s">
        <v>114</v>
      </c>
      <c r="W364">
        <v>30</v>
      </c>
      <c r="X364" s="1" t="s">
        <v>1772</v>
      </c>
      <c r="AC364" t="s">
        <v>308</v>
      </c>
      <c r="AD364">
        <v>500</v>
      </c>
      <c r="AE364">
        <v>10</v>
      </c>
      <c r="AF364">
        <v>0.1</v>
      </c>
      <c r="AG364">
        <v>20</v>
      </c>
      <c r="AH364">
        <v>100</v>
      </c>
      <c r="AI364" s="3">
        <v>0.5</v>
      </c>
      <c r="AJ364">
        <v>0.05</v>
      </c>
      <c r="AK364" t="s">
        <v>159</v>
      </c>
      <c r="AL364" t="s">
        <v>1771</v>
      </c>
      <c r="AM364" t="s">
        <v>135</v>
      </c>
    </row>
    <row r="365" spans="1:39" x14ac:dyDescent="0.2">
      <c r="A365" s="2">
        <v>45030.518171296295</v>
      </c>
      <c r="B365" s="2">
        <v>45030.523530092592</v>
      </c>
      <c r="C365" t="s">
        <v>42</v>
      </c>
      <c r="D365" t="s">
        <v>1773</v>
      </c>
      <c r="E365">
        <v>100</v>
      </c>
      <c r="F365">
        <v>462</v>
      </c>
      <c r="G365" t="b">
        <v>1</v>
      </c>
      <c r="H365" s="2">
        <v>45030.523541666669</v>
      </c>
      <c r="I365" t="s">
        <v>1774</v>
      </c>
      <c r="N365">
        <v>34.934699999999999</v>
      </c>
      <c r="O365">
        <v>-79.767200000000003</v>
      </c>
      <c r="P365" t="s">
        <v>111</v>
      </c>
      <c r="Q365" t="s">
        <v>112</v>
      </c>
      <c r="R365" t="s">
        <v>1775</v>
      </c>
      <c r="S365" t="s">
        <v>114</v>
      </c>
      <c r="W365">
        <v>30</v>
      </c>
      <c r="X365" t="s">
        <v>1776</v>
      </c>
      <c r="Y365">
        <v>7</v>
      </c>
      <c r="AD365">
        <v>500</v>
      </c>
      <c r="AE365">
        <v>10</v>
      </c>
      <c r="AF365">
        <v>0.1</v>
      </c>
      <c r="AG365">
        <v>20</v>
      </c>
      <c r="AH365">
        <v>100</v>
      </c>
      <c r="AI365" t="s">
        <v>1777</v>
      </c>
      <c r="AJ365" t="s">
        <v>134</v>
      </c>
      <c r="AK365" t="s">
        <v>159</v>
      </c>
      <c r="AL365" t="s">
        <v>1775</v>
      </c>
      <c r="AM365" t="s">
        <v>117</v>
      </c>
    </row>
    <row r="366" spans="1:39" x14ac:dyDescent="0.2">
      <c r="A366" s="2">
        <v>45030.520520833335</v>
      </c>
      <c r="B366" s="2">
        <v>45030.523645833331</v>
      </c>
      <c r="C366" t="s">
        <v>42</v>
      </c>
      <c r="D366" t="s">
        <v>1778</v>
      </c>
      <c r="E366">
        <v>100</v>
      </c>
      <c r="F366">
        <v>270</v>
      </c>
      <c r="G366" t="b">
        <v>1</v>
      </c>
      <c r="H366" s="2">
        <v>45030.523657407408</v>
      </c>
      <c r="I366" t="s">
        <v>1779</v>
      </c>
      <c r="N366">
        <v>42.037300000000002</v>
      </c>
      <c r="O366">
        <v>-93.600499999999997</v>
      </c>
      <c r="P366" t="s">
        <v>111</v>
      </c>
      <c r="Q366" t="s">
        <v>112</v>
      </c>
      <c r="R366" t="s">
        <v>1780</v>
      </c>
      <c r="S366" t="s">
        <v>114</v>
      </c>
      <c r="W366">
        <v>100</v>
      </c>
      <c r="X366" t="s">
        <v>1781</v>
      </c>
      <c r="Y366" t="s">
        <v>1782</v>
      </c>
      <c r="AD366">
        <v>500</v>
      </c>
      <c r="AE366">
        <v>10</v>
      </c>
      <c r="AF366">
        <v>10</v>
      </c>
      <c r="AG366">
        <v>20</v>
      </c>
      <c r="AH366">
        <v>100</v>
      </c>
      <c r="AI366">
        <v>9</v>
      </c>
      <c r="AJ366">
        <v>0.05</v>
      </c>
      <c r="AK366" t="s">
        <v>159</v>
      </c>
      <c r="AL366" t="s">
        <v>1780</v>
      </c>
      <c r="AM366" t="s">
        <v>117</v>
      </c>
    </row>
    <row r="367" spans="1:39" x14ac:dyDescent="0.2">
      <c r="A367" s="2">
        <v>45030.515381944446</v>
      </c>
      <c r="B367" s="2">
        <v>45030.52375</v>
      </c>
      <c r="C367" t="s">
        <v>42</v>
      </c>
      <c r="D367" t="s">
        <v>1783</v>
      </c>
      <c r="E367">
        <v>100</v>
      </c>
      <c r="F367">
        <v>722</v>
      </c>
      <c r="G367" t="b">
        <v>1</v>
      </c>
      <c r="H367" s="2">
        <v>45030.523761574077</v>
      </c>
      <c r="I367" t="s">
        <v>1784</v>
      </c>
      <c r="N367">
        <v>36.8797</v>
      </c>
      <c r="O367">
        <v>-76.264399999999995</v>
      </c>
      <c r="P367" t="s">
        <v>111</v>
      </c>
      <c r="Q367" t="s">
        <v>112</v>
      </c>
      <c r="R367" t="s">
        <v>1785</v>
      </c>
      <c r="S367" t="s">
        <v>114</v>
      </c>
      <c r="T367">
        <v>20</v>
      </c>
      <c r="U367">
        <v>0.75</v>
      </c>
      <c r="W367">
        <v>30</v>
      </c>
      <c r="X367" t="s">
        <v>1786</v>
      </c>
      <c r="AD367">
        <v>500</v>
      </c>
      <c r="AE367">
        <v>10</v>
      </c>
      <c r="AF367" s="4">
        <v>1E-3</v>
      </c>
      <c r="AG367">
        <v>20</v>
      </c>
      <c r="AH367">
        <v>100</v>
      </c>
      <c r="AI367" s="3">
        <v>0.09</v>
      </c>
      <c r="AJ367">
        <v>0.05</v>
      </c>
      <c r="AK367" t="s">
        <v>208</v>
      </c>
      <c r="AL367" t="s">
        <v>1785</v>
      </c>
      <c r="AM367" t="s">
        <v>123</v>
      </c>
    </row>
    <row r="368" spans="1:39" x14ac:dyDescent="0.2">
      <c r="A368" s="2">
        <v>45030.519282407404</v>
      </c>
      <c r="B368" s="2">
        <v>45030.52375</v>
      </c>
      <c r="C368" t="s">
        <v>42</v>
      </c>
      <c r="D368" t="s">
        <v>1787</v>
      </c>
      <c r="E368">
        <v>100</v>
      </c>
      <c r="F368">
        <v>385</v>
      </c>
      <c r="G368" t="b">
        <v>1</v>
      </c>
      <c r="H368" s="2">
        <v>45030.523761574077</v>
      </c>
      <c r="I368" t="s">
        <v>1788</v>
      </c>
      <c r="N368">
        <v>31.113099999999999</v>
      </c>
      <c r="O368">
        <v>-97.722099999999998</v>
      </c>
      <c r="P368" t="s">
        <v>111</v>
      </c>
      <c r="Q368" t="s">
        <v>112</v>
      </c>
      <c r="R368" t="s">
        <v>1789</v>
      </c>
      <c r="S368" t="s">
        <v>114</v>
      </c>
      <c r="T368">
        <v>66</v>
      </c>
      <c r="V368">
        <v>2</v>
      </c>
      <c r="W368">
        <v>42</v>
      </c>
      <c r="X368" t="s">
        <v>1790</v>
      </c>
      <c r="AD368">
        <v>500</v>
      </c>
      <c r="AE368">
        <v>10</v>
      </c>
      <c r="AF368" s="3">
        <v>0.01</v>
      </c>
      <c r="AG368">
        <v>20</v>
      </c>
      <c r="AH368" s="3">
        <v>0.01</v>
      </c>
      <c r="AI368" t="s">
        <v>1791</v>
      </c>
      <c r="AJ368">
        <v>0.1</v>
      </c>
      <c r="AK368">
        <v>100</v>
      </c>
      <c r="AL368" t="s">
        <v>1789</v>
      </c>
      <c r="AM368" t="s">
        <v>123</v>
      </c>
    </row>
    <row r="369" spans="1:39" x14ac:dyDescent="0.2">
      <c r="A369" s="2">
        <v>45030.513194444444</v>
      </c>
      <c r="B369" s="2">
        <v>45030.523900462962</v>
      </c>
      <c r="C369" t="s">
        <v>42</v>
      </c>
      <c r="D369" t="s">
        <v>1792</v>
      </c>
      <c r="E369">
        <v>100</v>
      </c>
      <c r="F369">
        <v>925</v>
      </c>
      <c r="G369" t="b">
        <v>1</v>
      </c>
      <c r="H369" s="2">
        <v>45030.523900462962</v>
      </c>
      <c r="I369" t="s">
        <v>1793</v>
      </c>
      <c r="N369">
        <v>42.325499999999998</v>
      </c>
      <c r="O369">
        <v>-83.041499999999999</v>
      </c>
      <c r="P369" t="s">
        <v>111</v>
      </c>
      <c r="Q369" t="s">
        <v>112</v>
      </c>
      <c r="R369" t="s">
        <v>1794</v>
      </c>
      <c r="S369" t="s">
        <v>114</v>
      </c>
      <c r="W369">
        <v>58</v>
      </c>
      <c r="X369" t="s">
        <v>1795</v>
      </c>
      <c r="Y369">
        <v>1</v>
      </c>
      <c r="AD369">
        <v>500</v>
      </c>
      <c r="AE369">
        <v>10</v>
      </c>
      <c r="AF369" s="4">
        <v>1E-3</v>
      </c>
      <c r="AG369">
        <v>20</v>
      </c>
      <c r="AH369">
        <v>100</v>
      </c>
      <c r="AI369" s="3">
        <v>0.9</v>
      </c>
      <c r="AJ369" s="5">
        <v>0.1</v>
      </c>
      <c r="AK369" t="s">
        <v>1685</v>
      </c>
      <c r="AL369" t="s">
        <v>1794</v>
      </c>
      <c r="AM369" t="s">
        <v>117</v>
      </c>
    </row>
    <row r="370" spans="1:39" x14ac:dyDescent="0.2">
      <c r="A370" s="2">
        <v>45030.518900462965</v>
      </c>
      <c r="B370" s="2">
        <v>45030.523900462962</v>
      </c>
      <c r="C370" t="s">
        <v>42</v>
      </c>
      <c r="D370" t="s">
        <v>1796</v>
      </c>
      <c r="E370">
        <v>100</v>
      </c>
      <c r="F370">
        <v>431</v>
      </c>
      <c r="G370" t="b">
        <v>1</v>
      </c>
      <c r="H370" s="2">
        <v>45030.523912037039</v>
      </c>
      <c r="I370" t="s">
        <v>1797</v>
      </c>
      <c r="N370">
        <v>40.6372</v>
      </c>
      <c r="O370">
        <v>-73.903700000000001</v>
      </c>
      <c r="P370" t="s">
        <v>111</v>
      </c>
      <c r="Q370" t="s">
        <v>112</v>
      </c>
      <c r="R370" t="s">
        <v>1798</v>
      </c>
      <c r="S370" t="s">
        <v>114</v>
      </c>
      <c r="W370">
        <v>99</v>
      </c>
      <c r="X370" t="s">
        <v>1799</v>
      </c>
      <c r="AB370">
        <v>0.1</v>
      </c>
      <c r="AD370">
        <v>500</v>
      </c>
      <c r="AE370">
        <v>10</v>
      </c>
      <c r="AF370" s="4">
        <v>1E-3</v>
      </c>
      <c r="AG370" s="3">
        <v>0.2</v>
      </c>
      <c r="AH370">
        <v>100</v>
      </c>
      <c r="AI370">
        <v>1</v>
      </c>
      <c r="AJ370">
        <v>0.1</v>
      </c>
      <c r="AK370">
        <v>100</v>
      </c>
      <c r="AL370" t="s">
        <v>1798</v>
      </c>
      <c r="AM370" t="s">
        <v>135</v>
      </c>
    </row>
    <row r="371" spans="1:39" x14ac:dyDescent="0.2">
      <c r="A371" s="2">
        <v>45030.517858796295</v>
      </c>
      <c r="B371" s="2">
        <v>45030.524085648147</v>
      </c>
      <c r="C371" t="s">
        <v>42</v>
      </c>
      <c r="D371" t="s">
        <v>1800</v>
      </c>
      <c r="E371">
        <v>100</v>
      </c>
      <c r="F371">
        <v>537</v>
      </c>
      <c r="G371" t="b">
        <v>1</v>
      </c>
      <c r="H371" s="2">
        <v>45030.524097222224</v>
      </c>
      <c r="I371" t="s">
        <v>1801</v>
      </c>
      <c r="N371">
        <v>34.051499999999997</v>
      </c>
      <c r="O371">
        <v>-118.27070000000001</v>
      </c>
      <c r="P371" t="s">
        <v>111</v>
      </c>
      <c r="Q371" t="s">
        <v>112</v>
      </c>
      <c r="R371" t="s">
        <v>1802</v>
      </c>
      <c r="S371" t="s">
        <v>114</v>
      </c>
      <c r="W371">
        <v>80</v>
      </c>
      <c r="X371" t="s">
        <v>1803</v>
      </c>
      <c r="Z371" t="s">
        <v>1804</v>
      </c>
      <c r="AD371">
        <v>500</v>
      </c>
      <c r="AE371">
        <v>10</v>
      </c>
      <c r="AF371">
        <v>0.5</v>
      </c>
      <c r="AG371">
        <v>20</v>
      </c>
      <c r="AH371">
        <v>100</v>
      </c>
      <c r="AI371">
        <v>18</v>
      </c>
      <c r="AJ371" t="s">
        <v>134</v>
      </c>
      <c r="AK371" t="s">
        <v>159</v>
      </c>
      <c r="AL371" t="s">
        <v>1802</v>
      </c>
      <c r="AM371" t="s">
        <v>128</v>
      </c>
    </row>
    <row r="372" spans="1:39" x14ac:dyDescent="0.2">
      <c r="A372" s="2">
        <v>45030.518067129633</v>
      </c>
      <c r="B372" s="2">
        <v>45030.524097222224</v>
      </c>
      <c r="C372" t="s">
        <v>42</v>
      </c>
      <c r="D372" t="s">
        <v>1805</v>
      </c>
      <c r="E372">
        <v>100</v>
      </c>
      <c r="F372">
        <v>521</v>
      </c>
      <c r="G372" t="b">
        <v>1</v>
      </c>
      <c r="H372" s="2">
        <v>45030.524108796293</v>
      </c>
      <c r="I372" t="s">
        <v>1806</v>
      </c>
      <c r="N372">
        <v>33.785499999999999</v>
      </c>
      <c r="O372">
        <v>-84.361199999999997</v>
      </c>
      <c r="P372" t="s">
        <v>111</v>
      </c>
      <c r="Q372" t="s">
        <v>112</v>
      </c>
      <c r="R372" t="s">
        <v>1807</v>
      </c>
      <c r="S372" t="s">
        <v>114</v>
      </c>
      <c r="W372">
        <v>86</v>
      </c>
      <c r="X372" t="s">
        <v>1808</v>
      </c>
      <c r="Z372" t="s">
        <v>1809</v>
      </c>
      <c r="AD372">
        <v>500</v>
      </c>
      <c r="AE372">
        <v>10</v>
      </c>
      <c r="AF372" s="3">
        <v>0.01</v>
      </c>
      <c r="AG372">
        <v>20</v>
      </c>
      <c r="AH372">
        <v>100</v>
      </c>
      <c r="AI372" s="3">
        <v>0.9</v>
      </c>
      <c r="AJ372">
        <v>0.05</v>
      </c>
      <c r="AK372">
        <v>100</v>
      </c>
      <c r="AL372" t="s">
        <v>1807</v>
      </c>
      <c r="AM372" t="s">
        <v>128</v>
      </c>
    </row>
    <row r="373" spans="1:39" x14ac:dyDescent="0.2">
      <c r="A373" s="2">
        <v>45030.516041666669</v>
      </c>
      <c r="B373" s="2">
        <v>45030.524259259262</v>
      </c>
      <c r="C373" t="s">
        <v>42</v>
      </c>
      <c r="D373" t="s">
        <v>1810</v>
      </c>
      <c r="E373">
        <v>100</v>
      </c>
      <c r="F373">
        <v>710</v>
      </c>
      <c r="G373" t="b">
        <v>1</v>
      </c>
      <c r="H373" s="2">
        <v>45030.524270833332</v>
      </c>
      <c r="I373" t="s">
        <v>1811</v>
      </c>
      <c r="N373">
        <v>32.593800000000002</v>
      </c>
      <c r="O373">
        <v>-83.641999999999996</v>
      </c>
      <c r="P373" t="s">
        <v>111</v>
      </c>
      <c r="Q373" t="s">
        <v>112</v>
      </c>
      <c r="R373" t="s">
        <v>1812</v>
      </c>
      <c r="S373" t="s">
        <v>114</v>
      </c>
      <c r="W373">
        <v>88</v>
      </c>
      <c r="X373" t="s">
        <v>1813</v>
      </c>
      <c r="Z373">
        <v>1</v>
      </c>
      <c r="AD373">
        <v>500</v>
      </c>
      <c r="AE373">
        <v>10</v>
      </c>
      <c r="AF373" s="3">
        <v>0.01</v>
      </c>
      <c r="AG373">
        <v>20</v>
      </c>
      <c r="AH373">
        <v>100</v>
      </c>
      <c r="AI373" s="3">
        <v>0.11</v>
      </c>
      <c r="AJ373">
        <v>0.1</v>
      </c>
      <c r="AK373" t="s">
        <v>159</v>
      </c>
      <c r="AL373" t="s">
        <v>1812</v>
      </c>
      <c r="AM373" t="s">
        <v>128</v>
      </c>
    </row>
    <row r="374" spans="1:39" x14ac:dyDescent="0.2">
      <c r="A374" s="2">
        <v>45030.517777777779</v>
      </c>
      <c r="B374" s="2">
        <v>45030.524421296293</v>
      </c>
      <c r="C374" t="s">
        <v>42</v>
      </c>
      <c r="D374" t="s">
        <v>1814</v>
      </c>
      <c r="E374">
        <v>100</v>
      </c>
      <c r="F374">
        <v>573</v>
      </c>
      <c r="G374" t="b">
        <v>1</v>
      </c>
      <c r="H374" s="2">
        <v>45030.524421296293</v>
      </c>
      <c r="I374" t="s">
        <v>1815</v>
      </c>
      <c r="N374">
        <v>40.6462</v>
      </c>
      <c r="O374">
        <v>-73.9559</v>
      </c>
      <c r="P374" t="s">
        <v>111</v>
      </c>
      <c r="Q374" t="s">
        <v>112</v>
      </c>
      <c r="R374" t="s">
        <v>1816</v>
      </c>
      <c r="S374" t="s">
        <v>114</v>
      </c>
      <c r="T374">
        <v>5</v>
      </c>
      <c r="U374">
        <v>2</v>
      </c>
      <c r="W374">
        <v>2</v>
      </c>
      <c r="X374" t="s">
        <v>1817</v>
      </c>
      <c r="AD374">
        <v>500</v>
      </c>
      <c r="AE374" t="s">
        <v>535</v>
      </c>
      <c r="AF374" t="s">
        <v>1818</v>
      </c>
      <c r="AG374">
        <v>20</v>
      </c>
      <c r="AH374">
        <v>100</v>
      </c>
      <c r="AI374" s="3">
        <v>0.9</v>
      </c>
      <c r="AJ374" s="5">
        <v>0.05</v>
      </c>
      <c r="AK374" t="s">
        <v>159</v>
      </c>
      <c r="AL374" t="s">
        <v>1816</v>
      </c>
      <c r="AM374" t="s">
        <v>123</v>
      </c>
    </row>
    <row r="375" spans="1:39" x14ac:dyDescent="0.2">
      <c r="A375" s="2">
        <v>45030.519895833335</v>
      </c>
      <c r="B375" s="2">
        <v>45030.524467592593</v>
      </c>
      <c r="C375" t="s">
        <v>42</v>
      </c>
      <c r="D375" t="s">
        <v>1819</v>
      </c>
      <c r="E375">
        <v>100</v>
      </c>
      <c r="F375">
        <v>395</v>
      </c>
      <c r="G375" t="b">
        <v>1</v>
      </c>
      <c r="H375" s="2">
        <v>45030.52447916667</v>
      </c>
      <c r="I375" t="s">
        <v>1820</v>
      </c>
      <c r="N375">
        <v>36.306600000000003</v>
      </c>
      <c r="O375">
        <v>-86.610100000000003</v>
      </c>
      <c r="P375" t="s">
        <v>111</v>
      </c>
      <c r="Q375" t="s">
        <v>112</v>
      </c>
      <c r="R375" t="s">
        <v>1821</v>
      </c>
      <c r="S375" t="s">
        <v>114</v>
      </c>
      <c r="W375">
        <v>51</v>
      </c>
      <c r="X375" t="s">
        <v>1822</v>
      </c>
      <c r="Y375" t="s">
        <v>1823</v>
      </c>
      <c r="AD375">
        <v>512</v>
      </c>
      <c r="AE375">
        <v>10</v>
      </c>
      <c r="AF375">
        <v>0.1</v>
      </c>
      <c r="AG375" s="3">
        <v>0.2</v>
      </c>
      <c r="AH375">
        <v>100</v>
      </c>
      <c r="AI375">
        <v>81</v>
      </c>
      <c r="AJ375" t="s">
        <v>134</v>
      </c>
      <c r="AK375" t="s">
        <v>159</v>
      </c>
      <c r="AL375" t="s">
        <v>1821</v>
      </c>
      <c r="AM375" t="s">
        <v>117</v>
      </c>
    </row>
    <row r="376" spans="1:39" x14ac:dyDescent="0.2">
      <c r="A376" s="2">
        <v>45030.518391203703</v>
      </c>
      <c r="B376" s="2">
        <v>45030.524675925924</v>
      </c>
      <c r="C376" t="s">
        <v>42</v>
      </c>
      <c r="D376" t="s">
        <v>1824</v>
      </c>
      <c r="E376">
        <v>100</v>
      </c>
      <c r="F376">
        <v>542</v>
      </c>
      <c r="G376" t="b">
        <v>1</v>
      </c>
      <c r="H376" s="2">
        <v>45030.524675925924</v>
      </c>
      <c r="I376" t="s">
        <v>1825</v>
      </c>
      <c r="N376">
        <v>41.876399999999997</v>
      </c>
      <c r="O376">
        <v>-87.613299999999995</v>
      </c>
      <c r="P376" t="s">
        <v>111</v>
      </c>
      <c r="Q376" t="s">
        <v>112</v>
      </c>
      <c r="R376" t="s">
        <v>1826</v>
      </c>
      <c r="S376" t="s">
        <v>114</v>
      </c>
      <c r="W376">
        <v>37</v>
      </c>
      <c r="X376" t="s">
        <v>1827</v>
      </c>
      <c r="AC376">
        <v>2</v>
      </c>
      <c r="AD376">
        <v>500</v>
      </c>
      <c r="AE376">
        <v>10</v>
      </c>
      <c r="AF376">
        <v>1</v>
      </c>
      <c r="AG376">
        <v>20</v>
      </c>
      <c r="AH376">
        <v>100</v>
      </c>
      <c r="AI376">
        <v>9</v>
      </c>
      <c r="AJ376">
        <v>0.1</v>
      </c>
      <c r="AK376">
        <v>100</v>
      </c>
      <c r="AL376" t="s">
        <v>1826</v>
      </c>
      <c r="AM376" t="s">
        <v>135</v>
      </c>
    </row>
    <row r="377" spans="1:39" x14ac:dyDescent="0.2">
      <c r="A377" s="2">
        <v>45030.513356481482</v>
      </c>
      <c r="B377" s="2">
        <v>45030.52516203704</v>
      </c>
      <c r="C377" t="s">
        <v>42</v>
      </c>
      <c r="D377" t="s">
        <v>1828</v>
      </c>
      <c r="E377">
        <v>100</v>
      </c>
      <c r="F377">
        <v>1020</v>
      </c>
      <c r="G377" t="b">
        <v>1</v>
      </c>
      <c r="H377" s="2">
        <v>45030.525173611109</v>
      </c>
      <c r="I377" t="s">
        <v>1829</v>
      </c>
      <c r="N377">
        <v>39.637999999999998</v>
      </c>
      <c r="O377">
        <v>-74.772800000000004</v>
      </c>
      <c r="P377" t="s">
        <v>111</v>
      </c>
      <c r="Q377" t="s">
        <v>112</v>
      </c>
      <c r="R377" t="s">
        <v>1830</v>
      </c>
      <c r="S377" t="s">
        <v>114</v>
      </c>
      <c r="W377">
        <v>0</v>
      </c>
      <c r="X377" t="s">
        <v>1831</v>
      </c>
      <c r="AC377">
        <v>50</v>
      </c>
      <c r="AD377">
        <v>500</v>
      </c>
      <c r="AE377">
        <v>100</v>
      </c>
      <c r="AF377">
        <v>0.1</v>
      </c>
      <c r="AG377">
        <v>20</v>
      </c>
      <c r="AH377">
        <v>100</v>
      </c>
      <c r="AI377" s="3">
        <v>0.09</v>
      </c>
      <c r="AJ377" t="s">
        <v>241</v>
      </c>
      <c r="AK377" t="s">
        <v>159</v>
      </c>
      <c r="AL377" t="s">
        <v>1830</v>
      </c>
      <c r="AM377" t="s">
        <v>135</v>
      </c>
    </row>
    <row r="378" spans="1:39" x14ac:dyDescent="0.2">
      <c r="A378" s="2">
        <v>45030.516643518517</v>
      </c>
      <c r="B378" s="2">
        <v>45030.525208333333</v>
      </c>
      <c r="C378" t="s">
        <v>42</v>
      </c>
      <c r="D378" t="s">
        <v>1832</v>
      </c>
      <c r="E378">
        <v>100</v>
      </c>
      <c r="F378">
        <v>739</v>
      </c>
      <c r="G378" t="b">
        <v>1</v>
      </c>
      <c r="H378" s="2">
        <v>45030.525219907409</v>
      </c>
      <c r="I378" t="s">
        <v>1833</v>
      </c>
      <c r="N378">
        <v>42.366300000000003</v>
      </c>
      <c r="O378">
        <v>-82.998699999999999</v>
      </c>
      <c r="P378" t="s">
        <v>111</v>
      </c>
      <c r="Q378" t="s">
        <v>112</v>
      </c>
      <c r="R378" t="s">
        <v>1834</v>
      </c>
      <c r="S378" t="s">
        <v>114</v>
      </c>
      <c r="W378">
        <v>97</v>
      </c>
      <c r="X378" t="s">
        <v>1835</v>
      </c>
      <c r="Z378" t="s">
        <v>1836</v>
      </c>
      <c r="AD378">
        <v>500</v>
      </c>
      <c r="AE378">
        <v>10</v>
      </c>
      <c r="AF378">
        <v>0.1</v>
      </c>
      <c r="AG378">
        <v>20</v>
      </c>
      <c r="AH378">
        <v>100</v>
      </c>
      <c r="AI378">
        <v>90</v>
      </c>
      <c r="AJ378">
        <v>0.05</v>
      </c>
      <c r="AK378">
        <v>5</v>
      </c>
      <c r="AL378" t="s">
        <v>1834</v>
      </c>
      <c r="AM378" t="s">
        <v>128</v>
      </c>
    </row>
    <row r="379" spans="1:39" x14ac:dyDescent="0.2">
      <c r="A379" s="2">
        <v>45030.520439814813</v>
      </c>
      <c r="B379" s="2">
        <v>45030.525312500002</v>
      </c>
      <c r="C379" t="s">
        <v>42</v>
      </c>
      <c r="D379" t="s">
        <v>1837</v>
      </c>
      <c r="E379">
        <v>100</v>
      </c>
      <c r="F379">
        <v>420</v>
      </c>
      <c r="G379" t="b">
        <v>1</v>
      </c>
      <c r="H379" s="2">
        <v>45030.525312500002</v>
      </c>
      <c r="I379" t="s">
        <v>1838</v>
      </c>
      <c r="N379">
        <v>40.757399999999997</v>
      </c>
      <c r="O379">
        <v>-99.140799999999999</v>
      </c>
      <c r="P379" t="s">
        <v>111</v>
      </c>
      <c r="Q379" t="s">
        <v>112</v>
      </c>
      <c r="R379" t="s">
        <v>1839</v>
      </c>
      <c r="S379" t="s">
        <v>114</v>
      </c>
      <c r="W379">
        <v>53</v>
      </c>
      <c r="X379" t="s">
        <v>1840</v>
      </c>
      <c r="Y379" t="s">
        <v>1841</v>
      </c>
      <c r="AD379">
        <v>500</v>
      </c>
      <c r="AE379">
        <v>10</v>
      </c>
      <c r="AF379" s="3">
        <v>0.01</v>
      </c>
      <c r="AG379">
        <v>20</v>
      </c>
      <c r="AH379">
        <v>100</v>
      </c>
      <c r="AI379" s="3">
        <v>0.9</v>
      </c>
      <c r="AJ379" t="s">
        <v>241</v>
      </c>
      <c r="AK379" t="s">
        <v>159</v>
      </c>
      <c r="AL379" t="s">
        <v>1839</v>
      </c>
      <c r="AM379" t="s">
        <v>117</v>
      </c>
    </row>
    <row r="380" spans="1:39" x14ac:dyDescent="0.2">
      <c r="A380" s="2">
        <v>45030.519120370373</v>
      </c>
      <c r="B380" s="2">
        <v>45030.525740740741</v>
      </c>
      <c r="C380" t="s">
        <v>42</v>
      </c>
      <c r="D380" t="s">
        <v>1842</v>
      </c>
      <c r="E380">
        <v>100</v>
      </c>
      <c r="F380">
        <v>572</v>
      </c>
      <c r="G380" t="b">
        <v>1</v>
      </c>
      <c r="H380" s="2">
        <v>45030.525752314818</v>
      </c>
      <c r="I380" t="s">
        <v>1843</v>
      </c>
      <c r="N380">
        <v>35.508099999999999</v>
      </c>
      <c r="O380">
        <v>-97.640299999999996</v>
      </c>
      <c r="P380" t="s">
        <v>111</v>
      </c>
      <c r="Q380" t="s">
        <v>112</v>
      </c>
      <c r="R380" t="s">
        <v>1844</v>
      </c>
      <c r="S380" t="s">
        <v>114</v>
      </c>
      <c r="W380">
        <v>70</v>
      </c>
      <c r="X380" t="s">
        <v>1845</v>
      </c>
      <c r="Y380" t="s">
        <v>1045</v>
      </c>
      <c r="AD380">
        <v>500</v>
      </c>
      <c r="AE380">
        <v>10</v>
      </c>
      <c r="AF380">
        <v>100</v>
      </c>
      <c r="AG380">
        <v>510</v>
      </c>
      <c r="AH380">
        <v>10</v>
      </c>
      <c r="AI380" t="s">
        <v>625</v>
      </c>
      <c r="AJ380">
        <v>0.1</v>
      </c>
      <c r="AK380" t="s">
        <v>159</v>
      </c>
      <c r="AL380" t="s">
        <v>1844</v>
      </c>
      <c r="AM380" t="s">
        <v>117</v>
      </c>
    </row>
    <row r="381" spans="1:39" x14ac:dyDescent="0.2">
      <c r="A381" s="2">
        <v>45030.519502314812</v>
      </c>
      <c r="B381" s="2">
        <v>45030.525868055556</v>
      </c>
      <c r="C381" t="s">
        <v>42</v>
      </c>
      <c r="D381" t="s">
        <v>1846</v>
      </c>
      <c r="E381">
        <v>100</v>
      </c>
      <c r="F381">
        <v>549</v>
      </c>
      <c r="G381" t="b">
        <v>1</v>
      </c>
      <c r="H381" s="2">
        <v>45030.525868055556</v>
      </c>
      <c r="I381" t="s">
        <v>1847</v>
      </c>
      <c r="N381">
        <v>33.7485</v>
      </c>
      <c r="O381">
        <v>-84.387100000000004</v>
      </c>
      <c r="P381" t="s">
        <v>111</v>
      </c>
      <c r="Q381" t="s">
        <v>112</v>
      </c>
      <c r="R381" t="s">
        <v>1848</v>
      </c>
      <c r="S381" t="s">
        <v>114</v>
      </c>
      <c r="T381">
        <v>62</v>
      </c>
      <c r="V381">
        <v>0.5</v>
      </c>
      <c r="W381">
        <v>37</v>
      </c>
      <c r="X381" t="s">
        <v>1849</v>
      </c>
      <c r="AD381">
        <v>500</v>
      </c>
      <c r="AE381">
        <v>10</v>
      </c>
      <c r="AF381">
        <v>0.1</v>
      </c>
      <c r="AG381">
        <v>20</v>
      </c>
      <c r="AH381">
        <v>100</v>
      </c>
      <c r="AI381" s="3">
        <v>0.1</v>
      </c>
      <c r="AJ381">
        <v>0.1</v>
      </c>
      <c r="AK381" t="s">
        <v>159</v>
      </c>
      <c r="AL381" t="s">
        <v>1848</v>
      </c>
      <c r="AM381" t="s">
        <v>123</v>
      </c>
    </row>
    <row r="382" spans="1:39" x14ac:dyDescent="0.2">
      <c r="A382" s="2">
        <v>45030.519780092596</v>
      </c>
      <c r="B382" s="2">
        <v>45030.525949074072</v>
      </c>
      <c r="C382" t="s">
        <v>42</v>
      </c>
      <c r="D382" t="s">
        <v>1850</v>
      </c>
      <c r="E382">
        <v>100</v>
      </c>
      <c r="F382">
        <v>533</v>
      </c>
      <c r="G382" t="b">
        <v>1</v>
      </c>
      <c r="H382" s="2">
        <v>45030.525960648149</v>
      </c>
      <c r="I382" t="s">
        <v>1851</v>
      </c>
      <c r="N382">
        <v>39.0944</v>
      </c>
      <c r="O382">
        <v>-94.409899999999993</v>
      </c>
      <c r="P382" t="s">
        <v>111</v>
      </c>
      <c r="Q382" t="s">
        <v>112</v>
      </c>
      <c r="R382" t="s">
        <v>1852</v>
      </c>
      <c r="S382" t="s">
        <v>114</v>
      </c>
      <c r="W382">
        <v>69</v>
      </c>
      <c r="X382" t="s">
        <v>1853</v>
      </c>
      <c r="AB382" t="s">
        <v>1854</v>
      </c>
      <c r="AD382">
        <v>500</v>
      </c>
      <c r="AE382">
        <v>1</v>
      </c>
      <c r="AF382">
        <v>0.01</v>
      </c>
      <c r="AG382">
        <v>20</v>
      </c>
      <c r="AH382">
        <v>100</v>
      </c>
      <c r="AI382">
        <v>90</v>
      </c>
      <c r="AJ382">
        <v>0.1</v>
      </c>
      <c r="AK382" t="s">
        <v>385</v>
      </c>
      <c r="AL382" t="s">
        <v>1852</v>
      </c>
      <c r="AM382" t="s">
        <v>135</v>
      </c>
    </row>
    <row r="383" spans="1:39" x14ac:dyDescent="0.2">
      <c r="A383" s="2">
        <v>45030.519201388888</v>
      </c>
      <c r="B383" s="2">
        <v>45030.526030092595</v>
      </c>
      <c r="C383" t="s">
        <v>42</v>
      </c>
      <c r="D383" t="s">
        <v>1855</v>
      </c>
      <c r="E383">
        <v>100</v>
      </c>
      <c r="F383">
        <v>590</v>
      </c>
      <c r="G383" t="b">
        <v>1</v>
      </c>
      <c r="H383" s="2">
        <v>45030.526041666664</v>
      </c>
      <c r="I383" t="s">
        <v>1856</v>
      </c>
      <c r="N383">
        <v>34.660800000000002</v>
      </c>
      <c r="O383">
        <v>-120.44240000000001</v>
      </c>
      <c r="P383" t="s">
        <v>111</v>
      </c>
      <c r="Q383" t="s">
        <v>112</v>
      </c>
      <c r="R383" t="s">
        <v>1857</v>
      </c>
      <c r="S383" t="s">
        <v>114</v>
      </c>
      <c r="W383">
        <v>35</v>
      </c>
      <c r="X383" t="s">
        <v>1858</v>
      </c>
      <c r="Y383">
        <v>2</v>
      </c>
      <c r="AD383" s="3">
        <v>0.5</v>
      </c>
      <c r="AE383">
        <v>10</v>
      </c>
      <c r="AF383" s="4">
        <v>1E-3</v>
      </c>
      <c r="AG383" s="3">
        <v>0.2</v>
      </c>
      <c r="AH383">
        <v>100</v>
      </c>
      <c r="AI383" s="3">
        <v>0.2</v>
      </c>
      <c r="AJ383">
        <v>0.1</v>
      </c>
      <c r="AK383">
        <v>20</v>
      </c>
      <c r="AL383" t="s">
        <v>1857</v>
      </c>
      <c r="AM383" t="s">
        <v>117</v>
      </c>
    </row>
    <row r="384" spans="1:39" x14ac:dyDescent="0.2">
      <c r="A384" s="2">
        <v>45030.519050925926</v>
      </c>
      <c r="B384" s="2">
        <v>45030.526423611111</v>
      </c>
      <c r="C384" t="s">
        <v>42</v>
      </c>
      <c r="D384" t="s">
        <v>1859</v>
      </c>
      <c r="E384">
        <v>100</v>
      </c>
      <c r="F384">
        <v>637</v>
      </c>
      <c r="G384" t="b">
        <v>1</v>
      </c>
      <c r="H384" s="2">
        <v>45030.526423611111</v>
      </c>
      <c r="I384" t="s">
        <v>1860</v>
      </c>
      <c r="N384">
        <v>40.879199999999997</v>
      </c>
      <c r="O384">
        <v>-111.8686</v>
      </c>
      <c r="P384" t="s">
        <v>111</v>
      </c>
      <c r="Q384" t="s">
        <v>112</v>
      </c>
      <c r="R384" t="s">
        <v>1861</v>
      </c>
      <c r="S384" t="s">
        <v>114</v>
      </c>
      <c r="W384">
        <v>40</v>
      </c>
      <c r="X384" t="s">
        <v>1862</v>
      </c>
      <c r="AC384" t="s">
        <v>1863</v>
      </c>
      <c r="AD384">
        <v>500</v>
      </c>
      <c r="AE384">
        <v>10</v>
      </c>
      <c r="AF384" s="3">
        <v>0.1</v>
      </c>
      <c r="AG384">
        <v>20</v>
      </c>
      <c r="AH384">
        <v>100</v>
      </c>
      <c r="AI384" s="3">
        <v>0.08</v>
      </c>
      <c r="AJ384" t="s">
        <v>241</v>
      </c>
      <c r="AK384" t="s">
        <v>159</v>
      </c>
      <c r="AL384" t="s">
        <v>1861</v>
      </c>
      <c r="AM384" t="s">
        <v>135</v>
      </c>
    </row>
    <row r="385" spans="1:39" x14ac:dyDescent="0.2">
      <c r="A385" s="2">
        <v>45030.517581018517</v>
      </c>
      <c r="B385" s="2">
        <v>45030.526585648149</v>
      </c>
      <c r="C385" t="s">
        <v>42</v>
      </c>
      <c r="D385" t="s">
        <v>1864</v>
      </c>
      <c r="E385">
        <v>100</v>
      </c>
      <c r="F385">
        <v>778</v>
      </c>
      <c r="G385" t="b">
        <v>1</v>
      </c>
      <c r="H385" s="2">
        <v>45030.526597222219</v>
      </c>
      <c r="I385" t="s">
        <v>1865</v>
      </c>
      <c r="N385">
        <v>28.954699999999999</v>
      </c>
      <c r="O385">
        <v>-95.357399999999998</v>
      </c>
      <c r="P385" t="s">
        <v>111</v>
      </c>
      <c r="Q385" t="s">
        <v>112</v>
      </c>
      <c r="R385" t="s">
        <v>1866</v>
      </c>
      <c r="S385" t="s">
        <v>114</v>
      </c>
      <c r="W385">
        <v>31</v>
      </c>
      <c r="X385" t="s">
        <v>1867</v>
      </c>
      <c r="AA385" t="s">
        <v>1868</v>
      </c>
      <c r="AD385">
        <v>583</v>
      </c>
      <c r="AE385">
        <v>10</v>
      </c>
      <c r="AF385">
        <v>0.01</v>
      </c>
      <c r="AG385">
        <v>20</v>
      </c>
      <c r="AH385">
        <v>100</v>
      </c>
      <c r="AI385">
        <v>90</v>
      </c>
      <c r="AJ385">
        <v>0.1</v>
      </c>
      <c r="AK385">
        <v>10</v>
      </c>
      <c r="AL385" t="s">
        <v>1866</v>
      </c>
      <c r="AM385" t="s">
        <v>128</v>
      </c>
    </row>
    <row r="386" spans="1:39" x14ac:dyDescent="0.2">
      <c r="A386" s="2">
        <v>45030.516192129631</v>
      </c>
      <c r="B386" s="2">
        <v>45030.52679398148</v>
      </c>
      <c r="C386" t="s">
        <v>42</v>
      </c>
      <c r="D386" t="s">
        <v>1869</v>
      </c>
      <c r="E386">
        <v>100</v>
      </c>
      <c r="F386">
        <v>916</v>
      </c>
      <c r="G386" t="b">
        <v>1</v>
      </c>
      <c r="H386" s="2">
        <v>45030.52679398148</v>
      </c>
      <c r="I386" t="s">
        <v>1870</v>
      </c>
      <c r="N386">
        <v>37.704700000000003</v>
      </c>
      <c r="O386">
        <v>-122.1245</v>
      </c>
      <c r="P386" t="s">
        <v>111</v>
      </c>
      <c r="Q386" t="s">
        <v>112</v>
      </c>
      <c r="R386" t="s">
        <v>1871</v>
      </c>
      <c r="S386" t="s">
        <v>114</v>
      </c>
      <c r="T386">
        <v>45</v>
      </c>
      <c r="U386">
        <v>0.2</v>
      </c>
      <c r="W386">
        <v>20</v>
      </c>
      <c r="X386" t="s">
        <v>1872</v>
      </c>
      <c r="AD386">
        <v>500</v>
      </c>
      <c r="AE386">
        <v>10</v>
      </c>
      <c r="AF386" s="3">
        <v>0.1</v>
      </c>
      <c r="AG386">
        <v>20</v>
      </c>
      <c r="AH386">
        <v>100</v>
      </c>
      <c r="AI386" s="3">
        <v>0.5</v>
      </c>
      <c r="AJ386">
        <v>0.1</v>
      </c>
      <c r="AK386">
        <v>100</v>
      </c>
      <c r="AL386" t="s">
        <v>1871</v>
      </c>
      <c r="AM386" t="s">
        <v>123</v>
      </c>
    </row>
    <row r="387" spans="1:39" x14ac:dyDescent="0.2">
      <c r="A387" s="2">
        <v>45030.519884259258</v>
      </c>
      <c r="B387" s="2">
        <v>45030.527662037035</v>
      </c>
      <c r="C387" t="s">
        <v>42</v>
      </c>
      <c r="D387" t="s">
        <v>1873</v>
      </c>
      <c r="E387">
        <v>100</v>
      </c>
      <c r="F387">
        <v>671</v>
      </c>
      <c r="G387" t="b">
        <v>1</v>
      </c>
      <c r="H387" s="2">
        <v>45030.527673611112</v>
      </c>
      <c r="I387" t="s">
        <v>1874</v>
      </c>
      <c r="N387">
        <v>41.553800000000003</v>
      </c>
      <c r="O387">
        <v>-73.063000000000002</v>
      </c>
      <c r="P387" t="s">
        <v>111</v>
      </c>
      <c r="Q387" t="s">
        <v>112</v>
      </c>
      <c r="R387" t="s">
        <v>1875</v>
      </c>
      <c r="S387" t="s">
        <v>114</v>
      </c>
      <c r="T387">
        <v>17</v>
      </c>
      <c r="U387">
        <v>1.9</v>
      </c>
      <c r="W387">
        <v>15</v>
      </c>
      <c r="X387" t="s">
        <v>1876</v>
      </c>
      <c r="AD387">
        <v>500</v>
      </c>
      <c r="AE387">
        <v>100</v>
      </c>
      <c r="AF387" t="s">
        <v>1877</v>
      </c>
      <c r="AG387">
        <v>0.2</v>
      </c>
      <c r="AH387">
        <v>100</v>
      </c>
      <c r="AI387">
        <v>0.1</v>
      </c>
      <c r="AJ387">
        <v>0.1</v>
      </c>
      <c r="AK387">
        <v>5</v>
      </c>
      <c r="AL387" t="s">
        <v>1875</v>
      </c>
      <c r="AM387" t="s">
        <v>123</v>
      </c>
    </row>
    <row r="388" spans="1:39" x14ac:dyDescent="0.2">
      <c r="A388" s="2">
        <v>45030.519942129627</v>
      </c>
      <c r="B388" s="2">
        <v>45030.527881944443</v>
      </c>
      <c r="C388" t="s">
        <v>42</v>
      </c>
      <c r="D388" t="s">
        <v>1878</v>
      </c>
      <c r="E388">
        <v>100</v>
      </c>
      <c r="F388">
        <v>686</v>
      </c>
      <c r="G388" t="b">
        <v>1</v>
      </c>
      <c r="H388" s="2">
        <v>45030.527881944443</v>
      </c>
      <c r="I388" t="s">
        <v>1879</v>
      </c>
      <c r="N388">
        <v>47.672199999999997</v>
      </c>
      <c r="O388">
        <v>-122.12569999999999</v>
      </c>
      <c r="P388" t="s">
        <v>111</v>
      </c>
      <c r="Q388" t="s">
        <v>112</v>
      </c>
      <c r="R388" t="s">
        <v>1880</v>
      </c>
      <c r="S388" t="s">
        <v>114</v>
      </c>
      <c r="W388">
        <v>10</v>
      </c>
      <c r="X388" t="s">
        <v>1881</v>
      </c>
      <c r="AC388">
        <v>1.5</v>
      </c>
      <c r="AD388">
        <v>500</v>
      </c>
      <c r="AE388">
        <v>10</v>
      </c>
      <c r="AF388" s="4">
        <v>1E-3</v>
      </c>
      <c r="AG388" s="3">
        <v>0.2</v>
      </c>
      <c r="AH388">
        <v>100</v>
      </c>
      <c r="AI388" s="3">
        <v>0.08</v>
      </c>
      <c r="AJ388">
        <v>0.05</v>
      </c>
      <c r="AK388" t="s">
        <v>159</v>
      </c>
      <c r="AL388" t="s">
        <v>1880</v>
      </c>
      <c r="AM388" t="s">
        <v>135</v>
      </c>
    </row>
    <row r="389" spans="1:39" x14ac:dyDescent="0.2">
      <c r="A389" s="2">
        <v>45030.518807870372</v>
      </c>
      <c r="B389" s="2">
        <v>45030.528078703705</v>
      </c>
      <c r="C389" t="s">
        <v>42</v>
      </c>
      <c r="D389" t="s">
        <v>1882</v>
      </c>
      <c r="E389">
        <v>100</v>
      </c>
      <c r="F389">
        <v>801</v>
      </c>
      <c r="G389" t="b">
        <v>1</v>
      </c>
      <c r="H389" s="2">
        <v>45030.528090277781</v>
      </c>
      <c r="I389" t="s">
        <v>1883</v>
      </c>
      <c r="N389">
        <v>35.822000000000003</v>
      </c>
      <c r="O389">
        <v>-80.261499999999998</v>
      </c>
      <c r="P389" t="s">
        <v>111</v>
      </c>
      <c r="Q389" t="s">
        <v>112</v>
      </c>
      <c r="R389" t="s">
        <v>1884</v>
      </c>
      <c r="S389" t="s">
        <v>114</v>
      </c>
      <c r="W389">
        <v>67</v>
      </c>
      <c r="X389" t="s">
        <v>1885</v>
      </c>
      <c r="Z389">
        <v>1</v>
      </c>
      <c r="AD389">
        <v>500</v>
      </c>
      <c r="AE389">
        <v>5</v>
      </c>
      <c r="AF389">
        <v>0.01</v>
      </c>
      <c r="AG389">
        <v>0.2</v>
      </c>
      <c r="AH389">
        <v>100</v>
      </c>
      <c r="AI389">
        <v>9</v>
      </c>
      <c r="AJ389">
        <v>0.1</v>
      </c>
      <c r="AK389">
        <v>5</v>
      </c>
      <c r="AL389" t="s">
        <v>1884</v>
      </c>
      <c r="AM389" t="s">
        <v>128</v>
      </c>
    </row>
    <row r="390" spans="1:39" x14ac:dyDescent="0.2">
      <c r="A390" s="2">
        <v>45030.518773148149</v>
      </c>
      <c r="B390" s="2">
        <v>45030.528668981482</v>
      </c>
      <c r="C390" t="s">
        <v>42</v>
      </c>
      <c r="D390" t="s">
        <v>1886</v>
      </c>
      <c r="E390">
        <v>100</v>
      </c>
      <c r="F390">
        <v>854</v>
      </c>
      <c r="G390" t="b">
        <v>1</v>
      </c>
      <c r="H390" s="2">
        <v>45030.528668981482</v>
      </c>
      <c r="I390" t="s">
        <v>1887</v>
      </c>
      <c r="N390">
        <v>30.671700000000001</v>
      </c>
      <c r="O390">
        <v>-88.098699999999994</v>
      </c>
      <c r="P390" t="s">
        <v>111</v>
      </c>
      <c r="Q390" t="s">
        <v>112</v>
      </c>
      <c r="R390" t="s">
        <v>1888</v>
      </c>
      <c r="S390" t="s">
        <v>114</v>
      </c>
      <c r="W390">
        <v>85</v>
      </c>
      <c r="X390" t="s">
        <v>1889</v>
      </c>
      <c r="Z390">
        <v>1</v>
      </c>
      <c r="AD390">
        <v>40</v>
      </c>
      <c r="AE390">
        <v>10</v>
      </c>
      <c r="AF390">
        <v>5</v>
      </c>
      <c r="AG390">
        <v>20</v>
      </c>
      <c r="AH390">
        <v>100</v>
      </c>
      <c r="AI390" s="3">
        <v>0.25</v>
      </c>
      <c r="AJ390">
        <v>0.1</v>
      </c>
      <c r="AK390">
        <v>100</v>
      </c>
      <c r="AL390" t="s">
        <v>1888</v>
      </c>
      <c r="AM390" t="s">
        <v>128</v>
      </c>
    </row>
    <row r="391" spans="1:39" x14ac:dyDescent="0.2">
      <c r="A391" s="2">
        <v>45030.513703703706</v>
      </c>
      <c r="B391" s="2">
        <v>45030.528981481482</v>
      </c>
      <c r="C391" t="s">
        <v>42</v>
      </c>
      <c r="D391" t="s">
        <v>1890</v>
      </c>
      <c r="E391">
        <v>100</v>
      </c>
      <c r="F391">
        <v>1319</v>
      </c>
      <c r="G391" t="b">
        <v>1</v>
      </c>
      <c r="H391" s="2">
        <v>45030.528981481482</v>
      </c>
      <c r="I391" t="s">
        <v>1891</v>
      </c>
      <c r="N391">
        <v>38.639699999999998</v>
      </c>
      <c r="O391">
        <v>-75.604699999999994</v>
      </c>
      <c r="P391" t="s">
        <v>111</v>
      </c>
      <c r="Q391" t="s">
        <v>112</v>
      </c>
      <c r="R391" t="s">
        <v>1892</v>
      </c>
      <c r="S391" t="s">
        <v>114</v>
      </c>
      <c r="W391">
        <v>10</v>
      </c>
      <c r="X391" t="s">
        <v>1893</v>
      </c>
      <c r="AC391" t="s">
        <v>1894</v>
      </c>
      <c r="AD391">
        <v>500</v>
      </c>
      <c r="AE391">
        <v>10</v>
      </c>
      <c r="AF391" s="4">
        <v>1E-4</v>
      </c>
      <c r="AG391" s="3">
        <v>0.2</v>
      </c>
      <c r="AH391">
        <v>100</v>
      </c>
      <c r="AI391" s="3">
        <v>0.5</v>
      </c>
      <c r="AJ391" s="5">
        <v>0.1</v>
      </c>
      <c r="AK391" t="s">
        <v>159</v>
      </c>
      <c r="AL391" t="s">
        <v>1892</v>
      </c>
      <c r="AM391" t="s">
        <v>135</v>
      </c>
    </row>
    <row r="392" spans="1:39" x14ac:dyDescent="0.2">
      <c r="A392" s="2">
        <v>45030.523217592592</v>
      </c>
      <c r="B392" s="2">
        <v>45030.530057870368</v>
      </c>
      <c r="C392" t="s">
        <v>42</v>
      </c>
      <c r="D392" t="s">
        <v>1895</v>
      </c>
      <c r="E392">
        <v>100</v>
      </c>
      <c r="F392">
        <v>591</v>
      </c>
      <c r="G392" t="b">
        <v>1</v>
      </c>
      <c r="H392" s="2">
        <v>45030.530057870368</v>
      </c>
      <c r="I392" t="s">
        <v>1896</v>
      </c>
      <c r="N392">
        <v>33.958799999999997</v>
      </c>
      <c r="O392">
        <v>-83.438400000000001</v>
      </c>
      <c r="P392" t="s">
        <v>111</v>
      </c>
      <c r="Q392" t="s">
        <v>112</v>
      </c>
      <c r="R392" t="s">
        <v>1897</v>
      </c>
      <c r="S392" t="s">
        <v>114</v>
      </c>
      <c r="T392">
        <v>12</v>
      </c>
      <c r="U392">
        <v>3</v>
      </c>
      <c r="W392">
        <v>12</v>
      </c>
      <c r="X392" t="s">
        <v>1898</v>
      </c>
      <c r="AD392">
        <v>500</v>
      </c>
      <c r="AE392">
        <v>10</v>
      </c>
      <c r="AF392">
        <v>1E-3</v>
      </c>
      <c r="AG392" s="3">
        <v>0.2</v>
      </c>
      <c r="AH392">
        <v>100</v>
      </c>
      <c r="AI392" s="3">
        <v>0.5</v>
      </c>
      <c r="AJ392" s="5">
        <v>0.05</v>
      </c>
      <c r="AK392" t="s">
        <v>164</v>
      </c>
      <c r="AL392" t="s">
        <v>1897</v>
      </c>
      <c r="AM392" t="s">
        <v>123</v>
      </c>
    </row>
    <row r="393" spans="1:39" x14ac:dyDescent="0.2">
      <c r="A393" s="2">
        <v>45030.514224537037</v>
      </c>
      <c r="B393" s="2">
        <v>45030.530127314814</v>
      </c>
      <c r="C393" t="s">
        <v>42</v>
      </c>
      <c r="D393" t="s">
        <v>1899</v>
      </c>
      <c r="E393">
        <v>100</v>
      </c>
      <c r="F393">
        <v>1374</v>
      </c>
      <c r="G393" t="b">
        <v>1</v>
      </c>
      <c r="H393" s="2">
        <v>45030.530138888891</v>
      </c>
      <c r="I393" t="s">
        <v>1900</v>
      </c>
      <c r="N393">
        <v>34.2363</v>
      </c>
      <c r="O393">
        <v>-118.4798</v>
      </c>
      <c r="P393" t="s">
        <v>111</v>
      </c>
      <c r="Q393" t="s">
        <v>112</v>
      </c>
      <c r="R393" t="s">
        <v>1901</v>
      </c>
      <c r="S393" t="s">
        <v>114</v>
      </c>
      <c r="W393">
        <v>85</v>
      </c>
      <c r="X393" t="s">
        <v>1902</v>
      </c>
      <c r="Z393">
        <v>0.5</v>
      </c>
      <c r="AD393">
        <v>500</v>
      </c>
      <c r="AE393">
        <v>10</v>
      </c>
      <c r="AF393" s="4">
        <v>1E-3</v>
      </c>
      <c r="AG393">
        <v>20</v>
      </c>
      <c r="AH393">
        <v>100</v>
      </c>
      <c r="AI393" s="3">
        <v>0.5</v>
      </c>
      <c r="AJ393">
        <v>0.05</v>
      </c>
      <c r="AK393" t="s">
        <v>159</v>
      </c>
      <c r="AL393" t="s">
        <v>1901</v>
      </c>
      <c r="AM393" t="s">
        <v>128</v>
      </c>
    </row>
    <row r="394" spans="1:39" x14ac:dyDescent="0.2">
      <c r="A394" s="2">
        <v>45030.514490740738</v>
      </c>
      <c r="B394" s="2">
        <v>45030.530266203707</v>
      </c>
      <c r="C394" t="s">
        <v>42</v>
      </c>
      <c r="D394" t="s">
        <v>1903</v>
      </c>
      <c r="E394">
        <v>100</v>
      </c>
      <c r="F394">
        <v>1363</v>
      </c>
      <c r="G394" t="b">
        <v>1</v>
      </c>
      <c r="H394" s="2">
        <v>45030.530277777776</v>
      </c>
      <c r="I394" t="s">
        <v>1904</v>
      </c>
      <c r="N394">
        <v>35.7607</v>
      </c>
      <c r="O394">
        <v>-78.779399999999995</v>
      </c>
      <c r="P394" t="s">
        <v>111</v>
      </c>
      <c r="Q394" t="s">
        <v>112</v>
      </c>
      <c r="R394" t="s">
        <v>1905</v>
      </c>
      <c r="S394" t="s">
        <v>114</v>
      </c>
      <c r="W394">
        <v>30</v>
      </c>
      <c r="X394" t="s">
        <v>1906</v>
      </c>
      <c r="AC394" t="s">
        <v>1907</v>
      </c>
      <c r="AD394">
        <v>500</v>
      </c>
      <c r="AE394">
        <v>10</v>
      </c>
      <c r="AF394" s="4">
        <v>1E-3</v>
      </c>
      <c r="AG394" s="3">
        <v>0.2</v>
      </c>
      <c r="AH394">
        <v>100</v>
      </c>
      <c r="AI394" t="s">
        <v>537</v>
      </c>
      <c r="AJ394" s="5">
        <v>0.1</v>
      </c>
      <c r="AK394" t="s">
        <v>164</v>
      </c>
      <c r="AL394" t="s">
        <v>1905</v>
      </c>
      <c r="AM394" t="s">
        <v>135</v>
      </c>
    </row>
    <row r="395" spans="1:39" x14ac:dyDescent="0.2">
      <c r="A395" s="2">
        <v>45030.514756944445</v>
      </c>
      <c r="B395" s="2">
        <v>45030.530787037038</v>
      </c>
      <c r="C395" t="s">
        <v>42</v>
      </c>
      <c r="D395" t="s">
        <v>1908</v>
      </c>
      <c r="E395">
        <v>100</v>
      </c>
      <c r="F395">
        <v>1384</v>
      </c>
      <c r="G395" t="b">
        <v>1</v>
      </c>
      <c r="H395" s="2">
        <v>45030.530787037038</v>
      </c>
      <c r="I395" t="s">
        <v>1909</v>
      </c>
      <c r="N395">
        <v>39.9544</v>
      </c>
      <c r="O395">
        <v>-75.165700000000001</v>
      </c>
      <c r="P395" t="s">
        <v>111</v>
      </c>
      <c r="Q395" t="s">
        <v>112</v>
      </c>
      <c r="R395" t="s">
        <v>1910</v>
      </c>
      <c r="S395" t="s">
        <v>114</v>
      </c>
      <c r="W395">
        <v>75</v>
      </c>
      <c r="X395" t="s">
        <v>1911</v>
      </c>
      <c r="AB395">
        <v>0.2</v>
      </c>
      <c r="AD395">
        <v>500</v>
      </c>
      <c r="AE395">
        <v>10</v>
      </c>
      <c r="AF395">
        <v>0.1</v>
      </c>
      <c r="AG395">
        <v>20</v>
      </c>
      <c r="AH395">
        <v>100</v>
      </c>
      <c r="AI395">
        <v>90</v>
      </c>
      <c r="AJ395">
        <v>0.1</v>
      </c>
      <c r="AK395">
        <v>5</v>
      </c>
      <c r="AL395" t="s">
        <v>1910</v>
      </c>
      <c r="AM395" t="s">
        <v>135</v>
      </c>
    </row>
    <row r="396" spans="1:39" ht="68" x14ac:dyDescent="0.2">
      <c r="A396" s="2">
        <v>45030.523668981485</v>
      </c>
      <c r="B396" s="2">
        <v>45030.532071759262</v>
      </c>
      <c r="C396" t="s">
        <v>42</v>
      </c>
      <c r="D396" t="s">
        <v>1912</v>
      </c>
      <c r="E396">
        <v>100</v>
      </c>
      <c r="F396">
        <v>725</v>
      </c>
      <c r="G396" t="b">
        <v>1</v>
      </c>
      <c r="H396" s="2">
        <v>45030.532083333332</v>
      </c>
      <c r="I396" t="s">
        <v>1913</v>
      </c>
      <c r="N396">
        <v>32.329700000000003</v>
      </c>
      <c r="O396">
        <v>-80.843800000000002</v>
      </c>
      <c r="P396" t="s">
        <v>111</v>
      </c>
      <c r="Q396" t="s">
        <v>112</v>
      </c>
      <c r="R396" t="s">
        <v>1914</v>
      </c>
      <c r="S396" t="s">
        <v>114</v>
      </c>
      <c r="T396">
        <v>50</v>
      </c>
      <c r="V396">
        <v>2</v>
      </c>
      <c r="W396">
        <v>50</v>
      </c>
      <c r="X396" t="s">
        <v>1915</v>
      </c>
      <c r="AD396" t="s">
        <v>1916</v>
      </c>
      <c r="AE396" t="s">
        <v>1917</v>
      </c>
      <c r="AF396" s="1" t="s">
        <v>1918</v>
      </c>
      <c r="AG396">
        <v>100</v>
      </c>
      <c r="AH396">
        <v>3</v>
      </c>
      <c r="AI396">
        <v>3</v>
      </c>
      <c r="AJ396">
        <v>0.1</v>
      </c>
      <c r="AK396">
        <v>100</v>
      </c>
      <c r="AL396" t="s">
        <v>1914</v>
      </c>
      <c r="AM396" t="s">
        <v>123</v>
      </c>
    </row>
    <row r="397" spans="1:39" x14ac:dyDescent="0.2">
      <c r="A397" s="2">
        <v>45030.513229166667</v>
      </c>
      <c r="B397" s="2">
        <v>45030.53297453704</v>
      </c>
      <c r="C397" t="s">
        <v>42</v>
      </c>
      <c r="D397" t="s">
        <v>1919</v>
      </c>
      <c r="E397">
        <v>100</v>
      </c>
      <c r="F397">
        <v>1706</v>
      </c>
      <c r="G397" t="b">
        <v>1</v>
      </c>
      <c r="H397" s="2">
        <v>45030.532986111109</v>
      </c>
      <c r="I397" t="s">
        <v>1920</v>
      </c>
      <c r="N397">
        <v>43.002600000000001</v>
      </c>
      <c r="O397">
        <v>-87.941699999999997</v>
      </c>
      <c r="P397" t="s">
        <v>111</v>
      </c>
      <c r="Q397" t="s">
        <v>112</v>
      </c>
      <c r="R397" t="s">
        <v>1921</v>
      </c>
      <c r="S397" t="s">
        <v>114</v>
      </c>
      <c r="W397">
        <v>69</v>
      </c>
      <c r="X397" t="s">
        <v>1922</v>
      </c>
      <c r="AB397" t="s">
        <v>1923</v>
      </c>
      <c r="AD397" t="s">
        <v>891</v>
      </c>
      <c r="AE397" t="s">
        <v>1924</v>
      </c>
      <c r="AF397" t="s">
        <v>1925</v>
      </c>
      <c r="AG397" t="s">
        <v>1926</v>
      </c>
      <c r="AH397" t="s">
        <v>1927</v>
      </c>
      <c r="AI397" t="s">
        <v>1928</v>
      </c>
      <c r="AJ397" t="s">
        <v>1929</v>
      </c>
      <c r="AK397" t="s">
        <v>1930</v>
      </c>
      <c r="AL397" t="s">
        <v>1921</v>
      </c>
      <c r="AM397" t="s">
        <v>135</v>
      </c>
    </row>
    <row r="398" spans="1:39" x14ac:dyDescent="0.2">
      <c r="A398" s="2">
        <v>45030.516168981485</v>
      </c>
      <c r="B398" s="2">
        <v>45030.533275462964</v>
      </c>
      <c r="C398" t="s">
        <v>42</v>
      </c>
      <c r="D398" t="s">
        <v>1931</v>
      </c>
      <c r="E398">
        <v>100</v>
      </c>
      <c r="F398">
        <v>1477</v>
      </c>
      <c r="G398" t="b">
        <v>1</v>
      </c>
      <c r="H398" s="2">
        <v>45030.53328703704</v>
      </c>
      <c r="I398" t="s">
        <v>1932</v>
      </c>
      <c r="N398">
        <v>37.750999999999998</v>
      </c>
      <c r="O398">
        <v>-97.822000000000003</v>
      </c>
      <c r="P398" t="s">
        <v>111</v>
      </c>
      <c r="Q398" t="s">
        <v>112</v>
      </c>
      <c r="R398" t="s">
        <v>1933</v>
      </c>
      <c r="S398" t="s">
        <v>114</v>
      </c>
      <c r="W398">
        <v>59</v>
      </c>
      <c r="X398" t="s">
        <v>1934</v>
      </c>
      <c r="AB398">
        <v>1</v>
      </c>
      <c r="AD398">
        <v>500</v>
      </c>
      <c r="AE398">
        <v>10</v>
      </c>
      <c r="AF398">
        <v>0.1</v>
      </c>
      <c r="AG398">
        <v>20</v>
      </c>
      <c r="AH398">
        <v>100</v>
      </c>
      <c r="AI398" s="3">
        <v>0.1</v>
      </c>
      <c r="AJ398">
        <v>5</v>
      </c>
      <c r="AK398">
        <v>5</v>
      </c>
      <c r="AL398" t="s">
        <v>1933</v>
      </c>
      <c r="AM398" t="s">
        <v>135</v>
      </c>
    </row>
    <row r="399" spans="1:39" x14ac:dyDescent="0.2">
      <c r="A399" s="2">
        <v>45030.519560185188</v>
      </c>
      <c r="B399" s="2">
        <v>45030.534710648149</v>
      </c>
      <c r="C399" t="s">
        <v>42</v>
      </c>
      <c r="D399" t="s">
        <v>1935</v>
      </c>
      <c r="E399">
        <v>100</v>
      </c>
      <c r="F399">
        <v>1308</v>
      </c>
      <c r="G399" t="b">
        <v>1</v>
      </c>
      <c r="H399" s="2">
        <v>45030.534722222219</v>
      </c>
      <c r="I399" t="s">
        <v>1936</v>
      </c>
      <c r="N399">
        <v>33.511400000000002</v>
      </c>
      <c r="O399">
        <v>-86.842600000000004</v>
      </c>
      <c r="P399" t="s">
        <v>111</v>
      </c>
      <c r="Q399" t="s">
        <v>112</v>
      </c>
      <c r="R399" t="s">
        <v>1937</v>
      </c>
      <c r="S399" t="s">
        <v>114</v>
      </c>
      <c r="T399">
        <v>77</v>
      </c>
      <c r="V399" t="s">
        <v>1938</v>
      </c>
      <c r="W399">
        <v>90</v>
      </c>
      <c r="X399" t="s">
        <v>1939</v>
      </c>
      <c r="AD399">
        <v>500</v>
      </c>
      <c r="AE399">
        <v>10</v>
      </c>
      <c r="AF399">
        <v>0.1</v>
      </c>
      <c r="AG399">
        <v>20</v>
      </c>
      <c r="AH399">
        <v>100</v>
      </c>
      <c r="AI399">
        <v>10</v>
      </c>
      <c r="AJ399">
        <v>10</v>
      </c>
      <c r="AK399">
        <v>100</v>
      </c>
      <c r="AL399" t="s">
        <v>1937</v>
      </c>
      <c r="AM399" t="s">
        <v>123</v>
      </c>
    </row>
    <row r="400" spans="1:39" x14ac:dyDescent="0.2">
      <c r="A400" s="2">
        <v>45030.511504629627</v>
      </c>
      <c r="B400" s="2">
        <v>45030.536666666667</v>
      </c>
      <c r="C400" t="s">
        <v>42</v>
      </c>
      <c r="D400" t="s">
        <v>1940</v>
      </c>
      <c r="E400">
        <v>100</v>
      </c>
      <c r="F400">
        <v>2173</v>
      </c>
      <c r="G400" t="b">
        <v>1</v>
      </c>
      <c r="H400" s="2">
        <v>45030.536666666667</v>
      </c>
      <c r="I400" t="s">
        <v>1941</v>
      </c>
      <c r="N400">
        <v>39.923000000000002</v>
      </c>
      <c r="O400">
        <v>-82.866399999999999</v>
      </c>
      <c r="P400" t="s">
        <v>111</v>
      </c>
      <c r="Q400" t="s">
        <v>112</v>
      </c>
      <c r="R400" t="s">
        <v>1942</v>
      </c>
      <c r="S400" t="s">
        <v>114</v>
      </c>
      <c r="W400">
        <v>65</v>
      </c>
      <c r="X400" t="s">
        <v>1943</v>
      </c>
      <c r="Y400">
        <v>2</v>
      </c>
      <c r="AD400">
        <v>500</v>
      </c>
      <c r="AE400">
        <v>10</v>
      </c>
      <c r="AF400">
        <v>0.1</v>
      </c>
      <c r="AG400">
        <v>20</v>
      </c>
      <c r="AH400">
        <v>100</v>
      </c>
      <c r="AI400" s="3">
        <v>0.9</v>
      </c>
      <c r="AJ400">
        <v>5</v>
      </c>
      <c r="AK400">
        <v>5</v>
      </c>
      <c r="AL400" t="s">
        <v>1942</v>
      </c>
      <c r="AM400" t="s">
        <v>117</v>
      </c>
    </row>
    <row r="401" spans="1:39" x14ac:dyDescent="0.2">
      <c r="A401" s="2">
        <v>45030.518217592595</v>
      </c>
      <c r="B401" s="2">
        <v>45030.540023148147</v>
      </c>
      <c r="C401" t="s">
        <v>42</v>
      </c>
      <c r="D401" t="s">
        <v>1944</v>
      </c>
      <c r="E401">
        <v>100</v>
      </c>
      <c r="F401">
        <v>1883</v>
      </c>
      <c r="G401" t="b">
        <v>1</v>
      </c>
      <c r="H401" s="2">
        <v>45030.540034722224</v>
      </c>
      <c r="I401" t="s">
        <v>1945</v>
      </c>
      <c r="N401">
        <v>32.823599999999999</v>
      </c>
      <c r="O401">
        <v>-96.681399999999996</v>
      </c>
      <c r="P401" t="s">
        <v>111</v>
      </c>
      <c r="Q401" t="s">
        <v>112</v>
      </c>
      <c r="R401" t="s">
        <v>1946</v>
      </c>
      <c r="S401" t="s">
        <v>114</v>
      </c>
      <c r="W401">
        <v>65</v>
      </c>
      <c r="X401" t="s">
        <v>1947</v>
      </c>
      <c r="Y401" t="s">
        <v>1948</v>
      </c>
      <c r="AD401">
        <v>500</v>
      </c>
      <c r="AE401">
        <v>10</v>
      </c>
      <c r="AF401" s="4">
        <v>1E-3</v>
      </c>
      <c r="AG401" s="3">
        <v>0.2</v>
      </c>
      <c r="AH401">
        <v>10</v>
      </c>
      <c r="AI401" s="3">
        <v>0.25</v>
      </c>
      <c r="AJ401" t="s">
        <v>134</v>
      </c>
      <c r="AK401" t="s">
        <v>159</v>
      </c>
      <c r="AL401" t="s">
        <v>1946</v>
      </c>
      <c r="AM401" t="s">
        <v>117</v>
      </c>
    </row>
    <row r="402" spans="1:39" x14ac:dyDescent="0.2">
      <c r="A402" s="2">
        <v>45030.518969907411</v>
      </c>
      <c r="B402" s="2">
        <v>45030.540891203702</v>
      </c>
      <c r="C402" t="s">
        <v>42</v>
      </c>
      <c r="D402" t="s">
        <v>1949</v>
      </c>
      <c r="E402">
        <v>100</v>
      </c>
      <c r="F402">
        <v>1893</v>
      </c>
      <c r="G402" t="b">
        <v>1</v>
      </c>
      <c r="H402" s="2">
        <v>45030.540937500002</v>
      </c>
      <c r="I402" t="s">
        <v>1950</v>
      </c>
      <c r="N402">
        <v>41.721800000000002</v>
      </c>
      <c r="O402">
        <v>-74.414100000000005</v>
      </c>
      <c r="P402" t="s">
        <v>111</v>
      </c>
      <c r="Q402" t="s">
        <v>112</v>
      </c>
      <c r="R402" t="s">
        <v>1951</v>
      </c>
      <c r="S402" t="s">
        <v>114</v>
      </c>
      <c r="W402">
        <v>81</v>
      </c>
      <c r="X402" t="s">
        <v>1952</v>
      </c>
      <c r="Z402">
        <v>2</v>
      </c>
      <c r="AD402">
        <v>500</v>
      </c>
      <c r="AE402">
        <v>0.5</v>
      </c>
      <c r="AF402">
        <v>0.01</v>
      </c>
      <c r="AG402">
        <v>20</v>
      </c>
      <c r="AH402">
        <v>0.1</v>
      </c>
      <c r="AI402">
        <v>90</v>
      </c>
      <c r="AJ402">
        <v>0.1</v>
      </c>
      <c r="AK402" t="s">
        <v>159</v>
      </c>
      <c r="AL402" t="s">
        <v>1951</v>
      </c>
      <c r="AM402" t="s">
        <v>128</v>
      </c>
    </row>
    <row r="403" spans="1:39" x14ac:dyDescent="0.2">
      <c r="A403" s="2">
        <v>45030.515972222223</v>
      </c>
      <c r="B403" s="2">
        <v>45030.543078703704</v>
      </c>
      <c r="C403" t="s">
        <v>42</v>
      </c>
      <c r="D403" t="s">
        <v>1953</v>
      </c>
      <c r="E403">
        <v>100</v>
      </c>
      <c r="F403">
        <v>2342</v>
      </c>
      <c r="G403" t="b">
        <v>1</v>
      </c>
      <c r="H403" s="2">
        <v>45030.543090277781</v>
      </c>
      <c r="I403" t="s">
        <v>1954</v>
      </c>
      <c r="N403">
        <v>41.493400000000001</v>
      </c>
      <c r="O403">
        <v>-87.354799999999997</v>
      </c>
      <c r="P403" t="s">
        <v>111</v>
      </c>
      <c r="Q403" t="s">
        <v>112</v>
      </c>
      <c r="R403" t="s">
        <v>1955</v>
      </c>
      <c r="S403" t="s">
        <v>114</v>
      </c>
      <c r="W403">
        <v>0</v>
      </c>
      <c r="X403" t="s">
        <v>1956</v>
      </c>
      <c r="AA403" t="s">
        <v>1957</v>
      </c>
      <c r="AD403">
        <v>508</v>
      </c>
      <c r="AE403">
        <v>8</v>
      </c>
      <c r="AF403" s="4">
        <v>1E-3</v>
      </c>
      <c r="AG403">
        <v>20</v>
      </c>
      <c r="AH403">
        <v>10</v>
      </c>
      <c r="AI403" s="3">
        <v>0.9</v>
      </c>
      <c r="AJ403" s="5">
        <v>0.05</v>
      </c>
      <c r="AK403" t="s">
        <v>1958</v>
      </c>
      <c r="AL403" t="s">
        <v>1955</v>
      </c>
      <c r="AM403" t="s">
        <v>128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P13"/>
  <sheetViews>
    <sheetView topLeftCell="D1" workbookViewId="0">
      <selection activeCell="A9" sqref="A9"/>
    </sheetView>
  </sheetViews>
  <sheetFormatPr baseColWidth="10" defaultRowHeight="16" x14ac:dyDescent="0.2"/>
  <cols>
    <col min="1" max="1" width="41.1640625" bestFit="1" customWidth="1"/>
    <col min="2" max="2" width="19" bestFit="1" customWidth="1"/>
    <col min="3" max="3" width="11.6640625" bestFit="1" customWidth="1"/>
    <col min="4" max="4" width="19.1640625" bestFit="1" customWidth="1"/>
    <col min="5" max="5" width="20.83203125" bestFit="1" customWidth="1"/>
    <col min="6" max="6" width="7" bestFit="1" customWidth="1"/>
    <col min="7" max="7" width="12.1640625" bestFit="1" customWidth="1"/>
  </cols>
  <sheetData>
    <row r="3" spans="1:16" x14ac:dyDescent="0.2">
      <c r="J3" t="s">
        <v>1990</v>
      </c>
    </row>
    <row r="4" spans="1:16" x14ac:dyDescent="0.2">
      <c r="J4" s="9" t="s">
        <v>128</v>
      </c>
      <c r="K4" s="9" t="s">
        <v>117</v>
      </c>
      <c r="L4" s="9" t="s">
        <v>135</v>
      </c>
      <c r="M4" s="9" t="s">
        <v>123</v>
      </c>
    </row>
    <row r="5" spans="1:16" x14ac:dyDescent="0.2">
      <c r="J5" s="11">
        <v>58.898989898989896</v>
      </c>
      <c r="K5" s="11">
        <v>50.47</v>
      </c>
      <c r="L5" s="11">
        <v>34.979999999999997</v>
      </c>
      <c r="M5" s="11">
        <v>31.683168316831683</v>
      </c>
    </row>
    <row r="6" spans="1:16" x14ac:dyDescent="0.2">
      <c r="I6" t="s">
        <v>2002</v>
      </c>
      <c r="J6" s="11">
        <v>29.167879646126448</v>
      </c>
      <c r="K6" s="11">
        <v>28.884813038038246</v>
      </c>
      <c r="L6" s="11">
        <v>28.640220359177096</v>
      </c>
      <c r="M6" s="11">
        <v>31.832037538640002</v>
      </c>
    </row>
    <row r="7" spans="1:16" x14ac:dyDescent="0.2">
      <c r="A7" s="10" t="s">
        <v>1960</v>
      </c>
      <c r="B7" t="s">
        <v>1975</v>
      </c>
    </row>
    <row r="8" spans="1:16" x14ac:dyDescent="0.2">
      <c r="J8" t="s">
        <v>2001</v>
      </c>
    </row>
    <row r="9" spans="1:16" x14ac:dyDescent="0.2">
      <c r="B9" s="10" t="s">
        <v>1971</v>
      </c>
      <c r="J9" s="9" t="s">
        <v>1974</v>
      </c>
      <c r="K9" s="9" t="s">
        <v>1976</v>
      </c>
      <c r="L9" s="9" t="s">
        <v>1977</v>
      </c>
      <c r="M9" s="9" t="s">
        <v>1978</v>
      </c>
      <c r="N9" s="9" t="s">
        <v>1979</v>
      </c>
      <c r="O9" s="9" t="s">
        <v>1980</v>
      </c>
      <c r="P9" s="9" t="s">
        <v>1991</v>
      </c>
    </row>
    <row r="10" spans="1:16" x14ac:dyDescent="0.2">
      <c r="B10" t="s">
        <v>128</v>
      </c>
      <c r="C10" t="s">
        <v>117</v>
      </c>
      <c r="D10" t="s">
        <v>135</v>
      </c>
      <c r="E10" t="s">
        <v>123</v>
      </c>
      <c r="F10" t="s">
        <v>1972</v>
      </c>
      <c r="G10" t="s">
        <v>1973</v>
      </c>
      <c r="J10" s="8">
        <v>2.2684210526315791</v>
      </c>
      <c r="K10" s="8">
        <v>1.3638235294117649</v>
      </c>
      <c r="L10" s="8">
        <v>1.0998529411764704</v>
      </c>
      <c r="M10" s="8">
        <v>2.1756140350877193</v>
      </c>
      <c r="N10" s="8">
        <v>1.161746031746032</v>
      </c>
      <c r="O10" s="8">
        <v>3.1041666666666665</v>
      </c>
      <c r="P10" s="8">
        <v>1.8602659574468083</v>
      </c>
    </row>
    <row r="11" spans="1:16" x14ac:dyDescent="0.2">
      <c r="A11" t="s">
        <v>1974</v>
      </c>
      <c r="B11" s="8"/>
      <c r="C11" s="8"/>
      <c r="D11" s="8"/>
      <c r="E11" s="8">
        <v>2.2684210526315791</v>
      </c>
      <c r="F11" s="8"/>
      <c r="G11" s="8">
        <v>2.2684210526315791</v>
      </c>
    </row>
    <row r="12" spans="1:16" x14ac:dyDescent="0.2">
      <c r="I12" t="s">
        <v>2003</v>
      </c>
      <c r="J12">
        <f>AVERAGE(J10,M10,O10)</f>
        <v>2.5160672514619882</v>
      </c>
    </row>
    <row r="13" spans="1:16" x14ac:dyDescent="0.2">
      <c r="I13" t="s">
        <v>2004</v>
      </c>
      <c r="J13">
        <f>AVERAGE(K10,L10,N10)</f>
        <v>1.2084741674447559</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06"/>
  <sheetViews>
    <sheetView topLeftCell="F1" workbookViewId="0">
      <selection sqref="A1:A1048576"/>
    </sheetView>
  </sheetViews>
  <sheetFormatPr baseColWidth="10" defaultRowHeight="16" x14ac:dyDescent="0.2"/>
  <cols>
    <col min="6" max="6" width="35.1640625" style="1" customWidth="1"/>
    <col min="7" max="7" width="24.6640625" customWidth="1"/>
    <col min="8" max="8" width="24.83203125" customWidth="1"/>
    <col min="9" max="9" width="20.83203125" customWidth="1"/>
    <col min="10" max="10" width="23" customWidth="1"/>
    <col min="11" max="11" width="19.1640625" customWidth="1"/>
    <col min="12" max="12" width="20.83203125" bestFit="1" customWidth="1"/>
  </cols>
  <sheetData>
    <row r="1" spans="1:12" ht="17" x14ac:dyDescent="0.2">
      <c r="A1" t="s">
        <v>1970</v>
      </c>
      <c r="B1" t="s">
        <v>1959</v>
      </c>
      <c r="C1" t="s">
        <v>1960</v>
      </c>
      <c r="D1" t="s">
        <v>1961</v>
      </c>
      <c r="E1" t="s">
        <v>1962</v>
      </c>
      <c r="F1" s="1" t="s">
        <v>1963</v>
      </c>
      <c r="G1" t="s">
        <v>1964</v>
      </c>
      <c r="H1" t="s">
        <v>1965</v>
      </c>
      <c r="I1" t="s">
        <v>1966</v>
      </c>
      <c r="J1" t="s">
        <v>1967</v>
      </c>
      <c r="K1" t="s">
        <v>1968</v>
      </c>
      <c r="L1" t="s">
        <v>1969</v>
      </c>
    </row>
    <row r="2" spans="1:12" ht="34" x14ac:dyDescent="0.2">
      <c r="A2">
        <v>1</v>
      </c>
      <c r="E2">
        <v>100</v>
      </c>
      <c r="F2" s="1" t="s">
        <v>115</v>
      </c>
      <c r="G2">
        <v>5</v>
      </c>
      <c r="L2" t="s">
        <v>117</v>
      </c>
    </row>
    <row r="3" spans="1:12" ht="51" x14ac:dyDescent="0.2">
      <c r="A3">
        <v>2</v>
      </c>
      <c r="B3">
        <v>5</v>
      </c>
      <c r="C3">
        <v>4</v>
      </c>
      <c r="E3">
        <v>0</v>
      </c>
      <c r="F3" s="1" t="s">
        <v>121</v>
      </c>
      <c r="L3" t="s">
        <v>123</v>
      </c>
    </row>
    <row r="4" spans="1:12" ht="68" x14ac:dyDescent="0.2">
      <c r="A4">
        <v>3</v>
      </c>
      <c r="E4">
        <v>81</v>
      </c>
      <c r="F4" s="1" t="s">
        <v>127</v>
      </c>
      <c r="H4">
        <v>0.5</v>
      </c>
      <c r="L4" t="s">
        <v>128</v>
      </c>
    </row>
    <row r="5" spans="1:12" ht="68" x14ac:dyDescent="0.2">
      <c r="A5">
        <v>4</v>
      </c>
      <c r="E5">
        <v>18</v>
      </c>
      <c r="F5" s="1" t="s">
        <v>132</v>
      </c>
      <c r="K5">
        <v>3</v>
      </c>
      <c r="L5" t="s">
        <v>135</v>
      </c>
    </row>
    <row r="6" spans="1:12" ht="51" x14ac:dyDescent="0.2">
      <c r="A6">
        <v>5</v>
      </c>
      <c r="E6">
        <v>58</v>
      </c>
      <c r="F6" s="1" t="s">
        <v>139</v>
      </c>
      <c r="J6">
        <v>1.5</v>
      </c>
      <c r="L6" t="s">
        <v>135</v>
      </c>
    </row>
    <row r="7" spans="1:12" ht="68" x14ac:dyDescent="0.2">
      <c r="A7">
        <v>6</v>
      </c>
      <c r="E7">
        <v>10</v>
      </c>
      <c r="F7" s="1" t="s">
        <v>143</v>
      </c>
      <c r="I7">
        <v>3</v>
      </c>
      <c r="L7" t="s">
        <v>128</v>
      </c>
    </row>
    <row r="8" spans="1:12" ht="51" x14ac:dyDescent="0.2">
      <c r="A8">
        <v>7</v>
      </c>
      <c r="E8">
        <v>41</v>
      </c>
      <c r="F8" s="1" t="s">
        <v>147</v>
      </c>
      <c r="G8">
        <v>4</v>
      </c>
      <c r="L8" t="s">
        <v>117</v>
      </c>
    </row>
    <row r="9" spans="1:12" ht="17" x14ac:dyDescent="0.2">
      <c r="A9">
        <v>8</v>
      </c>
      <c r="B9">
        <v>71</v>
      </c>
      <c r="D9">
        <v>1</v>
      </c>
      <c r="E9">
        <v>70</v>
      </c>
      <c r="F9" s="1" t="s">
        <v>152</v>
      </c>
      <c r="L9" t="s">
        <v>123</v>
      </c>
    </row>
    <row r="10" spans="1:12" ht="102" x14ac:dyDescent="0.2">
      <c r="A10">
        <v>9</v>
      </c>
      <c r="E10">
        <v>40</v>
      </c>
      <c r="F10" s="1" t="s">
        <v>156</v>
      </c>
      <c r="G10">
        <v>1</v>
      </c>
      <c r="L10" t="s">
        <v>117</v>
      </c>
    </row>
    <row r="11" spans="1:12" ht="68" x14ac:dyDescent="0.2">
      <c r="A11">
        <v>10</v>
      </c>
      <c r="E11">
        <v>5</v>
      </c>
      <c r="F11" s="1" t="s">
        <v>163</v>
      </c>
      <c r="K11">
        <v>25</v>
      </c>
      <c r="L11" t="s">
        <v>135</v>
      </c>
    </row>
    <row r="12" spans="1:12" ht="51" x14ac:dyDescent="0.2">
      <c r="A12">
        <v>11</v>
      </c>
      <c r="B12">
        <v>46</v>
      </c>
      <c r="C12">
        <v>2</v>
      </c>
      <c r="E12">
        <v>23</v>
      </c>
      <c r="F12" s="1" t="s">
        <v>168</v>
      </c>
      <c r="L12" t="s">
        <v>123</v>
      </c>
    </row>
    <row r="13" spans="1:12" ht="51" x14ac:dyDescent="0.2">
      <c r="A13">
        <v>12</v>
      </c>
      <c r="E13">
        <v>66</v>
      </c>
      <c r="F13" s="1" t="s">
        <v>172</v>
      </c>
      <c r="H13">
        <v>1</v>
      </c>
      <c r="L13" t="s">
        <v>128</v>
      </c>
    </row>
    <row r="14" spans="1:12" ht="17" x14ac:dyDescent="0.2">
      <c r="A14">
        <v>13</v>
      </c>
      <c r="E14">
        <v>32</v>
      </c>
      <c r="F14" s="1" t="s">
        <v>177</v>
      </c>
      <c r="K14">
        <v>90</v>
      </c>
      <c r="L14" t="s">
        <v>135</v>
      </c>
    </row>
    <row r="15" spans="1:12" ht="34" x14ac:dyDescent="0.2">
      <c r="A15">
        <v>14</v>
      </c>
      <c r="E15">
        <v>12</v>
      </c>
      <c r="F15" s="1" t="s">
        <v>181</v>
      </c>
      <c r="G15">
        <v>5</v>
      </c>
      <c r="L15" t="s">
        <v>117</v>
      </c>
    </row>
    <row r="16" spans="1:12" ht="51" x14ac:dyDescent="0.2">
      <c r="A16">
        <v>15</v>
      </c>
      <c r="E16">
        <v>81</v>
      </c>
      <c r="F16" s="1" t="s">
        <v>185</v>
      </c>
      <c r="J16">
        <v>1</v>
      </c>
      <c r="L16" t="s">
        <v>135</v>
      </c>
    </row>
    <row r="17" spans="1:12" ht="85" x14ac:dyDescent="0.2">
      <c r="A17">
        <v>16</v>
      </c>
      <c r="E17">
        <v>88</v>
      </c>
      <c r="F17" s="1" t="s">
        <v>189</v>
      </c>
      <c r="H17">
        <v>1</v>
      </c>
      <c r="L17" t="s">
        <v>128</v>
      </c>
    </row>
    <row r="18" spans="1:12" ht="17" x14ac:dyDescent="0.2">
      <c r="A18">
        <v>17</v>
      </c>
      <c r="B18">
        <v>73</v>
      </c>
      <c r="D18">
        <v>1</v>
      </c>
      <c r="E18">
        <v>63</v>
      </c>
      <c r="F18" s="1" t="s">
        <v>193</v>
      </c>
      <c r="L18" t="s">
        <v>123</v>
      </c>
    </row>
    <row r="19" spans="1:12" ht="34" x14ac:dyDescent="0.2">
      <c r="A19">
        <v>18</v>
      </c>
      <c r="E19">
        <v>16</v>
      </c>
      <c r="F19" s="1" t="s">
        <v>197</v>
      </c>
      <c r="K19">
        <v>1</v>
      </c>
      <c r="L19" t="s">
        <v>135</v>
      </c>
    </row>
    <row r="20" spans="1:12" ht="51" x14ac:dyDescent="0.2">
      <c r="A20">
        <v>19</v>
      </c>
      <c r="B20">
        <v>60</v>
      </c>
      <c r="D20">
        <v>1.2</v>
      </c>
      <c r="E20">
        <v>65</v>
      </c>
      <c r="F20" s="1" t="s">
        <v>202</v>
      </c>
      <c r="L20" t="s">
        <v>123</v>
      </c>
    </row>
    <row r="21" spans="1:12" ht="51" x14ac:dyDescent="0.2">
      <c r="A21">
        <v>20</v>
      </c>
      <c r="E21">
        <v>19</v>
      </c>
      <c r="F21" s="1" t="s">
        <v>206</v>
      </c>
      <c r="I21">
        <v>4</v>
      </c>
      <c r="L21" t="s">
        <v>128</v>
      </c>
    </row>
    <row r="22" spans="1:12" ht="51" x14ac:dyDescent="0.2">
      <c r="A22">
        <v>21</v>
      </c>
      <c r="B22">
        <v>15</v>
      </c>
      <c r="C22">
        <v>1</v>
      </c>
      <c r="E22">
        <v>10</v>
      </c>
      <c r="F22" s="1" t="s">
        <v>212</v>
      </c>
      <c r="L22" t="s">
        <v>123</v>
      </c>
    </row>
    <row r="23" spans="1:12" ht="68" x14ac:dyDescent="0.2">
      <c r="A23">
        <v>22</v>
      </c>
      <c r="E23">
        <v>17</v>
      </c>
      <c r="F23" s="1" t="s">
        <v>216</v>
      </c>
      <c r="K23">
        <v>3</v>
      </c>
      <c r="L23" t="s">
        <v>135</v>
      </c>
    </row>
    <row r="24" spans="1:12" ht="68" x14ac:dyDescent="0.2">
      <c r="A24">
        <v>23</v>
      </c>
      <c r="B24">
        <v>24</v>
      </c>
      <c r="C24">
        <v>2</v>
      </c>
      <c r="E24">
        <v>20</v>
      </c>
      <c r="F24" s="1" t="s">
        <v>224</v>
      </c>
      <c r="L24" t="s">
        <v>123</v>
      </c>
    </row>
    <row r="25" spans="1:12" ht="85" x14ac:dyDescent="0.2">
      <c r="A25">
        <v>24</v>
      </c>
      <c r="E25">
        <v>95</v>
      </c>
      <c r="F25" s="1" t="s">
        <v>228</v>
      </c>
      <c r="H25">
        <v>3</v>
      </c>
      <c r="L25" t="s">
        <v>128</v>
      </c>
    </row>
    <row r="26" spans="1:12" ht="34" x14ac:dyDescent="0.2">
      <c r="A26">
        <v>25</v>
      </c>
      <c r="E26">
        <v>50</v>
      </c>
      <c r="F26" s="1" t="s">
        <v>232</v>
      </c>
      <c r="H26">
        <v>1.5</v>
      </c>
      <c r="L26" t="s">
        <v>128</v>
      </c>
    </row>
    <row r="27" spans="1:12" ht="51" x14ac:dyDescent="0.2">
      <c r="A27">
        <v>26</v>
      </c>
      <c r="E27">
        <v>32</v>
      </c>
      <c r="F27" s="1" t="s">
        <v>236</v>
      </c>
      <c r="G27">
        <v>1.5</v>
      </c>
      <c r="L27" t="s">
        <v>117</v>
      </c>
    </row>
    <row r="28" spans="1:12" ht="85" x14ac:dyDescent="0.2">
      <c r="A28">
        <v>27</v>
      </c>
      <c r="E28">
        <v>20</v>
      </c>
      <c r="F28" s="1" t="s">
        <v>240</v>
      </c>
      <c r="K28">
        <v>1</v>
      </c>
      <c r="L28" t="s">
        <v>135</v>
      </c>
    </row>
    <row r="29" spans="1:12" ht="51" x14ac:dyDescent="0.2">
      <c r="A29">
        <v>28</v>
      </c>
      <c r="E29">
        <v>83</v>
      </c>
      <c r="F29" s="1" t="s">
        <v>245</v>
      </c>
      <c r="H29">
        <v>1</v>
      </c>
      <c r="L29" t="s">
        <v>128</v>
      </c>
    </row>
    <row r="30" spans="1:12" ht="102" x14ac:dyDescent="0.2">
      <c r="A30">
        <v>29</v>
      </c>
      <c r="E30">
        <v>50</v>
      </c>
      <c r="F30" s="1" t="s">
        <v>250</v>
      </c>
      <c r="G30">
        <v>2</v>
      </c>
      <c r="L30" t="s">
        <v>117</v>
      </c>
    </row>
    <row r="31" spans="1:12" ht="119" x14ac:dyDescent="0.2">
      <c r="A31">
        <v>30</v>
      </c>
      <c r="E31">
        <v>0</v>
      </c>
      <c r="F31" s="1" t="s">
        <v>255</v>
      </c>
      <c r="K31">
        <v>0</v>
      </c>
      <c r="L31" t="s">
        <v>135</v>
      </c>
    </row>
    <row r="32" spans="1:12" ht="119" x14ac:dyDescent="0.2">
      <c r="A32">
        <v>31</v>
      </c>
      <c r="E32">
        <v>90</v>
      </c>
      <c r="F32" s="1" t="s">
        <v>259</v>
      </c>
      <c r="H32">
        <v>1.6</v>
      </c>
      <c r="L32" t="s">
        <v>128</v>
      </c>
    </row>
    <row r="33" spans="1:12" ht="85" x14ac:dyDescent="0.2">
      <c r="A33">
        <v>32</v>
      </c>
      <c r="E33">
        <v>90</v>
      </c>
      <c r="F33" s="1" t="s">
        <v>263</v>
      </c>
      <c r="J33">
        <v>0.1</v>
      </c>
      <c r="L33" t="s">
        <v>135</v>
      </c>
    </row>
    <row r="34" spans="1:12" ht="34" x14ac:dyDescent="0.2">
      <c r="A34">
        <v>33</v>
      </c>
      <c r="E34">
        <v>71</v>
      </c>
      <c r="F34" s="1" t="s">
        <v>267</v>
      </c>
      <c r="H34">
        <v>0.5</v>
      </c>
      <c r="L34" t="s">
        <v>128</v>
      </c>
    </row>
    <row r="35" spans="1:12" ht="51" x14ac:dyDescent="0.2">
      <c r="A35">
        <v>34</v>
      </c>
      <c r="E35">
        <v>76</v>
      </c>
      <c r="F35" s="1" t="s">
        <v>273</v>
      </c>
      <c r="G35">
        <v>3</v>
      </c>
      <c r="L35" t="s">
        <v>117</v>
      </c>
    </row>
    <row r="36" spans="1:12" ht="51" x14ac:dyDescent="0.2">
      <c r="A36">
        <v>35</v>
      </c>
      <c r="E36">
        <v>40</v>
      </c>
      <c r="F36" s="1" t="s">
        <v>277</v>
      </c>
      <c r="K36">
        <v>2</v>
      </c>
      <c r="L36" t="s">
        <v>135</v>
      </c>
    </row>
    <row r="37" spans="1:12" ht="68" x14ac:dyDescent="0.2">
      <c r="A37">
        <v>36</v>
      </c>
      <c r="E37">
        <v>70</v>
      </c>
      <c r="F37" s="1" t="s">
        <v>281</v>
      </c>
      <c r="G37">
        <v>0.5</v>
      </c>
      <c r="L37" t="s">
        <v>117</v>
      </c>
    </row>
    <row r="38" spans="1:12" ht="68" x14ac:dyDescent="0.2">
      <c r="A38">
        <v>37</v>
      </c>
      <c r="B38">
        <v>27</v>
      </c>
      <c r="C38">
        <v>1.5</v>
      </c>
      <c r="E38">
        <v>17</v>
      </c>
      <c r="F38" s="1" t="s">
        <v>285</v>
      </c>
      <c r="L38" t="s">
        <v>123</v>
      </c>
    </row>
    <row r="39" spans="1:12" ht="68" x14ac:dyDescent="0.2">
      <c r="A39">
        <v>38</v>
      </c>
      <c r="E39">
        <v>0</v>
      </c>
      <c r="F39" s="1" t="s">
        <v>289</v>
      </c>
      <c r="K39">
        <v>2</v>
      </c>
      <c r="L39" t="s">
        <v>135</v>
      </c>
    </row>
    <row r="40" spans="1:12" ht="51" x14ac:dyDescent="0.2">
      <c r="A40">
        <v>39</v>
      </c>
      <c r="E40">
        <v>30</v>
      </c>
      <c r="F40" s="1" t="s">
        <v>293</v>
      </c>
      <c r="I40">
        <v>1.5</v>
      </c>
      <c r="L40" t="s">
        <v>128</v>
      </c>
    </row>
    <row r="41" spans="1:12" ht="34" x14ac:dyDescent="0.2">
      <c r="A41">
        <v>40</v>
      </c>
      <c r="B41">
        <v>18</v>
      </c>
      <c r="C41">
        <v>3</v>
      </c>
      <c r="E41">
        <v>20</v>
      </c>
      <c r="F41" s="1" t="s">
        <v>297</v>
      </c>
      <c r="L41" t="s">
        <v>123</v>
      </c>
    </row>
    <row r="42" spans="1:12" ht="51" x14ac:dyDescent="0.2">
      <c r="A42">
        <v>41</v>
      </c>
      <c r="B42">
        <v>0</v>
      </c>
      <c r="C42" t="s">
        <v>301</v>
      </c>
      <c r="E42">
        <v>0</v>
      </c>
      <c r="F42" s="1" t="s">
        <v>302</v>
      </c>
      <c r="L42" t="s">
        <v>123</v>
      </c>
    </row>
    <row r="43" spans="1:12" ht="51" x14ac:dyDescent="0.2">
      <c r="A43">
        <v>42</v>
      </c>
      <c r="E43">
        <v>67</v>
      </c>
      <c r="F43" s="1" t="s">
        <v>307</v>
      </c>
      <c r="G43">
        <v>2</v>
      </c>
      <c r="L43" t="s">
        <v>117</v>
      </c>
    </row>
    <row r="44" spans="1:12" ht="34" x14ac:dyDescent="0.2">
      <c r="A44">
        <v>43</v>
      </c>
      <c r="E44">
        <v>41</v>
      </c>
      <c r="F44" s="1" t="s">
        <v>314</v>
      </c>
      <c r="G44">
        <v>0.5</v>
      </c>
      <c r="L44" t="s">
        <v>117</v>
      </c>
    </row>
    <row r="45" spans="1:12" ht="85" x14ac:dyDescent="0.2">
      <c r="A45">
        <v>44</v>
      </c>
      <c r="E45">
        <v>10</v>
      </c>
      <c r="F45" s="1" t="s">
        <v>318</v>
      </c>
      <c r="G45">
        <v>0.5</v>
      </c>
      <c r="L45" t="s">
        <v>117</v>
      </c>
    </row>
    <row r="46" spans="1:12" ht="51" x14ac:dyDescent="0.2">
      <c r="A46">
        <v>45</v>
      </c>
      <c r="E46">
        <v>70</v>
      </c>
      <c r="F46" s="1" t="s">
        <v>322</v>
      </c>
      <c r="H46">
        <v>0.5</v>
      </c>
      <c r="L46" t="s">
        <v>128</v>
      </c>
    </row>
    <row r="47" spans="1:12" ht="34" x14ac:dyDescent="0.2">
      <c r="A47">
        <v>46</v>
      </c>
      <c r="E47">
        <v>35</v>
      </c>
      <c r="F47" s="1" t="s">
        <v>326</v>
      </c>
      <c r="K47">
        <v>5</v>
      </c>
      <c r="L47" t="s">
        <v>135</v>
      </c>
    </row>
    <row r="48" spans="1:12" ht="34" x14ac:dyDescent="0.2">
      <c r="A48">
        <v>47</v>
      </c>
      <c r="E48">
        <v>65</v>
      </c>
      <c r="F48" s="1" t="s">
        <v>333</v>
      </c>
      <c r="G48">
        <v>5</v>
      </c>
      <c r="L48" t="s">
        <v>117</v>
      </c>
    </row>
    <row r="49" spans="1:12" ht="51" x14ac:dyDescent="0.2">
      <c r="A49">
        <v>48</v>
      </c>
      <c r="E49">
        <v>70</v>
      </c>
      <c r="F49" s="1" t="s">
        <v>339</v>
      </c>
      <c r="G49">
        <v>2</v>
      </c>
      <c r="L49" t="s">
        <v>117</v>
      </c>
    </row>
    <row r="50" spans="1:12" ht="51" x14ac:dyDescent="0.2">
      <c r="A50">
        <v>49</v>
      </c>
      <c r="B50">
        <v>30</v>
      </c>
      <c r="C50">
        <v>2</v>
      </c>
      <c r="E50">
        <v>8</v>
      </c>
      <c r="F50" s="1" t="s">
        <v>344</v>
      </c>
      <c r="L50" t="s">
        <v>123</v>
      </c>
    </row>
    <row r="51" spans="1:12" ht="51" x14ac:dyDescent="0.2">
      <c r="A51">
        <v>50</v>
      </c>
      <c r="E51">
        <v>100</v>
      </c>
      <c r="F51" s="1" t="s">
        <v>348</v>
      </c>
      <c r="G51">
        <v>1.5</v>
      </c>
      <c r="L51" t="s">
        <v>117</v>
      </c>
    </row>
    <row r="52" spans="1:12" ht="85" x14ac:dyDescent="0.2">
      <c r="A52">
        <v>51</v>
      </c>
      <c r="E52">
        <v>0</v>
      </c>
      <c r="F52" s="1" t="s">
        <v>352</v>
      </c>
      <c r="G52">
        <v>2</v>
      </c>
      <c r="L52" t="s">
        <v>117</v>
      </c>
    </row>
    <row r="53" spans="1:12" ht="68" x14ac:dyDescent="0.2">
      <c r="A53">
        <v>52</v>
      </c>
      <c r="E53">
        <v>30</v>
      </c>
      <c r="F53" s="1" t="s">
        <v>356</v>
      </c>
      <c r="K53">
        <v>2</v>
      </c>
      <c r="L53" t="s">
        <v>135</v>
      </c>
    </row>
    <row r="54" spans="1:12" ht="34" x14ac:dyDescent="0.2">
      <c r="A54">
        <v>53</v>
      </c>
      <c r="E54">
        <v>31</v>
      </c>
      <c r="F54" s="1" t="s">
        <v>360</v>
      </c>
      <c r="I54" t="s">
        <v>361</v>
      </c>
      <c r="L54" t="s">
        <v>128</v>
      </c>
    </row>
    <row r="55" spans="1:12" ht="34" x14ac:dyDescent="0.2">
      <c r="A55">
        <v>54</v>
      </c>
      <c r="B55">
        <v>25</v>
      </c>
      <c r="C55">
        <v>2</v>
      </c>
      <c r="E55">
        <v>12</v>
      </c>
      <c r="F55" s="1" t="s">
        <v>365</v>
      </c>
      <c r="L55" t="s">
        <v>123</v>
      </c>
    </row>
    <row r="56" spans="1:12" ht="85" x14ac:dyDescent="0.2">
      <c r="A56">
        <v>55</v>
      </c>
      <c r="B56">
        <v>10</v>
      </c>
      <c r="C56">
        <v>5</v>
      </c>
      <c r="E56">
        <v>0</v>
      </c>
      <c r="F56" s="1" t="s">
        <v>369</v>
      </c>
      <c r="L56" t="s">
        <v>123</v>
      </c>
    </row>
    <row r="57" spans="1:12" ht="102" x14ac:dyDescent="0.2">
      <c r="A57">
        <v>56</v>
      </c>
      <c r="E57">
        <v>24</v>
      </c>
      <c r="F57" s="1" t="s">
        <v>373</v>
      </c>
      <c r="I57">
        <v>3</v>
      </c>
      <c r="L57" t="s">
        <v>128</v>
      </c>
    </row>
    <row r="58" spans="1:12" ht="51" x14ac:dyDescent="0.2">
      <c r="A58">
        <v>57</v>
      </c>
      <c r="E58">
        <v>70</v>
      </c>
      <c r="F58" s="1" t="s">
        <v>378</v>
      </c>
      <c r="G58">
        <v>2.2999999999999998</v>
      </c>
      <c r="L58" t="s">
        <v>117</v>
      </c>
    </row>
    <row r="59" spans="1:12" ht="51" x14ac:dyDescent="0.2">
      <c r="A59">
        <v>58</v>
      </c>
      <c r="E59">
        <v>40</v>
      </c>
      <c r="F59" s="1" t="s">
        <v>383</v>
      </c>
      <c r="I59">
        <v>5</v>
      </c>
      <c r="L59" t="s">
        <v>128</v>
      </c>
    </row>
    <row r="60" spans="1:12" ht="34" x14ac:dyDescent="0.2">
      <c r="A60">
        <v>59</v>
      </c>
      <c r="B60">
        <v>21</v>
      </c>
      <c r="C60">
        <v>1</v>
      </c>
      <c r="E60">
        <v>7</v>
      </c>
      <c r="F60" s="1" t="s">
        <v>390</v>
      </c>
      <c r="L60" t="s">
        <v>123</v>
      </c>
    </row>
    <row r="61" spans="1:12" ht="34" x14ac:dyDescent="0.2">
      <c r="A61">
        <v>60</v>
      </c>
      <c r="B61">
        <v>38</v>
      </c>
      <c r="C61">
        <v>2</v>
      </c>
      <c r="E61">
        <v>34</v>
      </c>
      <c r="F61" s="1" t="s">
        <v>394</v>
      </c>
      <c r="L61" t="s">
        <v>123</v>
      </c>
    </row>
    <row r="62" spans="1:12" ht="17" x14ac:dyDescent="0.2">
      <c r="A62">
        <v>61</v>
      </c>
      <c r="B62">
        <v>50</v>
      </c>
      <c r="D62">
        <v>1</v>
      </c>
      <c r="E62">
        <v>50</v>
      </c>
      <c r="F62" s="1" t="s">
        <v>398</v>
      </c>
      <c r="L62" t="s">
        <v>123</v>
      </c>
    </row>
    <row r="63" spans="1:12" ht="34" x14ac:dyDescent="0.2">
      <c r="A63">
        <v>62</v>
      </c>
      <c r="E63">
        <v>63</v>
      </c>
      <c r="F63" s="1" t="s">
        <v>402</v>
      </c>
      <c r="G63">
        <v>1</v>
      </c>
      <c r="L63" t="s">
        <v>117</v>
      </c>
    </row>
    <row r="64" spans="1:12" ht="34" x14ac:dyDescent="0.2">
      <c r="A64">
        <v>63</v>
      </c>
      <c r="E64">
        <v>58</v>
      </c>
      <c r="F64" s="1" t="s">
        <v>408</v>
      </c>
      <c r="G64">
        <v>1.5</v>
      </c>
      <c r="L64" t="s">
        <v>117</v>
      </c>
    </row>
    <row r="65" spans="1:12" ht="153" x14ac:dyDescent="0.2">
      <c r="A65">
        <v>64</v>
      </c>
      <c r="E65">
        <v>0</v>
      </c>
      <c r="F65" s="1" t="s">
        <v>413</v>
      </c>
      <c r="I65">
        <v>3</v>
      </c>
      <c r="L65" t="s">
        <v>128</v>
      </c>
    </row>
    <row r="66" spans="1:12" ht="68" x14ac:dyDescent="0.2">
      <c r="A66">
        <v>65</v>
      </c>
      <c r="E66">
        <v>3</v>
      </c>
      <c r="F66" s="1" t="s">
        <v>417</v>
      </c>
      <c r="G66">
        <v>0.5</v>
      </c>
      <c r="L66" t="s">
        <v>117</v>
      </c>
    </row>
    <row r="67" spans="1:12" ht="68" x14ac:dyDescent="0.2">
      <c r="A67">
        <v>66</v>
      </c>
      <c r="E67">
        <v>62</v>
      </c>
      <c r="F67" s="1" t="s">
        <v>421</v>
      </c>
      <c r="J67">
        <v>0.4</v>
      </c>
      <c r="L67" t="s">
        <v>135</v>
      </c>
    </row>
    <row r="68" spans="1:12" ht="68" x14ac:dyDescent="0.2">
      <c r="A68">
        <v>67</v>
      </c>
      <c r="E68">
        <v>80</v>
      </c>
      <c r="F68" s="1" t="s">
        <v>425</v>
      </c>
      <c r="H68">
        <v>1</v>
      </c>
      <c r="L68" t="s">
        <v>128</v>
      </c>
    </row>
    <row r="69" spans="1:12" ht="102" x14ac:dyDescent="0.2">
      <c r="A69">
        <v>68</v>
      </c>
      <c r="B69">
        <v>10</v>
      </c>
      <c r="C69">
        <v>1.5</v>
      </c>
      <c r="E69">
        <v>30</v>
      </c>
      <c r="F69" s="1" t="s">
        <v>429</v>
      </c>
      <c r="L69" t="s">
        <v>123</v>
      </c>
    </row>
    <row r="70" spans="1:12" ht="34" x14ac:dyDescent="0.2">
      <c r="A70">
        <v>69</v>
      </c>
      <c r="E70">
        <v>0</v>
      </c>
      <c r="F70" s="1" t="s">
        <v>433</v>
      </c>
      <c r="I70">
        <v>5</v>
      </c>
      <c r="L70" t="s">
        <v>128</v>
      </c>
    </row>
    <row r="71" spans="1:12" ht="17" x14ac:dyDescent="0.2">
      <c r="A71">
        <v>70</v>
      </c>
      <c r="B71">
        <v>0</v>
      </c>
      <c r="C71">
        <v>1</v>
      </c>
      <c r="E71">
        <v>0</v>
      </c>
      <c r="F71" s="1" t="s">
        <v>437</v>
      </c>
      <c r="L71" t="s">
        <v>123</v>
      </c>
    </row>
    <row r="72" spans="1:12" ht="85" x14ac:dyDescent="0.2">
      <c r="A72">
        <v>71</v>
      </c>
      <c r="E72">
        <v>51</v>
      </c>
      <c r="F72" s="1" t="s">
        <v>441</v>
      </c>
      <c r="J72">
        <v>1</v>
      </c>
      <c r="L72" t="s">
        <v>135</v>
      </c>
    </row>
    <row r="73" spans="1:12" ht="102" x14ac:dyDescent="0.2">
      <c r="A73">
        <v>72</v>
      </c>
      <c r="E73">
        <v>20</v>
      </c>
      <c r="F73" s="1" t="s">
        <v>445</v>
      </c>
      <c r="K73">
        <v>1.2</v>
      </c>
      <c r="L73" t="s">
        <v>135</v>
      </c>
    </row>
    <row r="74" spans="1:12" ht="34" x14ac:dyDescent="0.2">
      <c r="A74">
        <v>73</v>
      </c>
      <c r="B74">
        <v>84</v>
      </c>
      <c r="D74">
        <v>1</v>
      </c>
      <c r="E74">
        <v>20</v>
      </c>
      <c r="F74" s="1" t="s">
        <v>450</v>
      </c>
      <c r="L74" t="s">
        <v>123</v>
      </c>
    </row>
    <row r="75" spans="1:12" ht="68" x14ac:dyDescent="0.2">
      <c r="A75">
        <v>74</v>
      </c>
      <c r="E75">
        <v>80</v>
      </c>
      <c r="F75" s="1" t="s">
        <v>456</v>
      </c>
      <c r="H75">
        <v>0.5</v>
      </c>
      <c r="L75" t="s">
        <v>128</v>
      </c>
    </row>
    <row r="76" spans="1:12" ht="68" x14ac:dyDescent="0.2">
      <c r="A76">
        <v>75</v>
      </c>
      <c r="E76">
        <v>10</v>
      </c>
      <c r="F76" s="1" t="s">
        <v>460</v>
      </c>
      <c r="G76">
        <v>2.5</v>
      </c>
      <c r="L76" t="s">
        <v>117</v>
      </c>
    </row>
    <row r="77" spans="1:12" ht="34" x14ac:dyDescent="0.2">
      <c r="A77">
        <v>76</v>
      </c>
      <c r="E77">
        <v>10</v>
      </c>
      <c r="F77" s="1" t="s">
        <v>464</v>
      </c>
      <c r="K77">
        <v>3</v>
      </c>
      <c r="L77" t="s">
        <v>135</v>
      </c>
    </row>
    <row r="78" spans="1:12" ht="85" x14ac:dyDescent="0.2">
      <c r="A78">
        <v>77</v>
      </c>
      <c r="E78">
        <v>75</v>
      </c>
      <c r="F78" s="1" t="s">
        <v>468</v>
      </c>
      <c r="H78">
        <v>3</v>
      </c>
      <c r="L78" t="s">
        <v>128</v>
      </c>
    </row>
    <row r="79" spans="1:12" ht="68" x14ac:dyDescent="0.2">
      <c r="A79">
        <v>78</v>
      </c>
      <c r="E79">
        <v>40</v>
      </c>
      <c r="F79" s="1" t="s">
        <v>472</v>
      </c>
      <c r="G79">
        <v>0.5</v>
      </c>
      <c r="L79" t="s">
        <v>117</v>
      </c>
    </row>
    <row r="80" spans="1:12" ht="102" x14ac:dyDescent="0.2">
      <c r="A80">
        <v>79</v>
      </c>
      <c r="E80">
        <v>10</v>
      </c>
      <c r="F80" s="1" t="s">
        <v>476</v>
      </c>
      <c r="K80">
        <v>3</v>
      </c>
      <c r="L80" t="s">
        <v>135</v>
      </c>
    </row>
    <row r="81" spans="1:12" ht="102" x14ac:dyDescent="0.2">
      <c r="A81">
        <v>80</v>
      </c>
      <c r="B81">
        <v>35</v>
      </c>
      <c r="C81">
        <v>2</v>
      </c>
      <c r="E81">
        <v>30</v>
      </c>
      <c r="F81" s="1" t="s">
        <v>480</v>
      </c>
      <c r="L81" t="s">
        <v>123</v>
      </c>
    </row>
    <row r="82" spans="1:12" ht="68" x14ac:dyDescent="0.2">
      <c r="A82">
        <v>81</v>
      </c>
      <c r="E82">
        <v>15</v>
      </c>
      <c r="F82" s="1" t="s">
        <v>484</v>
      </c>
      <c r="G82">
        <v>3</v>
      </c>
      <c r="L82" t="s">
        <v>117</v>
      </c>
    </row>
    <row r="83" spans="1:12" ht="51" x14ac:dyDescent="0.2">
      <c r="A83">
        <v>82</v>
      </c>
      <c r="E83">
        <v>26</v>
      </c>
      <c r="F83" s="1" t="s">
        <v>488</v>
      </c>
      <c r="G83">
        <v>1.5</v>
      </c>
      <c r="L83" t="s">
        <v>117</v>
      </c>
    </row>
    <row r="84" spans="1:12" ht="119" x14ac:dyDescent="0.2">
      <c r="A84">
        <v>83</v>
      </c>
      <c r="E84">
        <v>21</v>
      </c>
      <c r="F84" s="1" t="s">
        <v>493</v>
      </c>
      <c r="I84">
        <v>5</v>
      </c>
      <c r="L84" t="s">
        <v>128</v>
      </c>
    </row>
    <row r="85" spans="1:12" ht="17" x14ac:dyDescent="0.2">
      <c r="A85">
        <v>84</v>
      </c>
      <c r="E85">
        <v>50</v>
      </c>
      <c r="F85" s="1" t="s">
        <v>497</v>
      </c>
      <c r="J85">
        <v>3</v>
      </c>
      <c r="L85" t="s">
        <v>135</v>
      </c>
    </row>
    <row r="86" spans="1:12" ht="102" x14ac:dyDescent="0.2">
      <c r="A86">
        <v>85</v>
      </c>
      <c r="E86">
        <v>90</v>
      </c>
      <c r="F86" s="1" t="s">
        <v>501</v>
      </c>
      <c r="H86">
        <v>1.5</v>
      </c>
      <c r="L86" t="s">
        <v>128</v>
      </c>
    </row>
    <row r="87" spans="1:12" ht="85" x14ac:dyDescent="0.2">
      <c r="A87">
        <v>86</v>
      </c>
      <c r="E87">
        <v>66</v>
      </c>
      <c r="F87" s="1" t="s">
        <v>507</v>
      </c>
      <c r="H87">
        <v>0.5</v>
      </c>
      <c r="L87" t="s">
        <v>128</v>
      </c>
    </row>
    <row r="88" spans="1:12" ht="119" x14ac:dyDescent="0.2">
      <c r="A88">
        <v>87</v>
      </c>
      <c r="B88">
        <v>30</v>
      </c>
      <c r="C88">
        <v>5</v>
      </c>
      <c r="E88">
        <v>35</v>
      </c>
      <c r="F88" s="1" t="s">
        <v>511</v>
      </c>
      <c r="L88" t="s">
        <v>123</v>
      </c>
    </row>
    <row r="89" spans="1:12" ht="68" x14ac:dyDescent="0.2">
      <c r="A89">
        <v>88</v>
      </c>
      <c r="B89">
        <v>80</v>
      </c>
      <c r="D89">
        <v>4</v>
      </c>
      <c r="E89">
        <v>80</v>
      </c>
      <c r="F89" s="1" t="s">
        <v>515</v>
      </c>
      <c r="L89" t="s">
        <v>123</v>
      </c>
    </row>
    <row r="90" spans="1:12" ht="34" x14ac:dyDescent="0.2">
      <c r="A90">
        <v>89</v>
      </c>
      <c r="B90">
        <v>0</v>
      </c>
      <c r="C90">
        <v>99999</v>
      </c>
      <c r="E90">
        <v>0</v>
      </c>
      <c r="F90" s="1" t="s">
        <v>520</v>
      </c>
      <c r="L90" t="s">
        <v>123</v>
      </c>
    </row>
    <row r="91" spans="1:12" ht="68" x14ac:dyDescent="0.2">
      <c r="A91">
        <v>90</v>
      </c>
      <c r="B91">
        <v>0</v>
      </c>
      <c r="C91">
        <v>5</v>
      </c>
      <c r="E91">
        <v>0</v>
      </c>
      <c r="F91" s="1" t="s">
        <v>524</v>
      </c>
      <c r="L91" t="s">
        <v>123</v>
      </c>
    </row>
    <row r="92" spans="1:12" ht="34" x14ac:dyDescent="0.2">
      <c r="A92">
        <v>91</v>
      </c>
      <c r="E92">
        <v>0</v>
      </c>
      <c r="F92" s="1" t="s">
        <v>528</v>
      </c>
      <c r="G92">
        <v>1</v>
      </c>
      <c r="L92" t="s">
        <v>117</v>
      </c>
    </row>
    <row r="93" spans="1:12" ht="51" x14ac:dyDescent="0.2">
      <c r="A93">
        <v>92</v>
      </c>
      <c r="B93">
        <v>15</v>
      </c>
      <c r="C93">
        <v>1.5</v>
      </c>
      <c r="E93">
        <v>40</v>
      </c>
      <c r="F93" s="1" t="s">
        <v>533</v>
      </c>
      <c r="L93" t="s">
        <v>123</v>
      </c>
    </row>
    <row r="94" spans="1:12" ht="102" x14ac:dyDescent="0.2">
      <c r="A94">
        <v>93</v>
      </c>
      <c r="E94">
        <v>70</v>
      </c>
      <c r="F94" s="1" t="s">
        <v>542</v>
      </c>
      <c r="H94">
        <v>1</v>
      </c>
      <c r="L94" t="s">
        <v>128</v>
      </c>
    </row>
    <row r="95" spans="1:12" ht="34" x14ac:dyDescent="0.2">
      <c r="A95">
        <v>94</v>
      </c>
      <c r="E95">
        <v>81</v>
      </c>
      <c r="F95" s="1" t="s">
        <v>546</v>
      </c>
      <c r="H95">
        <v>2</v>
      </c>
      <c r="L95" t="s">
        <v>128</v>
      </c>
    </row>
    <row r="96" spans="1:12" ht="85" x14ac:dyDescent="0.2">
      <c r="A96">
        <v>95</v>
      </c>
      <c r="B96">
        <v>0</v>
      </c>
      <c r="C96">
        <v>4</v>
      </c>
      <c r="E96">
        <v>0</v>
      </c>
      <c r="F96" s="1" t="s">
        <v>551</v>
      </c>
      <c r="L96" t="s">
        <v>123</v>
      </c>
    </row>
    <row r="97" spans="1:12" ht="17" x14ac:dyDescent="0.2">
      <c r="A97">
        <v>96</v>
      </c>
      <c r="E97">
        <v>70</v>
      </c>
      <c r="F97" s="1" t="s">
        <v>555</v>
      </c>
      <c r="H97">
        <v>0.5</v>
      </c>
      <c r="L97" t="s">
        <v>128</v>
      </c>
    </row>
    <row r="98" spans="1:12" ht="238" x14ac:dyDescent="0.2">
      <c r="A98">
        <v>97</v>
      </c>
      <c r="E98">
        <v>10</v>
      </c>
      <c r="F98" s="1" t="s">
        <v>560</v>
      </c>
      <c r="K98">
        <v>1.5</v>
      </c>
      <c r="L98" t="s">
        <v>135</v>
      </c>
    </row>
    <row r="99" spans="1:12" ht="34" x14ac:dyDescent="0.2">
      <c r="A99">
        <v>98</v>
      </c>
      <c r="E99">
        <v>18</v>
      </c>
      <c r="F99" s="1" t="s">
        <v>565</v>
      </c>
      <c r="G99">
        <v>1</v>
      </c>
      <c r="L99" t="s">
        <v>117</v>
      </c>
    </row>
    <row r="100" spans="1:12" ht="51" x14ac:dyDescent="0.2">
      <c r="A100">
        <v>99</v>
      </c>
      <c r="E100">
        <v>35</v>
      </c>
      <c r="F100" s="1" t="s">
        <v>569</v>
      </c>
      <c r="I100">
        <v>1.5</v>
      </c>
      <c r="L100" t="s">
        <v>128</v>
      </c>
    </row>
    <row r="101" spans="1:12" ht="68" x14ac:dyDescent="0.2">
      <c r="A101">
        <v>100</v>
      </c>
      <c r="E101">
        <v>86</v>
      </c>
      <c r="F101" s="1" t="s">
        <v>573</v>
      </c>
      <c r="J101">
        <v>1</v>
      </c>
      <c r="L101" t="s">
        <v>135</v>
      </c>
    </row>
    <row r="102" spans="1:12" ht="51" x14ac:dyDescent="0.2">
      <c r="A102">
        <v>101</v>
      </c>
      <c r="E102">
        <v>55</v>
      </c>
      <c r="F102" s="1" t="s">
        <v>580</v>
      </c>
      <c r="J102">
        <v>1.5</v>
      </c>
      <c r="L102" t="s">
        <v>135</v>
      </c>
    </row>
    <row r="103" spans="1:12" ht="255" x14ac:dyDescent="0.2">
      <c r="A103">
        <v>102</v>
      </c>
      <c r="E103">
        <v>78</v>
      </c>
      <c r="F103" s="1" t="s">
        <v>584</v>
      </c>
      <c r="G103">
        <v>0.3</v>
      </c>
      <c r="L103" t="s">
        <v>117</v>
      </c>
    </row>
    <row r="104" spans="1:12" ht="68" x14ac:dyDescent="0.2">
      <c r="A104">
        <v>103</v>
      </c>
      <c r="E104">
        <v>69</v>
      </c>
      <c r="F104" s="1" t="s">
        <v>589</v>
      </c>
      <c r="G104">
        <v>2</v>
      </c>
      <c r="L104" t="s">
        <v>117</v>
      </c>
    </row>
    <row r="105" spans="1:12" ht="34" x14ac:dyDescent="0.2">
      <c r="A105">
        <v>104</v>
      </c>
      <c r="B105">
        <v>55</v>
      </c>
      <c r="D105">
        <v>0.2</v>
      </c>
      <c r="E105">
        <v>0</v>
      </c>
      <c r="F105" s="1" t="s">
        <v>594</v>
      </c>
      <c r="L105" t="s">
        <v>123</v>
      </c>
    </row>
    <row r="106" spans="1:12" ht="34" x14ac:dyDescent="0.2">
      <c r="A106">
        <v>105</v>
      </c>
      <c r="B106">
        <v>20</v>
      </c>
      <c r="C106">
        <v>7</v>
      </c>
      <c r="E106">
        <v>8</v>
      </c>
      <c r="F106" s="1" t="s">
        <v>598</v>
      </c>
      <c r="L106" t="s">
        <v>123</v>
      </c>
    </row>
    <row r="107" spans="1:12" ht="34" x14ac:dyDescent="0.2">
      <c r="A107">
        <v>106</v>
      </c>
      <c r="E107">
        <v>55</v>
      </c>
      <c r="F107" s="1" t="s">
        <v>602</v>
      </c>
      <c r="J107">
        <v>1</v>
      </c>
      <c r="L107" t="s">
        <v>135</v>
      </c>
    </row>
    <row r="108" spans="1:12" ht="68" x14ac:dyDescent="0.2">
      <c r="A108">
        <v>107</v>
      </c>
      <c r="E108">
        <v>10</v>
      </c>
      <c r="F108" s="1" t="s">
        <v>606</v>
      </c>
      <c r="G108">
        <v>2</v>
      </c>
      <c r="L108" t="s">
        <v>117</v>
      </c>
    </row>
    <row r="109" spans="1:12" ht="34" x14ac:dyDescent="0.2">
      <c r="A109">
        <v>108</v>
      </c>
      <c r="E109">
        <v>0</v>
      </c>
      <c r="F109" s="1" t="s">
        <v>610</v>
      </c>
      <c r="K109" t="s">
        <v>611</v>
      </c>
      <c r="L109" t="s">
        <v>135</v>
      </c>
    </row>
    <row r="110" spans="1:12" ht="51" x14ac:dyDescent="0.2">
      <c r="A110">
        <v>109</v>
      </c>
      <c r="E110">
        <v>20</v>
      </c>
      <c r="F110" s="1" t="s">
        <v>616</v>
      </c>
      <c r="K110">
        <v>2</v>
      </c>
      <c r="L110" t="s">
        <v>135</v>
      </c>
    </row>
    <row r="111" spans="1:12" ht="68" x14ac:dyDescent="0.2">
      <c r="A111">
        <v>110</v>
      </c>
      <c r="B111">
        <v>64</v>
      </c>
      <c r="D111">
        <v>0.5</v>
      </c>
      <c r="E111">
        <v>58</v>
      </c>
      <c r="F111" s="1" t="s">
        <v>620</v>
      </c>
      <c r="L111" t="s">
        <v>123</v>
      </c>
    </row>
    <row r="112" spans="1:12" ht="68" x14ac:dyDescent="0.2">
      <c r="A112">
        <v>111</v>
      </c>
      <c r="E112">
        <v>10</v>
      </c>
      <c r="F112" s="1" t="s">
        <v>624</v>
      </c>
      <c r="K112">
        <v>4</v>
      </c>
      <c r="L112" t="s">
        <v>135</v>
      </c>
    </row>
    <row r="113" spans="1:12" ht="51" x14ac:dyDescent="0.2">
      <c r="A113">
        <v>112</v>
      </c>
      <c r="E113">
        <v>76</v>
      </c>
      <c r="F113" s="1" t="s">
        <v>629</v>
      </c>
      <c r="H113">
        <v>5</v>
      </c>
      <c r="L113" t="s">
        <v>128</v>
      </c>
    </row>
    <row r="114" spans="1:12" ht="85" x14ac:dyDescent="0.2">
      <c r="A114">
        <v>113</v>
      </c>
      <c r="E114">
        <v>42</v>
      </c>
      <c r="F114" s="1" t="s">
        <v>633</v>
      </c>
      <c r="I114">
        <v>5</v>
      </c>
      <c r="L114" t="s">
        <v>128</v>
      </c>
    </row>
    <row r="115" spans="1:12" ht="34" x14ac:dyDescent="0.2">
      <c r="A115">
        <v>114</v>
      </c>
      <c r="E115">
        <v>0</v>
      </c>
      <c r="F115" s="1" t="s">
        <v>638</v>
      </c>
      <c r="G115">
        <v>3</v>
      </c>
      <c r="L115" t="s">
        <v>117</v>
      </c>
    </row>
    <row r="116" spans="1:12" ht="68" x14ac:dyDescent="0.2">
      <c r="A116">
        <v>115</v>
      </c>
      <c r="E116">
        <v>50</v>
      </c>
      <c r="F116" s="1" t="s">
        <v>642</v>
      </c>
      <c r="H116">
        <v>0</v>
      </c>
      <c r="L116" t="s">
        <v>128</v>
      </c>
    </row>
    <row r="117" spans="1:12" ht="51" x14ac:dyDescent="0.2">
      <c r="A117">
        <v>116</v>
      </c>
      <c r="E117">
        <v>84</v>
      </c>
      <c r="F117" s="1" t="s">
        <v>647</v>
      </c>
      <c r="H117">
        <v>0.5</v>
      </c>
      <c r="L117" t="s">
        <v>128</v>
      </c>
    </row>
    <row r="118" spans="1:12" ht="153" x14ac:dyDescent="0.2">
      <c r="A118">
        <v>117</v>
      </c>
      <c r="E118">
        <v>10</v>
      </c>
      <c r="F118" s="1" t="s">
        <v>651</v>
      </c>
      <c r="K118">
        <v>3</v>
      </c>
      <c r="L118" t="s">
        <v>135</v>
      </c>
    </row>
    <row r="119" spans="1:12" ht="51" x14ac:dyDescent="0.2">
      <c r="A119">
        <v>118</v>
      </c>
      <c r="E119">
        <v>73</v>
      </c>
      <c r="F119" s="1" t="s">
        <v>656</v>
      </c>
      <c r="H119">
        <v>2</v>
      </c>
      <c r="L119" t="s">
        <v>128</v>
      </c>
    </row>
    <row r="120" spans="1:12" ht="68" x14ac:dyDescent="0.2">
      <c r="A120">
        <v>119</v>
      </c>
      <c r="B120">
        <v>65</v>
      </c>
      <c r="D120">
        <v>0.02</v>
      </c>
      <c r="E120">
        <v>75</v>
      </c>
      <c r="F120" s="1" t="s">
        <v>660</v>
      </c>
      <c r="L120" t="s">
        <v>123</v>
      </c>
    </row>
    <row r="121" spans="1:12" ht="17" x14ac:dyDescent="0.2">
      <c r="A121">
        <v>120</v>
      </c>
      <c r="E121">
        <v>60</v>
      </c>
      <c r="F121" s="1" t="s">
        <v>664</v>
      </c>
      <c r="J121">
        <v>2</v>
      </c>
      <c r="L121" t="s">
        <v>135</v>
      </c>
    </row>
    <row r="122" spans="1:12" ht="51" x14ac:dyDescent="0.2">
      <c r="A122">
        <v>121</v>
      </c>
      <c r="E122">
        <v>40</v>
      </c>
      <c r="F122" s="1" t="s">
        <v>668</v>
      </c>
      <c r="I122">
        <v>0.5</v>
      </c>
      <c r="L122" t="s">
        <v>128</v>
      </c>
    </row>
    <row r="123" spans="1:12" ht="85" x14ac:dyDescent="0.2">
      <c r="A123">
        <v>122</v>
      </c>
      <c r="E123">
        <v>18</v>
      </c>
      <c r="F123" s="1" t="s">
        <v>672</v>
      </c>
      <c r="K123">
        <v>2</v>
      </c>
      <c r="L123" t="s">
        <v>135</v>
      </c>
    </row>
    <row r="124" spans="1:12" ht="34" x14ac:dyDescent="0.2">
      <c r="A124">
        <v>123</v>
      </c>
      <c r="E124">
        <v>0</v>
      </c>
      <c r="F124" s="1" t="s">
        <v>676</v>
      </c>
      <c r="K124">
        <v>2</v>
      </c>
      <c r="L124" t="s">
        <v>135</v>
      </c>
    </row>
    <row r="125" spans="1:12" ht="34" x14ac:dyDescent="0.2">
      <c r="A125">
        <v>124</v>
      </c>
      <c r="E125">
        <v>22</v>
      </c>
      <c r="F125" s="1" t="s">
        <v>681</v>
      </c>
      <c r="K125">
        <v>2.5</v>
      </c>
      <c r="L125" t="s">
        <v>135</v>
      </c>
    </row>
    <row r="126" spans="1:12" ht="34" x14ac:dyDescent="0.2">
      <c r="A126">
        <v>125</v>
      </c>
      <c r="E126">
        <v>75</v>
      </c>
      <c r="F126" s="1" t="s">
        <v>685</v>
      </c>
      <c r="G126">
        <v>2.5</v>
      </c>
      <c r="L126" t="s">
        <v>117</v>
      </c>
    </row>
    <row r="127" spans="1:12" ht="17" x14ac:dyDescent="0.2">
      <c r="A127">
        <v>126</v>
      </c>
      <c r="B127">
        <v>27</v>
      </c>
      <c r="C127">
        <v>5</v>
      </c>
      <c r="E127">
        <v>50</v>
      </c>
      <c r="F127" s="1" t="s">
        <v>689</v>
      </c>
      <c r="L127" t="s">
        <v>123</v>
      </c>
    </row>
    <row r="128" spans="1:12" ht="51" x14ac:dyDescent="0.2">
      <c r="A128">
        <v>127</v>
      </c>
      <c r="E128">
        <v>37</v>
      </c>
      <c r="F128" s="1" t="s">
        <v>693</v>
      </c>
      <c r="G128">
        <v>0.15</v>
      </c>
      <c r="L128" t="s">
        <v>117</v>
      </c>
    </row>
    <row r="129" spans="1:12" ht="68" x14ac:dyDescent="0.2">
      <c r="A129">
        <v>128</v>
      </c>
      <c r="E129">
        <v>10</v>
      </c>
      <c r="F129" s="1" t="s">
        <v>697</v>
      </c>
      <c r="I129">
        <v>3</v>
      </c>
      <c r="L129" t="s">
        <v>128</v>
      </c>
    </row>
    <row r="130" spans="1:12" ht="119" x14ac:dyDescent="0.2">
      <c r="A130">
        <v>129</v>
      </c>
      <c r="E130">
        <v>9</v>
      </c>
      <c r="F130" s="1" t="s">
        <v>701</v>
      </c>
      <c r="G130">
        <v>0.02</v>
      </c>
      <c r="L130" t="s">
        <v>117</v>
      </c>
    </row>
    <row r="131" spans="1:12" ht="119" x14ac:dyDescent="0.2">
      <c r="A131">
        <v>130</v>
      </c>
      <c r="B131">
        <v>80</v>
      </c>
      <c r="D131">
        <v>2</v>
      </c>
      <c r="E131">
        <v>91</v>
      </c>
      <c r="F131" s="1" t="s">
        <v>707</v>
      </c>
      <c r="L131" t="s">
        <v>123</v>
      </c>
    </row>
    <row r="132" spans="1:12" ht="102" x14ac:dyDescent="0.2">
      <c r="A132">
        <v>131</v>
      </c>
      <c r="B132">
        <v>10</v>
      </c>
      <c r="C132">
        <v>2</v>
      </c>
      <c r="E132">
        <v>10</v>
      </c>
      <c r="F132" s="1" t="s">
        <v>711</v>
      </c>
      <c r="L132" t="s">
        <v>123</v>
      </c>
    </row>
    <row r="133" spans="1:12" ht="34" x14ac:dyDescent="0.2">
      <c r="A133">
        <v>132</v>
      </c>
      <c r="E133">
        <v>50</v>
      </c>
      <c r="F133" s="1" t="s">
        <v>715</v>
      </c>
      <c r="J133">
        <v>2</v>
      </c>
      <c r="L133" t="s">
        <v>135</v>
      </c>
    </row>
    <row r="134" spans="1:12" ht="68" x14ac:dyDescent="0.2">
      <c r="A134">
        <v>133</v>
      </c>
      <c r="E134">
        <v>100</v>
      </c>
      <c r="F134" s="1" t="s">
        <v>720</v>
      </c>
      <c r="H134">
        <v>1.5</v>
      </c>
      <c r="L134" t="s">
        <v>128</v>
      </c>
    </row>
    <row r="135" spans="1:12" ht="51" x14ac:dyDescent="0.2">
      <c r="A135">
        <v>134</v>
      </c>
      <c r="E135">
        <v>12</v>
      </c>
      <c r="F135" s="1" t="s">
        <v>724</v>
      </c>
      <c r="K135">
        <v>2.5</v>
      </c>
      <c r="L135" t="s">
        <v>135</v>
      </c>
    </row>
    <row r="136" spans="1:12" ht="51" x14ac:dyDescent="0.2">
      <c r="A136">
        <v>135</v>
      </c>
      <c r="E136">
        <v>78</v>
      </c>
      <c r="F136" s="1" t="s">
        <v>728</v>
      </c>
      <c r="H136">
        <v>0.3</v>
      </c>
      <c r="L136" t="s">
        <v>128</v>
      </c>
    </row>
    <row r="137" spans="1:12" ht="34" x14ac:dyDescent="0.2">
      <c r="A137">
        <v>136</v>
      </c>
      <c r="E137">
        <v>71</v>
      </c>
      <c r="F137" s="1" t="s">
        <v>733</v>
      </c>
      <c r="H137">
        <v>1</v>
      </c>
      <c r="L137" t="s">
        <v>128</v>
      </c>
    </row>
    <row r="138" spans="1:12" ht="51" x14ac:dyDescent="0.2">
      <c r="A138">
        <v>137</v>
      </c>
      <c r="E138">
        <v>71</v>
      </c>
      <c r="F138" s="1" t="s">
        <v>737</v>
      </c>
      <c r="G138">
        <v>1.5</v>
      </c>
      <c r="L138" t="s">
        <v>117</v>
      </c>
    </row>
    <row r="139" spans="1:12" ht="51" x14ac:dyDescent="0.2">
      <c r="A139">
        <v>138</v>
      </c>
      <c r="E139">
        <v>71</v>
      </c>
      <c r="F139" s="1" t="s">
        <v>741</v>
      </c>
      <c r="G139">
        <v>0.7</v>
      </c>
      <c r="L139" t="s">
        <v>117</v>
      </c>
    </row>
    <row r="140" spans="1:12" ht="17" x14ac:dyDescent="0.2">
      <c r="A140">
        <v>139</v>
      </c>
      <c r="E140">
        <v>17</v>
      </c>
      <c r="F140" s="1" t="s">
        <v>745</v>
      </c>
      <c r="I140">
        <v>4</v>
      </c>
      <c r="L140" t="s">
        <v>128</v>
      </c>
    </row>
    <row r="141" spans="1:12" ht="255" x14ac:dyDescent="0.2">
      <c r="A141">
        <v>140</v>
      </c>
      <c r="E141">
        <v>0</v>
      </c>
      <c r="F141" s="1" t="s">
        <v>749</v>
      </c>
      <c r="K141">
        <v>2</v>
      </c>
      <c r="L141" t="s">
        <v>135</v>
      </c>
    </row>
    <row r="142" spans="1:12" ht="119" x14ac:dyDescent="0.2">
      <c r="A142">
        <v>141</v>
      </c>
      <c r="B142">
        <v>61</v>
      </c>
      <c r="D142">
        <v>2</v>
      </c>
      <c r="E142">
        <v>70</v>
      </c>
      <c r="F142" s="1" t="s">
        <v>753</v>
      </c>
      <c r="L142" t="s">
        <v>123</v>
      </c>
    </row>
    <row r="143" spans="1:12" ht="102" x14ac:dyDescent="0.2">
      <c r="A143">
        <v>142</v>
      </c>
      <c r="E143">
        <v>62</v>
      </c>
      <c r="F143" s="1" t="s">
        <v>758</v>
      </c>
      <c r="H143">
        <v>1</v>
      </c>
      <c r="L143" t="s">
        <v>128</v>
      </c>
    </row>
    <row r="144" spans="1:12" ht="153" x14ac:dyDescent="0.2">
      <c r="A144">
        <v>143</v>
      </c>
      <c r="E144">
        <v>20</v>
      </c>
      <c r="F144" s="1" t="s">
        <v>764</v>
      </c>
      <c r="I144">
        <v>4</v>
      </c>
      <c r="L144" t="s">
        <v>128</v>
      </c>
    </row>
    <row r="145" spans="1:12" ht="51" x14ac:dyDescent="0.2">
      <c r="A145">
        <v>144</v>
      </c>
      <c r="B145">
        <v>55</v>
      </c>
      <c r="D145" t="s">
        <v>768</v>
      </c>
      <c r="E145">
        <v>8</v>
      </c>
      <c r="F145" s="1" t="s">
        <v>769</v>
      </c>
      <c r="L145" t="s">
        <v>123</v>
      </c>
    </row>
    <row r="146" spans="1:12" ht="85" x14ac:dyDescent="0.2">
      <c r="A146">
        <v>145</v>
      </c>
      <c r="E146">
        <v>60</v>
      </c>
      <c r="F146" s="1" t="s">
        <v>773</v>
      </c>
      <c r="H146">
        <v>1</v>
      </c>
      <c r="L146" t="s">
        <v>128</v>
      </c>
    </row>
    <row r="147" spans="1:12" ht="51" x14ac:dyDescent="0.2">
      <c r="A147">
        <v>146</v>
      </c>
      <c r="B147">
        <v>0</v>
      </c>
      <c r="C147">
        <v>2</v>
      </c>
      <c r="E147">
        <v>0</v>
      </c>
      <c r="F147" s="1" t="s">
        <v>778</v>
      </c>
      <c r="L147" t="s">
        <v>123</v>
      </c>
    </row>
    <row r="148" spans="1:12" ht="153" x14ac:dyDescent="0.2">
      <c r="A148">
        <v>147</v>
      </c>
      <c r="E148">
        <v>75</v>
      </c>
      <c r="F148" s="1" t="s">
        <v>782</v>
      </c>
      <c r="J148">
        <v>0.5</v>
      </c>
      <c r="L148" t="s">
        <v>135</v>
      </c>
    </row>
    <row r="149" spans="1:12" ht="68" x14ac:dyDescent="0.2">
      <c r="A149">
        <v>148</v>
      </c>
      <c r="B149">
        <v>56</v>
      </c>
      <c r="D149">
        <v>3</v>
      </c>
      <c r="E149">
        <v>82</v>
      </c>
      <c r="F149" s="1" t="s">
        <v>786</v>
      </c>
      <c r="L149" t="s">
        <v>123</v>
      </c>
    </row>
    <row r="150" spans="1:12" ht="68" x14ac:dyDescent="0.2">
      <c r="A150">
        <v>149</v>
      </c>
      <c r="B150">
        <v>25</v>
      </c>
      <c r="C150">
        <v>2</v>
      </c>
      <c r="E150">
        <v>10</v>
      </c>
      <c r="F150" s="1" t="s">
        <v>790</v>
      </c>
      <c r="L150" t="s">
        <v>123</v>
      </c>
    </row>
    <row r="151" spans="1:12" ht="68" x14ac:dyDescent="0.2">
      <c r="A151">
        <v>150</v>
      </c>
      <c r="E151">
        <v>10</v>
      </c>
      <c r="F151" s="1" t="s">
        <v>795</v>
      </c>
      <c r="K151">
        <v>2</v>
      </c>
      <c r="L151" t="s">
        <v>135</v>
      </c>
    </row>
    <row r="152" spans="1:12" ht="85" x14ac:dyDescent="0.2">
      <c r="A152">
        <v>151</v>
      </c>
      <c r="E152">
        <v>60</v>
      </c>
      <c r="F152" s="1" t="s">
        <v>801</v>
      </c>
      <c r="J152">
        <v>0.02</v>
      </c>
      <c r="L152" t="s">
        <v>135</v>
      </c>
    </row>
    <row r="153" spans="1:12" ht="34" x14ac:dyDescent="0.2">
      <c r="A153">
        <v>152</v>
      </c>
      <c r="E153">
        <v>45</v>
      </c>
      <c r="F153" s="1" t="s">
        <v>805</v>
      </c>
      <c r="K153">
        <v>2</v>
      </c>
      <c r="L153" t="s">
        <v>135</v>
      </c>
    </row>
    <row r="154" spans="1:12" ht="34" x14ac:dyDescent="0.2">
      <c r="A154">
        <v>153</v>
      </c>
      <c r="E154">
        <v>16</v>
      </c>
      <c r="F154" s="1" t="s">
        <v>809</v>
      </c>
      <c r="K154">
        <v>2</v>
      </c>
      <c r="L154" t="s">
        <v>135</v>
      </c>
    </row>
    <row r="155" spans="1:12" ht="85" x14ac:dyDescent="0.2">
      <c r="A155">
        <v>154</v>
      </c>
      <c r="E155">
        <v>75</v>
      </c>
      <c r="F155" s="1" t="s">
        <v>813</v>
      </c>
      <c r="G155">
        <v>3</v>
      </c>
      <c r="L155" t="s">
        <v>117</v>
      </c>
    </row>
    <row r="156" spans="1:12" ht="85" x14ac:dyDescent="0.2">
      <c r="A156">
        <v>155</v>
      </c>
      <c r="E156">
        <v>39</v>
      </c>
      <c r="F156" s="1" t="s">
        <v>817</v>
      </c>
      <c r="G156">
        <v>2</v>
      </c>
      <c r="L156" t="s">
        <v>117</v>
      </c>
    </row>
    <row r="157" spans="1:12" ht="102" x14ac:dyDescent="0.2">
      <c r="A157">
        <v>156</v>
      </c>
      <c r="E157">
        <v>0</v>
      </c>
      <c r="F157" s="1" t="s">
        <v>822</v>
      </c>
      <c r="I157">
        <v>3</v>
      </c>
      <c r="L157" t="s">
        <v>128</v>
      </c>
    </row>
    <row r="158" spans="1:12" ht="204" x14ac:dyDescent="0.2">
      <c r="A158">
        <v>157</v>
      </c>
      <c r="E158">
        <v>27</v>
      </c>
      <c r="F158" s="1" t="s">
        <v>827</v>
      </c>
      <c r="G158">
        <v>1</v>
      </c>
      <c r="L158" t="s">
        <v>117</v>
      </c>
    </row>
    <row r="159" spans="1:12" ht="85" x14ac:dyDescent="0.2">
      <c r="A159">
        <v>158</v>
      </c>
      <c r="E159">
        <v>60</v>
      </c>
      <c r="F159" s="1" t="s">
        <v>835</v>
      </c>
      <c r="G159">
        <v>2</v>
      </c>
      <c r="L159" t="s">
        <v>117</v>
      </c>
    </row>
    <row r="160" spans="1:12" ht="51" x14ac:dyDescent="0.2">
      <c r="A160">
        <v>159</v>
      </c>
      <c r="E160">
        <v>40</v>
      </c>
      <c r="F160" s="1" t="s">
        <v>839</v>
      </c>
      <c r="K160">
        <v>3</v>
      </c>
      <c r="L160" t="s">
        <v>135</v>
      </c>
    </row>
    <row r="161" spans="1:12" ht="85" x14ac:dyDescent="0.2">
      <c r="A161">
        <v>160</v>
      </c>
      <c r="E161">
        <v>100</v>
      </c>
      <c r="F161" s="1" t="s">
        <v>844</v>
      </c>
      <c r="H161">
        <v>0.9</v>
      </c>
      <c r="L161" t="s">
        <v>128</v>
      </c>
    </row>
    <row r="162" spans="1:12" ht="68" x14ac:dyDescent="0.2">
      <c r="A162">
        <v>161</v>
      </c>
      <c r="B162">
        <v>11</v>
      </c>
      <c r="C162">
        <v>2</v>
      </c>
      <c r="E162">
        <v>1</v>
      </c>
      <c r="F162" s="1" t="s">
        <v>849</v>
      </c>
      <c r="L162" t="s">
        <v>123</v>
      </c>
    </row>
    <row r="163" spans="1:12" ht="34" x14ac:dyDescent="0.2">
      <c r="A163">
        <v>162</v>
      </c>
      <c r="B163">
        <v>100</v>
      </c>
      <c r="D163">
        <v>0.5</v>
      </c>
      <c r="E163">
        <v>100</v>
      </c>
      <c r="F163" s="1" t="s">
        <v>853</v>
      </c>
      <c r="L163" t="s">
        <v>123</v>
      </c>
    </row>
    <row r="164" spans="1:12" ht="17" x14ac:dyDescent="0.2">
      <c r="A164">
        <v>163</v>
      </c>
      <c r="B164">
        <v>2</v>
      </c>
      <c r="C164">
        <v>3</v>
      </c>
      <c r="E164">
        <v>0</v>
      </c>
      <c r="F164" s="1" t="s">
        <v>858</v>
      </c>
      <c r="L164" t="s">
        <v>123</v>
      </c>
    </row>
    <row r="165" spans="1:12" ht="68" x14ac:dyDescent="0.2">
      <c r="A165">
        <v>164</v>
      </c>
      <c r="E165">
        <v>9</v>
      </c>
      <c r="F165" s="1" t="s">
        <v>862</v>
      </c>
      <c r="K165">
        <v>1</v>
      </c>
      <c r="L165" t="s">
        <v>135</v>
      </c>
    </row>
    <row r="166" spans="1:12" ht="34" x14ac:dyDescent="0.2">
      <c r="A166">
        <v>165</v>
      </c>
      <c r="E166">
        <v>100</v>
      </c>
      <c r="F166" s="1" t="s">
        <v>866</v>
      </c>
      <c r="G166">
        <v>5</v>
      </c>
      <c r="L166" t="s">
        <v>117</v>
      </c>
    </row>
    <row r="167" spans="1:12" ht="68" x14ac:dyDescent="0.2">
      <c r="A167">
        <v>166</v>
      </c>
      <c r="E167">
        <v>20</v>
      </c>
      <c r="F167" s="1" t="s">
        <v>870</v>
      </c>
      <c r="I167">
        <v>100</v>
      </c>
      <c r="L167" t="s">
        <v>128</v>
      </c>
    </row>
    <row r="168" spans="1:12" ht="85" x14ac:dyDescent="0.2">
      <c r="A168">
        <v>167</v>
      </c>
      <c r="E168">
        <v>34</v>
      </c>
      <c r="F168" s="1" t="s">
        <v>874</v>
      </c>
      <c r="I168">
        <v>3</v>
      </c>
      <c r="L168" t="s">
        <v>128</v>
      </c>
    </row>
    <row r="169" spans="1:12" ht="34" x14ac:dyDescent="0.2">
      <c r="A169">
        <v>168</v>
      </c>
      <c r="B169">
        <v>60</v>
      </c>
      <c r="D169">
        <v>3</v>
      </c>
      <c r="E169">
        <v>29</v>
      </c>
      <c r="F169" s="1" t="s">
        <v>878</v>
      </c>
      <c r="L169" t="s">
        <v>123</v>
      </c>
    </row>
    <row r="170" spans="1:12" ht="85" x14ac:dyDescent="0.2">
      <c r="A170">
        <v>169</v>
      </c>
      <c r="E170">
        <v>45</v>
      </c>
      <c r="F170" s="1" t="s">
        <v>882</v>
      </c>
      <c r="K170">
        <v>1</v>
      </c>
      <c r="L170" t="s">
        <v>135</v>
      </c>
    </row>
    <row r="171" spans="1:12" ht="102" x14ac:dyDescent="0.2">
      <c r="A171">
        <v>170</v>
      </c>
      <c r="E171">
        <v>29</v>
      </c>
      <c r="F171" s="1" t="s">
        <v>886</v>
      </c>
      <c r="G171">
        <v>3</v>
      </c>
      <c r="L171" t="s">
        <v>117</v>
      </c>
    </row>
    <row r="172" spans="1:12" ht="153" x14ac:dyDescent="0.2">
      <c r="A172">
        <v>171</v>
      </c>
      <c r="B172">
        <v>55</v>
      </c>
      <c r="D172">
        <v>0.1</v>
      </c>
      <c r="E172">
        <v>50</v>
      </c>
      <c r="F172" s="1" t="s">
        <v>890</v>
      </c>
      <c r="L172" t="s">
        <v>123</v>
      </c>
    </row>
    <row r="173" spans="1:12" ht="51" x14ac:dyDescent="0.2">
      <c r="A173">
        <v>172</v>
      </c>
      <c r="E173">
        <v>0</v>
      </c>
      <c r="F173" s="1" t="s">
        <v>895</v>
      </c>
      <c r="K173">
        <v>2</v>
      </c>
      <c r="L173" t="s">
        <v>135</v>
      </c>
    </row>
    <row r="174" spans="1:12" ht="85" x14ac:dyDescent="0.2">
      <c r="A174">
        <v>173</v>
      </c>
      <c r="E174">
        <v>50</v>
      </c>
      <c r="F174" s="1" t="s">
        <v>899</v>
      </c>
      <c r="G174">
        <v>0.5</v>
      </c>
      <c r="L174" t="s">
        <v>117</v>
      </c>
    </row>
    <row r="175" spans="1:12" ht="51" x14ac:dyDescent="0.2">
      <c r="A175">
        <v>174</v>
      </c>
      <c r="E175">
        <v>61</v>
      </c>
      <c r="F175" s="1" t="s">
        <v>904</v>
      </c>
      <c r="G175">
        <v>2</v>
      </c>
      <c r="L175" t="s">
        <v>117</v>
      </c>
    </row>
    <row r="176" spans="1:12" ht="409.6" x14ac:dyDescent="0.2">
      <c r="A176">
        <v>175</v>
      </c>
      <c r="E176">
        <v>0</v>
      </c>
      <c r="F176" s="1" t="s">
        <v>908</v>
      </c>
      <c r="K176">
        <v>3</v>
      </c>
      <c r="L176" t="s">
        <v>135</v>
      </c>
    </row>
    <row r="177" spans="1:12" ht="85" x14ac:dyDescent="0.2">
      <c r="A177">
        <v>176</v>
      </c>
      <c r="E177">
        <v>65</v>
      </c>
      <c r="F177" s="1" t="s">
        <v>913</v>
      </c>
      <c r="G177">
        <v>5</v>
      </c>
      <c r="L177" t="s">
        <v>117</v>
      </c>
    </row>
    <row r="178" spans="1:12" ht="51" x14ac:dyDescent="0.2">
      <c r="A178">
        <v>177</v>
      </c>
      <c r="E178">
        <v>100</v>
      </c>
      <c r="F178" s="1" t="s">
        <v>917</v>
      </c>
      <c r="H178">
        <v>1</v>
      </c>
      <c r="L178" t="s">
        <v>128</v>
      </c>
    </row>
    <row r="179" spans="1:12" ht="51" x14ac:dyDescent="0.2">
      <c r="A179">
        <v>178</v>
      </c>
      <c r="E179">
        <v>70</v>
      </c>
      <c r="F179" s="1" t="s">
        <v>923</v>
      </c>
      <c r="G179">
        <v>1</v>
      </c>
      <c r="L179" t="s">
        <v>117</v>
      </c>
    </row>
    <row r="180" spans="1:12" ht="68" x14ac:dyDescent="0.2">
      <c r="A180">
        <v>179</v>
      </c>
      <c r="E180">
        <v>30</v>
      </c>
      <c r="F180" s="1" t="s">
        <v>927</v>
      </c>
      <c r="G180">
        <v>1</v>
      </c>
      <c r="L180" t="s">
        <v>117</v>
      </c>
    </row>
    <row r="181" spans="1:12" ht="68" x14ac:dyDescent="0.2">
      <c r="A181">
        <v>180</v>
      </c>
      <c r="B181">
        <v>0</v>
      </c>
      <c r="C181">
        <v>1000</v>
      </c>
      <c r="E181">
        <v>0</v>
      </c>
      <c r="F181" s="1" t="s">
        <v>931</v>
      </c>
      <c r="L181" t="s">
        <v>123</v>
      </c>
    </row>
    <row r="182" spans="1:12" ht="34" x14ac:dyDescent="0.2">
      <c r="A182">
        <v>181</v>
      </c>
      <c r="E182">
        <v>71</v>
      </c>
      <c r="F182" s="1" t="s">
        <v>937</v>
      </c>
      <c r="J182">
        <v>5</v>
      </c>
      <c r="L182" t="s">
        <v>135</v>
      </c>
    </row>
    <row r="183" spans="1:12" ht="68" x14ac:dyDescent="0.2">
      <c r="A183">
        <v>182</v>
      </c>
      <c r="E183">
        <v>0</v>
      </c>
      <c r="F183" s="1" t="s">
        <v>941</v>
      </c>
      <c r="K183">
        <v>5</v>
      </c>
      <c r="L183" t="s">
        <v>135</v>
      </c>
    </row>
    <row r="184" spans="1:12" ht="34" x14ac:dyDescent="0.2">
      <c r="A184">
        <v>183</v>
      </c>
      <c r="E184">
        <v>1</v>
      </c>
      <c r="F184" s="1" t="s">
        <v>945</v>
      </c>
      <c r="G184">
        <v>9</v>
      </c>
      <c r="L184" t="s">
        <v>117</v>
      </c>
    </row>
    <row r="185" spans="1:12" ht="34" x14ac:dyDescent="0.2">
      <c r="A185">
        <v>184</v>
      </c>
      <c r="E185">
        <v>72</v>
      </c>
      <c r="F185" s="1" t="s">
        <v>949</v>
      </c>
      <c r="J185">
        <v>0.05</v>
      </c>
      <c r="L185" t="s">
        <v>135</v>
      </c>
    </row>
    <row r="186" spans="1:12" ht="34" x14ac:dyDescent="0.2">
      <c r="A186">
        <v>185</v>
      </c>
      <c r="E186">
        <v>5</v>
      </c>
      <c r="F186" s="1" t="s">
        <v>954</v>
      </c>
      <c r="K186">
        <v>2</v>
      </c>
      <c r="L186" t="s">
        <v>135</v>
      </c>
    </row>
    <row r="187" spans="1:12" ht="34" x14ac:dyDescent="0.2">
      <c r="A187">
        <v>186</v>
      </c>
      <c r="E187">
        <v>67</v>
      </c>
      <c r="F187" s="1" t="s">
        <v>958</v>
      </c>
      <c r="H187">
        <v>0.5</v>
      </c>
      <c r="L187" t="s">
        <v>128</v>
      </c>
    </row>
    <row r="188" spans="1:12" ht="34" x14ac:dyDescent="0.2">
      <c r="A188">
        <v>187</v>
      </c>
      <c r="B188">
        <v>11</v>
      </c>
      <c r="C188">
        <v>2</v>
      </c>
      <c r="E188">
        <v>5</v>
      </c>
      <c r="F188" s="1" t="s">
        <v>963</v>
      </c>
      <c r="L188" t="s">
        <v>123</v>
      </c>
    </row>
    <row r="189" spans="1:12" ht="68" x14ac:dyDescent="0.2">
      <c r="A189">
        <v>188</v>
      </c>
      <c r="E189">
        <v>87</v>
      </c>
      <c r="F189" s="1" t="s">
        <v>967</v>
      </c>
      <c r="H189">
        <v>0.5</v>
      </c>
      <c r="L189" t="s">
        <v>128</v>
      </c>
    </row>
    <row r="190" spans="1:12" ht="68" x14ac:dyDescent="0.2">
      <c r="A190">
        <v>189</v>
      </c>
      <c r="E190">
        <v>10</v>
      </c>
      <c r="F190" s="1" t="s">
        <v>971</v>
      </c>
      <c r="G190">
        <v>1</v>
      </c>
      <c r="L190" t="s">
        <v>117</v>
      </c>
    </row>
    <row r="191" spans="1:12" ht="17" x14ac:dyDescent="0.2">
      <c r="A191">
        <v>190</v>
      </c>
      <c r="E191">
        <v>2</v>
      </c>
      <c r="F191" s="1" t="s">
        <v>976</v>
      </c>
      <c r="K191">
        <v>1</v>
      </c>
      <c r="L191" t="s">
        <v>135</v>
      </c>
    </row>
    <row r="192" spans="1:12" ht="51" x14ac:dyDescent="0.2">
      <c r="A192">
        <v>191</v>
      </c>
      <c r="E192">
        <v>70</v>
      </c>
      <c r="F192" s="1" t="s">
        <v>980</v>
      </c>
      <c r="G192">
        <v>20</v>
      </c>
      <c r="L192" t="s">
        <v>117</v>
      </c>
    </row>
    <row r="193" spans="1:12" ht="17" x14ac:dyDescent="0.2">
      <c r="A193">
        <v>192</v>
      </c>
      <c r="E193">
        <v>77</v>
      </c>
      <c r="F193" s="1" t="s">
        <v>990</v>
      </c>
      <c r="H193">
        <v>0.3</v>
      </c>
      <c r="L193" t="s">
        <v>128</v>
      </c>
    </row>
    <row r="194" spans="1:12" ht="51" x14ac:dyDescent="0.2">
      <c r="A194">
        <v>193</v>
      </c>
      <c r="B194">
        <v>20</v>
      </c>
      <c r="C194">
        <v>2</v>
      </c>
      <c r="E194">
        <v>8</v>
      </c>
      <c r="F194" s="1" t="s">
        <v>994</v>
      </c>
      <c r="L194" t="s">
        <v>123</v>
      </c>
    </row>
    <row r="195" spans="1:12" ht="68" x14ac:dyDescent="0.2">
      <c r="A195">
        <v>194</v>
      </c>
      <c r="E195">
        <v>55</v>
      </c>
      <c r="F195" s="1" t="s">
        <v>998</v>
      </c>
      <c r="H195">
        <v>1</v>
      </c>
      <c r="L195" t="s">
        <v>128</v>
      </c>
    </row>
    <row r="196" spans="1:12" ht="68" x14ac:dyDescent="0.2">
      <c r="A196">
        <v>195</v>
      </c>
      <c r="B196">
        <v>54</v>
      </c>
      <c r="D196">
        <v>0.5</v>
      </c>
      <c r="E196">
        <v>31</v>
      </c>
      <c r="F196" s="1" t="s">
        <v>1003</v>
      </c>
      <c r="L196" t="s">
        <v>123</v>
      </c>
    </row>
    <row r="197" spans="1:12" ht="34" x14ac:dyDescent="0.2">
      <c r="A197">
        <v>196</v>
      </c>
      <c r="E197">
        <v>43</v>
      </c>
      <c r="F197" s="1" t="s">
        <v>1007</v>
      </c>
      <c r="K197">
        <v>1.5</v>
      </c>
      <c r="L197" t="s">
        <v>135</v>
      </c>
    </row>
    <row r="198" spans="1:12" ht="68" x14ac:dyDescent="0.2">
      <c r="A198">
        <v>197</v>
      </c>
      <c r="E198">
        <v>65</v>
      </c>
      <c r="F198" s="1" t="s">
        <v>1011</v>
      </c>
      <c r="J198">
        <v>0.5</v>
      </c>
      <c r="L198" t="s">
        <v>135</v>
      </c>
    </row>
    <row r="199" spans="1:12" ht="51" x14ac:dyDescent="0.2">
      <c r="A199">
        <v>198</v>
      </c>
      <c r="B199">
        <v>100</v>
      </c>
      <c r="D199">
        <v>1</v>
      </c>
      <c r="E199">
        <v>98</v>
      </c>
      <c r="F199" s="1" t="s">
        <v>1015</v>
      </c>
      <c r="L199" t="s">
        <v>123</v>
      </c>
    </row>
    <row r="200" spans="1:12" ht="17" x14ac:dyDescent="0.2">
      <c r="A200">
        <v>199</v>
      </c>
      <c r="E200">
        <v>53</v>
      </c>
      <c r="F200" s="1" t="s">
        <v>1025</v>
      </c>
      <c r="G200">
        <v>3</v>
      </c>
      <c r="L200" t="s">
        <v>117</v>
      </c>
    </row>
    <row r="201" spans="1:12" ht="34" x14ac:dyDescent="0.2">
      <c r="A201">
        <v>200</v>
      </c>
      <c r="E201">
        <v>9</v>
      </c>
      <c r="F201" s="1" t="s">
        <v>1029</v>
      </c>
      <c r="K201">
        <v>2</v>
      </c>
      <c r="L201" t="s">
        <v>135</v>
      </c>
    </row>
    <row r="202" spans="1:12" ht="34" x14ac:dyDescent="0.2">
      <c r="A202">
        <v>201</v>
      </c>
      <c r="E202">
        <v>80</v>
      </c>
      <c r="F202" s="1" t="s">
        <v>1033</v>
      </c>
      <c r="H202">
        <v>0.5</v>
      </c>
      <c r="L202" t="s">
        <v>128</v>
      </c>
    </row>
    <row r="203" spans="1:12" ht="119" x14ac:dyDescent="0.2">
      <c r="A203">
        <v>202</v>
      </c>
      <c r="E203">
        <v>31</v>
      </c>
      <c r="F203" s="1" t="s">
        <v>1037</v>
      </c>
      <c r="K203">
        <v>1</v>
      </c>
      <c r="L203" t="s">
        <v>135</v>
      </c>
    </row>
    <row r="204" spans="1:12" ht="34" x14ac:dyDescent="0.2">
      <c r="A204">
        <v>203</v>
      </c>
      <c r="B204">
        <v>60</v>
      </c>
      <c r="D204">
        <v>0.5</v>
      </c>
      <c r="E204">
        <v>60</v>
      </c>
      <c r="F204" s="1" t="s">
        <v>1044</v>
      </c>
      <c r="L204" t="s">
        <v>123</v>
      </c>
    </row>
    <row r="205" spans="1:12" ht="51" x14ac:dyDescent="0.2">
      <c r="A205">
        <v>204</v>
      </c>
      <c r="B205">
        <v>62</v>
      </c>
      <c r="D205">
        <v>1</v>
      </c>
      <c r="E205">
        <v>7</v>
      </c>
      <c r="F205" s="1" t="s">
        <v>1049</v>
      </c>
      <c r="L205" t="s">
        <v>123</v>
      </c>
    </row>
    <row r="206" spans="1:12" ht="34" x14ac:dyDescent="0.2">
      <c r="A206">
        <v>205</v>
      </c>
      <c r="E206">
        <v>81</v>
      </c>
      <c r="F206" s="1" t="s">
        <v>1054</v>
      </c>
      <c r="H206">
        <v>1</v>
      </c>
      <c r="L206" t="s">
        <v>128</v>
      </c>
    </row>
    <row r="207" spans="1:12" ht="238" x14ac:dyDescent="0.2">
      <c r="A207">
        <v>206</v>
      </c>
      <c r="E207">
        <v>0</v>
      </c>
      <c r="F207" s="1" t="s">
        <v>1058</v>
      </c>
      <c r="G207">
        <v>2.5</v>
      </c>
      <c r="L207" t="s">
        <v>117</v>
      </c>
    </row>
    <row r="208" spans="1:12" ht="17" x14ac:dyDescent="0.2">
      <c r="A208">
        <v>207</v>
      </c>
      <c r="E208">
        <v>100</v>
      </c>
      <c r="F208" s="1" t="s">
        <v>1062</v>
      </c>
      <c r="J208">
        <v>1</v>
      </c>
      <c r="L208" t="s">
        <v>135</v>
      </c>
    </row>
    <row r="209" spans="1:12" ht="34" x14ac:dyDescent="0.2">
      <c r="A209">
        <v>208</v>
      </c>
      <c r="E209">
        <v>30</v>
      </c>
      <c r="F209" s="1" t="s">
        <v>1066</v>
      </c>
      <c r="G209">
        <v>1</v>
      </c>
      <c r="L209" t="s">
        <v>117</v>
      </c>
    </row>
    <row r="210" spans="1:12" ht="68" x14ac:dyDescent="0.2">
      <c r="A210">
        <v>209</v>
      </c>
      <c r="B210">
        <v>100</v>
      </c>
      <c r="D210">
        <v>1</v>
      </c>
      <c r="E210">
        <v>100</v>
      </c>
      <c r="F210" s="1" t="s">
        <v>1070</v>
      </c>
      <c r="L210" t="s">
        <v>123</v>
      </c>
    </row>
    <row r="211" spans="1:12" ht="68" x14ac:dyDescent="0.2">
      <c r="A211">
        <v>210</v>
      </c>
      <c r="E211">
        <v>61</v>
      </c>
      <c r="F211" s="1" t="s">
        <v>1075</v>
      </c>
      <c r="G211">
        <v>8</v>
      </c>
      <c r="L211" t="s">
        <v>117</v>
      </c>
    </row>
    <row r="212" spans="1:12" ht="187" x14ac:dyDescent="0.2">
      <c r="A212">
        <v>211</v>
      </c>
      <c r="E212">
        <v>0</v>
      </c>
      <c r="F212" s="1" t="s">
        <v>1080</v>
      </c>
      <c r="G212">
        <v>0.1</v>
      </c>
      <c r="L212" t="s">
        <v>117</v>
      </c>
    </row>
    <row r="213" spans="1:12" ht="68" x14ac:dyDescent="0.2">
      <c r="A213">
        <v>212</v>
      </c>
      <c r="B213">
        <v>29</v>
      </c>
      <c r="C213">
        <v>5.9</v>
      </c>
      <c r="E213">
        <v>19</v>
      </c>
      <c r="F213" s="1" t="s">
        <v>1084</v>
      </c>
      <c r="L213" t="s">
        <v>123</v>
      </c>
    </row>
    <row r="214" spans="1:12" ht="34" x14ac:dyDescent="0.2">
      <c r="A214">
        <v>213</v>
      </c>
      <c r="E214">
        <v>80</v>
      </c>
      <c r="F214" s="1" t="s">
        <v>1088</v>
      </c>
      <c r="G214">
        <v>5</v>
      </c>
      <c r="L214" t="s">
        <v>117</v>
      </c>
    </row>
    <row r="215" spans="1:12" ht="51" x14ac:dyDescent="0.2">
      <c r="A215">
        <v>214</v>
      </c>
      <c r="E215">
        <v>91</v>
      </c>
      <c r="F215" s="1" t="s">
        <v>1093</v>
      </c>
      <c r="H215" t="s">
        <v>1094</v>
      </c>
      <c r="L215" t="s">
        <v>128</v>
      </c>
    </row>
    <row r="216" spans="1:12" ht="34" x14ac:dyDescent="0.2">
      <c r="A216">
        <v>215</v>
      </c>
      <c r="E216">
        <v>38</v>
      </c>
      <c r="F216" s="1" t="s">
        <v>1099</v>
      </c>
      <c r="K216">
        <v>1</v>
      </c>
      <c r="L216" t="s">
        <v>135</v>
      </c>
    </row>
    <row r="217" spans="1:12" ht="85" x14ac:dyDescent="0.2">
      <c r="A217">
        <v>216</v>
      </c>
      <c r="E217">
        <v>22</v>
      </c>
      <c r="F217" s="1" t="s">
        <v>1103</v>
      </c>
      <c r="G217">
        <v>2</v>
      </c>
      <c r="L217" t="s">
        <v>117</v>
      </c>
    </row>
    <row r="218" spans="1:12" ht="136" x14ac:dyDescent="0.2">
      <c r="A218">
        <v>217</v>
      </c>
      <c r="B218">
        <v>100</v>
      </c>
      <c r="D218">
        <v>2</v>
      </c>
      <c r="E218">
        <v>50</v>
      </c>
      <c r="F218" s="1" t="s">
        <v>1107</v>
      </c>
      <c r="L218" t="s">
        <v>123</v>
      </c>
    </row>
    <row r="219" spans="1:12" ht="51" x14ac:dyDescent="0.2">
      <c r="A219">
        <v>218</v>
      </c>
      <c r="E219">
        <v>71</v>
      </c>
      <c r="F219" s="1" t="s">
        <v>1113</v>
      </c>
      <c r="J219" s="12">
        <v>7.4999999999999997E-2</v>
      </c>
      <c r="L219" t="s">
        <v>135</v>
      </c>
    </row>
    <row r="220" spans="1:12" ht="51" x14ac:dyDescent="0.2">
      <c r="A220">
        <v>219</v>
      </c>
      <c r="E220">
        <v>49</v>
      </c>
      <c r="F220" s="1" t="s">
        <v>1117</v>
      </c>
      <c r="G220">
        <v>1</v>
      </c>
      <c r="L220" t="s">
        <v>117</v>
      </c>
    </row>
    <row r="221" spans="1:12" ht="136" x14ac:dyDescent="0.2">
      <c r="A221">
        <v>220</v>
      </c>
      <c r="E221">
        <v>34</v>
      </c>
      <c r="F221" s="1" t="s">
        <v>1121</v>
      </c>
      <c r="G221">
        <v>2</v>
      </c>
      <c r="L221" t="s">
        <v>117</v>
      </c>
    </row>
    <row r="222" spans="1:12" ht="51" x14ac:dyDescent="0.2">
      <c r="A222">
        <v>221</v>
      </c>
      <c r="E222">
        <v>21</v>
      </c>
      <c r="F222" s="1" t="s">
        <v>1125</v>
      </c>
      <c r="I222">
        <v>1</v>
      </c>
      <c r="L222" t="s">
        <v>128</v>
      </c>
    </row>
    <row r="223" spans="1:12" ht="51" x14ac:dyDescent="0.2">
      <c r="A223">
        <v>222</v>
      </c>
      <c r="E223">
        <v>55</v>
      </c>
      <c r="F223" s="1" t="s">
        <v>1129</v>
      </c>
      <c r="J223">
        <v>0.1</v>
      </c>
      <c r="L223" t="s">
        <v>135</v>
      </c>
    </row>
    <row r="224" spans="1:12" ht="68" x14ac:dyDescent="0.2">
      <c r="A224">
        <v>223</v>
      </c>
      <c r="B224">
        <v>1</v>
      </c>
      <c r="C224">
        <v>1</v>
      </c>
      <c r="E224">
        <v>0</v>
      </c>
      <c r="F224" s="1" t="s">
        <v>1135</v>
      </c>
      <c r="L224" t="s">
        <v>123</v>
      </c>
    </row>
    <row r="225" spans="1:12" ht="85" x14ac:dyDescent="0.2">
      <c r="A225">
        <v>224</v>
      </c>
      <c r="E225">
        <v>81</v>
      </c>
      <c r="F225" s="1" t="s">
        <v>1139</v>
      </c>
      <c r="H225">
        <v>0.5</v>
      </c>
      <c r="L225" t="s">
        <v>128</v>
      </c>
    </row>
    <row r="226" spans="1:12" ht="85" x14ac:dyDescent="0.2">
      <c r="A226">
        <v>225</v>
      </c>
      <c r="E226">
        <v>60</v>
      </c>
      <c r="F226" s="1" t="s">
        <v>1143</v>
      </c>
      <c r="H226">
        <v>0.5</v>
      </c>
      <c r="L226" t="s">
        <v>128</v>
      </c>
    </row>
    <row r="227" spans="1:12" ht="85" x14ac:dyDescent="0.2">
      <c r="A227">
        <v>226</v>
      </c>
      <c r="E227">
        <v>65</v>
      </c>
      <c r="F227" s="1" t="s">
        <v>1147</v>
      </c>
      <c r="J227">
        <v>0.5</v>
      </c>
      <c r="L227" t="s">
        <v>135</v>
      </c>
    </row>
    <row r="228" spans="1:12" ht="34" x14ac:dyDescent="0.2">
      <c r="A228">
        <v>227</v>
      </c>
      <c r="E228">
        <v>65</v>
      </c>
      <c r="F228" s="1" t="s">
        <v>1151</v>
      </c>
      <c r="H228" t="s">
        <v>1152</v>
      </c>
      <c r="L228" t="s">
        <v>128</v>
      </c>
    </row>
    <row r="229" spans="1:12" ht="68" x14ac:dyDescent="0.2">
      <c r="A229">
        <v>228</v>
      </c>
      <c r="B229">
        <v>25</v>
      </c>
      <c r="C229">
        <v>1.5</v>
      </c>
      <c r="E229">
        <v>25</v>
      </c>
      <c r="F229" s="1" t="s">
        <v>1159</v>
      </c>
      <c r="L229" t="s">
        <v>123</v>
      </c>
    </row>
    <row r="230" spans="1:12" ht="17" x14ac:dyDescent="0.2">
      <c r="A230">
        <v>229</v>
      </c>
      <c r="E230">
        <v>50</v>
      </c>
      <c r="F230" s="1" t="s">
        <v>1163</v>
      </c>
      <c r="H230">
        <v>0</v>
      </c>
      <c r="L230" t="s">
        <v>128</v>
      </c>
    </row>
    <row r="231" spans="1:12" ht="85" x14ac:dyDescent="0.2">
      <c r="A231">
        <v>230</v>
      </c>
      <c r="B231">
        <v>0</v>
      </c>
      <c r="C231">
        <v>2</v>
      </c>
      <c r="E231">
        <v>0</v>
      </c>
      <c r="F231" s="1" t="s">
        <v>1169</v>
      </c>
      <c r="L231" t="s">
        <v>123</v>
      </c>
    </row>
    <row r="232" spans="1:12" ht="68" x14ac:dyDescent="0.2">
      <c r="A232">
        <v>231</v>
      </c>
      <c r="E232">
        <v>49</v>
      </c>
      <c r="F232" s="1" t="s">
        <v>1173</v>
      </c>
      <c r="K232">
        <v>1.5</v>
      </c>
      <c r="L232" t="s">
        <v>135</v>
      </c>
    </row>
    <row r="233" spans="1:12" ht="102" x14ac:dyDescent="0.2">
      <c r="A233">
        <v>232</v>
      </c>
      <c r="B233">
        <v>30</v>
      </c>
      <c r="C233">
        <v>1.5</v>
      </c>
      <c r="E233">
        <v>19</v>
      </c>
      <c r="F233" s="1" t="s">
        <v>1178</v>
      </c>
      <c r="L233" t="s">
        <v>123</v>
      </c>
    </row>
    <row r="234" spans="1:12" ht="34" x14ac:dyDescent="0.2">
      <c r="A234">
        <v>233</v>
      </c>
      <c r="B234">
        <v>16</v>
      </c>
      <c r="C234">
        <v>1</v>
      </c>
      <c r="E234">
        <v>7</v>
      </c>
      <c r="F234" s="1" t="s">
        <v>1183</v>
      </c>
      <c r="L234" t="s">
        <v>123</v>
      </c>
    </row>
    <row r="235" spans="1:12" ht="34" x14ac:dyDescent="0.2">
      <c r="A235">
        <v>234</v>
      </c>
      <c r="B235">
        <v>9</v>
      </c>
      <c r="C235">
        <v>1.5</v>
      </c>
      <c r="E235">
        <v>10</v>
      </c>
      <c r="F235" s="1" t="s">
        <v>1187</v>
      </c>
      <c r="L235" t="s">
        <v>123</v>
      </c>
    </row>
    <row r="236" spans="1:12" ht="17" x14ac:dyDescent="0.2">
      <c r="A236">
        <v>235</v>
      </c>
      <c r="B236">
        <v>60</v>
      </c>
      <c r="D236">
        <v>1</v>
      </c>
      <c r="E236">
        <v>60</v>
      </c>
      <c r="F236" s="1" t="s">
        <v>1191</v>
      </c>
      <c r="L236" t="s">
        <v>123</v>
      </c>
    </row>
    <row r="237" spans="1:12" ht="68" x14ac:dyDescent="0.2">
      <c r="A237">
        <v>236</v>
      </c>
      <c r="E237">
        <v>50</v>
      </c>
      <c r="F237" s="1" t="s">
        <v>1195</v>
      </c>
      <c r="G237">
        <v>0.5</v>
      </c>
      <c r="L237" t="s">
        <v>117</v>
      </c>
    </row>
    <row r="238" spans="1:12" ht="34" x14ac:dyDescent="0.2">
      <c r="A238">
        <v>237</v>
      </c>
      <c r="B238">
        <v>74</v>
      </c>
      <c r="D238">
        <v>9</v>
      </c>
      <c r="E238">
        <v>100</v>
      </c>
      <c r="F238" s="1" t="s">
        <v>1199</v>
      </c>
      <c r="L238" t="s">
        <v>123</v>
      </c>
    </row>
    <row r="239" spans="1:12" ht="68" x14ac:dyDescent="0.2">
      <c r="A239">
        <v>238</v>
      </c>
      <c r="E239">
        <v>22</v>
      </c>
      <c r="F239" s="1" t="s">
        <v>1203</v>
      </c>
      <c r="G239">
        <v>1</v>
      </c>
      <c r="L239" t="s">
        <v>117</v>
      </c>
    </row>
    <row r="240" spans="1:12" ht="68" x14ac:dyDescent="0.2">
      <c r="A240">
        <v>239</v>
      </c>
      <c r="E240">
        <v>10</v>
      </c>
      <c r="F240" s="1" t="s">
        <v>1207</v>
      </c>
      <c r="K240">
        <v>3</v>
      </c>
      <c r="L240" t="s">
        <v>135</v>
      </c>
    </row>
    <row r="241" spans="1:12" ht="85" x14ac:dyDescent="0.2">
      <c r="A241">
        <v>240</v>
      </c>
      <c r="B241">
        <v>13</v>
      </c>
      <c r="C241">
        <v>2.5</v>
      </c>
      <c r="E241">
        <v>0</v>
      </c>
      <c r="F241" s="1" t="s">
        <v>1211</v>
      </c>
      <c r="L241" t="s">
        <v>123</v>
      </c>
    </row>
    <row r="242" spans="1:12" ht="102" x14ac:dyDescent="0.2">
      <c r="A242">
        <v>241</v>
      </c>
      <c r="B242">
        <v>58</v>
      </c>
      <c r="D242">
        <v>0.25</v>
      </c>
      <c r="E242">
        <v>55</v>
      </c>
      <c r="F242" s="1" t="s">
        <v>1215</v>
      </c>
      <c r="L242" t="s">
        <v>123</v>
      </c>
    </row>
    <row r="243" spans="1:12" ht="17" x14ac:dyDescent="0.2">
      <c r="A243">
        <v>242</v>
      </c>
      <c r="B243">
        <v>100</v>
      </c>
      <c r="D243">
        <v>0.5</v>
      </c>
      <c r="E243">
        <v>100</v>
      </c>
      <c r="F243" s="1" t="s">
        <v>1219</v>
      </c>
      <c r="L243" t="s">
        <v>123</v>
      </c>
    </row>
    <row r="244" spans="1:12" ht="119" x14ac:dyDescent="0.2">
      <c r="A244">
        <v>243</v>
      </c>
      <c r="E244">
        <v>15</v>
      </c>
      <c r="F244" s="1" t="s">
        <v>1223</v>
      </c>
      <c r="I244">
        <v>3</v>
      </c>
      <c r="L244" t="s">
        <v>128</v>
      </c>
    </row>
    <row r="245" spans="1:12" ht="51" x14ac:dyDescent="0.2">
      <c r="A245">
        <v>244</v>
      </c>
      <c r="E245">
        <v>2</v>
      </c>
      <c r="F245" s="1" t="s">
        <v>1227</v>
      </c>
      <c r="K245">
        <v>5</v>
      </c>
      <c r="L245" t="s">
        <v>135</v>
      </c>
    </row>
    <row r="246" spans="1:12" ht="34" x14ac:dyDescent="0.2">
      <c r="A246">
        <v>245</v>
      </c>
      <c r="B246">
        <v>70</v>
      </c>
      <c r="D246">
        <v>30</v>
      </c>
      <c r="E246">
        <v>60</v>
      </c>
      <c r="F246" s="1" t="s">
        <v>1231</v>
      </c>
      <c r="L246" t="s">
        <v>123</v>
      </c>
    </row>
    <row r="247" spans="1:12" ht="102" x14ac:dyDescent="0.2">
      <c r="A247">
        <v>246</v>
      </c>
      <c r="B247">
        <v>91</v>
      </c>
      <c r="D247">
        <v>3.9</v>
      </c>
      <c r="E247">
        <v>98</v>
      </c>
      <c r="F247" s="1" t="s">
        <v>1236</v>
      </c>
      <c r="L247" t="s">
        <v>123</v>
      </c>
    </row>
    <row r="248" spans="1:12" ht="34" x14ac:dyDescent="0.2">
      <c r="A248">
        <v>247</v>
      </c>
      <c r="E248">
        <v>22</v>
      </c>
      <c r="F248" s="1" t="s">
        <v>1241</v>
      </c>
      <c r="K248">
        <v>4</v>
      </c>
      <c r="L248" t="s">
        <v>135</v>
      </c>
    </row>
    <row r="249" spans="1:12" ht="51" x14ac:dyDescent="0.2">
      <c r="A249">
        <v>248</v>
      </c>
      <c r="E249">
        <v>8</v>
      </c>
      <c r="F249" s="1" t="s">
        <v>1245</v>
      </c>
      <c r="K249">
        <v>20</v>
      </c>
      <c r="L249" t="s">
        <v>135</v>
      </c>
    </row>
    <row r="250" spans="1:12" ht="51" x14ac:dyDescent="0.2">
      <c r="A250">
        <v>249</v>
      </c>
      <c r="E250">
        <v>89</v>
      </c>
      <c r="F250" s="1" t="s">
        <v>1250</v>
      </c>
      <c r="G250">
        <v>5</v>
      </c>
      <c r="L250" t="s">
        <v>117</v>
      </c>
    </row>
    <row r="251" spans="1:12" ht="102" x14ac:dyDescent="0.2">
      <c r="A251">
        <v>250</v>
      </c>
      <c r="E251">
        <v>66</v>
      </c>
      <c r="F251" s="1" t="s">
        <v>1254</v>
      </c>
      <c r="H251">
        <v>0.25</v>
      </c>
      <c r="L251" t="s">
        <v>128</v>
      </c>
    </row>
    <row r="252" spans="1:12" ht="51" x14ac:dyDescent="0.2">
      <c r="A252">
        <v>251</v>
      </c>
      <c r="B252">
        <v>0</v>
      </c>
      <c r="C252">
        <v>1.5</v>
      </c>
      <c r="E252">
        <v>0</v>
      </c>
      <c r="F252" s="1" t="s">
        <v>1258</v>
      </c>
      <c r="L252" t="s">
        <v>123</v>
      </c>
    </row>
    <row r="253" spans="1:12" ht="34" x14ac:dyDescent="0.2">
      <c r="A253">
        <v>252</v>
      </c>
      <c r="B253">
        <v>0</v>
      </c>
      <c r="C253">
        <v>2</v>
      </c>
      <c r="E253">
        <v>0</v>
      </c>
      <c r="F253" s="1" t="s">
        <v>1262</v>
      </c>
      <c r="L253" t="s">
        <v>123</v>
      </c>
    </row>
    <row r="254" spans="1:12" ht="34" x14ac:dyDescent="0.2">
      <c r="A254">
        <v>253</v>
      </c>
      <c r="E254">
        <v>56</v>
      </c>
      <c r="F254" s="1" t="s">
        <v>1266</v>
      </c>
      <c r="H254">
        <v>1</v>
      </c>
      <c r="L254" t="s">
        <v>128</v>
      </c>
    </row>
    <row r="255" spans="1:12" ht="85" x14ac:dyDescent="0.2">
      <c r="A255">
        <v>254</v>
      </c>
      <c r="B255">
        <v>15</v>
      </c>
      <c r="C255">
        <v>2</v>
      </c>
      <c r="E255">
        <v>15</v>
      </c>
      <c r="F255" s="1" t="s">
        <v>1270</v>
      </c>
      <c r="L255" t="s">
        <v>123</v>
      </c>
    </row>
    <row r="256" spans="1:12" ht="119" x14ac:dyDescent="0.2">
      <c r="A256">
        <v>255</v>
      </c>
      <c r="E256">
        <v>60</v>
      </c>
      <c r="F256" s="1" t="s">
        <v>1274</v>
      </c>
      <c r="G256">
        <v>2</v>
      </c>
      <c r="L256" t="s">
        <v>117</v>
      </c>
    </row>
    <row r="257" spans="1:12" ht="34" x14ac:dyDescent="0.2">
      <c r="A257">
        <v>256</v>
      </c>
      <c r="B257">
        <v>2</v>
      </c>
      <c r="C257">
        <v>2</v>
      </c>
      <c r="E257">
        <v>3</v>
      </c>
      <c r="F257" s="1" t="s">
        <v>1279</v>
      </c>
      <c r="L257" t="s">
        <v>123</v>
      </c>
    </row>
    <row r="258" spans="1:12" ht="51" x14ac:dyDescent="0.2">
      <c r="A258">
        <v>257</v>
      </c>
      <c r="E258">
        <v>50</v>
      </c>
      <c r="F258" s="1" t="s">
        <v>1283</v>
      </c>
      <c r="G258">
        <v>1</v>
      </c>
      <c r="L258" t="s">
        <v>117</v>
      </c>
    </row>
    <row r="259" spans="1:12" ht="51" x14ac:dyDescent="0.2">
      <c r="A259">
        <v>258</v>
      </c>
      <c r="E259">
        <v>68</v>
      </c>
      <c r="F259" s="1" t="s">
        <v>1287</v>
      </c>
      <c r="J259">
        <v>1</v>
      </c>
      <c r="L259" t="s">
        <v>135</v>
      </c>
    </row>
    <row r="260" spans="1:12" ht="34" x14ac:dyDescent="0.2">
      <c r="A260">
        <v>259</v>
      </c>
      <c r="E260">
        <v>85</v>
      </c>
      <c r="F260" s="1" t="s">
        <v>1293</v>
      </c>
      <c r="J260">
        <v>1.2</v>
      </c>
      <c r="L260" t="s">
        <v>135</v>
      </c>
    </row>
    <row r="261" spans="1:12" ht="17" x14ac:dyDescent="0.2">
      <c r="A261">
        <v>260</v>
      </c>
      <c r="E261">
        <v>100</v>
      </c>
      <c r="F261" s="1" t="s">
        <v>1297</v>
      </c>
      <c r="H261">
        <v>0.5</v>
      </c>
      <c r="L261" t="s">
        <v>128</v>
      </c>
    </row>
    <row r="262" spans="1:12" ht="51" x14ac:dyDescent="0.2">
      <c r="A262">
        <v>261</v>
      </c>
      <c r="B262">
        <v>100</v>
      </c>
      <c r="D262">
        <v>2</v>
      </c>
      <c r="E262">
        <v>50</v>
      </c>
      <c r="F262" s="1" t="s">
        <v>1301</v>
      </c>
      <c r="L262" t="s">
        <v>123</v>
      </c>
    </row>
    <row r="263" spans="1:12" ht="119" x14ac:dyDescent="0.2">
      <c r="A263">
        <v>262</v>
      </c>
      <c r="E263">
        <v>50</v>
      </c>
      <c r="F263" s="1" t="s">
        <v>1305</v>
      </c>
      <c r="H263">
        <v>2</v>
      </c>
      <c r="L263" t="s">
        <v>128</v>
      </c>
    </row>
    <row r="264" spans="1:12" ht="68" x14ac:dyDescent="0.2">
      <c r="A264">
        <v>263</v>
      </c>
      <c r="E264">
        <v>60</v>
      </c>
      <c r="F264" s="1" t="s">
        <v>1309</v>
      </c>
      <c r="H264">
        <v>1.9</v>
      </c>
      <c r="L264" t="s">
        <v>128</v>
      </c>
    </row>
    <row r="265" spans="1:12" ht="17" x14ac:dyDescent="0.2">
      <c r="A265">
        <v>264</v>
      </c>
      <c r="E265">
        <v>19</v>
      </c>
      <c r="F265" s="1" t="s">
        <v>1314</v>
      </c>
      <c r="G265">
        <v>4</v>
      </c>
      <c r="L265" t="s">
        <v>117</v>
      </c>
    </row>
    <row r="266" spans="1:12" ht="68" x14ac:dyDescent="0.2">
      <c r="A266">
        <v>265</v>
      </c>
      <c r="E266">
        <v>15</v>
      </c>
      <c r="F266" s="1" t="s">
        <v>1319</v>
      </c>
      <c r="K266">
        <v>3</v>
      </c>
      <c r="L266" t="s">
        <v>135</v>
      </c>
    </row>
    <row r="267" spans="1:12" ht="51" x14ac:dyDescent="0.2">
      <c r="A267">
        <v>266</v>
      </c>
      <c r="E267">
        <v>60</v>
      </c>
      <c r="F267" s="1" t="s">
        <v>1323</v>
      </c>
      <c r="H267">
        <v>1</v>
      </c>
      <c r="L267" t="s">
        <v>128</v>
      </c>
    </row>
    <row r="268" spans="1:12" ht="34" x14ac:dyDescent="0.2">
      <c r="A268">
        <v>267</v>
      </c>
      <c r="E268">
        <v>66</v>
      </c>
      <c r="F268" s="1" t="s">
        <v>1327</v>
      </c>
      <c r="G268">
        <v>0.5</v>
      </c>
      <c r="L268" t="s">
        <v>117</v>
      </c>
    </row>
    <row r="269" spans="1:12" ht="34" x14ac:dyDescent="0.2">
      <c r="A269">
        <v>268</v>
      </c>
      <c r="B269">
        <v>39</v>
      </c>
      <c r="C269">
        <v>3</v>
      </c>
      <c r="E269">
        <v>40</v>
      </c>
      <c r="F269" s="1" t="s">
        <v>1332</v>
      </c>
      <c r="L269" t="s">
        <v>123</v>
      </c>
    </row>
    <row r="270" spans="1:12" ht="102" x14ac:dyDescent="0.2">
      <c r="A270">
        <v>269</v>
      </c>
      <c r="E270">
        <v>70</v>
      </c>
      <c r="F270" s="1" t="s">
        <v>1336</v>
      </c>
      <c r="G270">
        <v>1</v>
      </c>
      <c r="L270" t="s">
        <v>117</v>
      </c>
    </row>
    <row r="271" spans="1:12" ht="68" x14ac:dyDescent="0.2">
      <c r="A271">
        <v>270</v>
      </c>
      <c r="E271">
        <v>70</v>
      </c>
      <c r="F271" s="1" t="s">
        <v>1341</v>
      </c>
      <c r="G271">
        <v>1.45</v>
      </c>
      <c r="L271" t="s">
        <v>117</v>
      </c>
    </row>
    <row r="272" spans="1:12" ht="17" x14ac:dyDescent="0.2">
      <c r="A272">
        <v>271</v>
      </c>
      <c r="E272">
        <v>0</v>
      </c>
      <c r="F272" s="1" t="s">
        <v>1345</v>
      </c>
      <c r="I272">
        <v>5</v>
      </c>
      <c r="L272" t="s">
        <v>128</v>
      </c>
    </row>
    <row r="273" spans="1:12" ht="68" x14ac:dyDescent="0.2">
      <c r="A273">
        <v>272</v>
      </c>
      <c r="E273">
        <v>81</v>
      </c>
      <c r="F273" s="1" t="s">
        <v>1349</v>
      </c>
      <c r="G273">
        <v>3</v>
      </c>
      <c r="L273" t="s">
        <v>117</v>
      </c>
    </row>
    <row r="274" spans="1:12" ht="34" x14ac:dyDescent="0.2">
      <c r="A274">
        <v>273</v>
      </c>
      <c r="E274">
        <v>57</v>
      </c>
      <c r="F274" s="1" t="s">
        <v>1353</v>
      </c>
      <c r="J274">
        <v>3</v>
      </c>
      <c r="L274" t="s">
        <v>135</v>
      </c>
    </row>
    <row r="275" spans="1:12" ht="68" x14ac:dyDescent="0.2">
      <c r="A275">
        <v>274</v>
      </c>
      <c r="E275">
        <v>85</v>
      </c>
      <c r="F275" s="1" t="s">
        <v>1357</v>
      </c>
      <c r="G275">
        <v>1.5</v>
      </c>
      <c r="L275" t="s">
        <v>117</v>
      </c>
    </row>
    <row r="276" spans="1:12" ht="34" x14ac:dyDescent="0.2">
      <c r="A276">
        <v>275</v>
      </c>
      <c r="B276">
        <v>74</v>
      </c>
      <c r="D276">
        <v>0.5</v>
      </c>
      <c r="E276">
        <v>84</v>
      </c>
      <c r="F276" s="1" t="s">
        <v>1361</v>
      </c>
      <c r="L276" t="s">
        <v>123</v>
      </c>
    </row>
    <row r="277" spans="1:12" ht="51" x14ac:dyDescent="0.2">
      <c r="A277">
        <v>276</v>
      </c>
      <c r="E277">
        <v>50</v>
      </c>
      <c r="F277" s="1" t="s">
        <v>1365</v>
      </c>
      <c r="G277">
        <v>1</v>
      </c>
      <c r="L277" t="s">
        <v>117</v>
      </c>
    </row>
    <row r="278" spans="1:12" ht="68" x14ac:dyDescent="0.2">
      <c r="A278">
        <v>277</v>
      </c>
      <c r="E278">
        <v>9</v>
      </c>
      <c r="F278" s="1" t="s">
        <v>1371</v>
      </c>
      <c r="K278">
        <v>0.75</v>
      </c>
      <c r="L278" t="s">
        <v>135</v>
      </c>
    </row>
    <row r="279" spans="1:12" ht="136" x14ac:dyDescent="0.2">
      <c r="A279">
        <v>278</v>
      </c>
      <c r="E279">
        <v>91</v>
      </c>
      <c r="F279" s="1" t="s">
        <v>1376</v>
      </c>
      <c r="G279">
        <v>2</v>
      </c>
      <c r="L279" t="s">
        <v>117</v>
      </c>
    </row>
    <row r="280" spans="1:12" ht="34" x14ac:dyDescent="0.2">
      <c r="A280">
        <v>279</v>
      </c>
      <c r="E280">
        <v>70</v>
      </c>
      <c r="F280" s="1" t="s">
        <v>1380</v>
      </c>
      <c r="H280">
        <v>0.25</v>
      </c>
      <c r="L280" t="s">
        <v>128</v>
      </c>
    </row>
    <row r="281" spans="1:12" ht="51" x14ac:dyDescent="0.2">
      <c r="A281">
        <v>280</v>
      </c>
      <c r="E281">
        <v>30</v>
      </c>
      <c r="F281" s="1" t="s">
        <v>1384</v>
      </c>
      <c r="K281" t="s">
        <v>1385</v>
      </c>
      <c r="L281" t="s">
        <v>135</v>
      </c>
    </row>
    <row r="282" spans="1:12" ht="68" x14ac:dyDescent="0.2">
      <c r="A282">
        <v>281</v>
      </c>
      <c r="E282">
        <v>29</v>
      </c>
      <c r="F282" s="1" t="s">
        <v>1391</v>
      </c>
      <c r="G282">
        <v>3</v>
      </c>
      <c r="L282" t="s">
        <v>117</v>
      </c>
    </row>
    <row r="283" spans="1:12" ht="102" x14ac:dyDescent="0.2">
      <c r="A283">
        <v>282</v>
      </c>
      <c r="E283">
        <v>60</v>
      </c>
      <c r="F283" s="1" t="s">
        <v>1395</v>
      </c>
      <c r="J283">
        <v>1</v>
      </c>
      <c r="L283" t="s">
        <v>135</v>
      </c>
    </row>
    <row r="284" spans="1:12" ht="34" x14ac:dyDescent="0.2">
      <c r="A284">
        <v>283</v>
      </c>
      <c r="E284">
        <v>28</v>
      </c>
      <c r="F284" s="1" t="s">
        <v>1400</v>
      </c>
      <c r="I284">
        <v>1</v>
      </c>
      <c r="L284" t="s">
        <v>128</v>
      </c>
    </row>
    <row r="285" spans="1:12" ht="102" x14ac:dyDescent="0.2">
      <c r="A285">
        <v>284</v>
      </c>
      <c r="E285">
        <v>90</v>
      </c>
      <c r="F285" s="1" t="s">
        <v>1405</v>
      </c>
      <c r="G285">
        <v>2</v>
      </c>
      <c r="L285" t="s">
        <v>117</v>
      </c>
    </row>
    <row r="286" spans="1:12" ht="51" x14ac:dyDescent="0.2">
      <c r="A286">
        <v>285</v>
      </c>
      <c r="B286">
        <v>35</v>
      </c>
      <c r="C286">
        <v>1.5</v>
      </c>
      <c r="E286">
        <v>58</v>
      </c>
      <c r="F286" s="1" t="s">
        <v>1409</v>
      </c>
      <c r="L286" t="s">
        <v>123</v>
      </c>
    </row>
    <row r="287" spans="1:12" ht="34" x14ac:dyDescent="0.2">
      <c r="A287">
        <v>286</v>
      </c>
      <c r="E287">
        <v>19</v>
      </c>
      <c r="F287" s="1" t="s">
        <v>1413</v>
      </c>
      <c r="I287">
        <v>3</v>
      </c>
      <c r="L287" t="s">
        <v>128</v>
      </c>
    </row>
    <row r="288" spans="1:12" ht="51" x14ac:dyDescent="0.2">
      <c r="A288">
        <v>287</v>
      </c>
      <c r="B288">
        <v>20</v>
      </c>
      <c r="C288">
        <v>1</v>
      </c>
      <c r="E288">
        <v>50</v>
      </c>
      <c r="F288" s="1" t="s">
        <v>1418</v>
      </c>
      <c r="L288" t="s">
        <v>123</v>
      </c>
    </row>
    <row r="289" spans="1:12" ht="85" x14ac:dyDescent="0.2">
      <c r="A289">
        <v>288</v>
      </c>
      <c r="E289">
        <v>10</v>
      </c>
      <c r="F289" s="1" t="s">
        <v>1422</v>
      </c>
      <c r="K289">
        <v>4</v>
      </c>
      <c r="L289" t="s">
        <v>135</v>
      </c>
    </row>
    <row r="290" spans="1:12" ht="34" x14ac:dyDescent="0.2">
      <c r="A290">
        <v>289</v>
      </c>
      <c r="B290">
        <v>40</v>
      </c>
      <c r="C290">
        <v>1.2</v>
      </c>
      <c r="E290">
        <v>40</v>
      </c>
      <c r="F290" s="1" t="s">
        <v>1426</v>
      </c>
      <c r="L290" t="s">
        <v>123</v>
      </c>
    </row>
    <row r="291" spans="1:12" ht="34" x14ac:dyDescent="0.2">
      <c r="A291">
        <v>290</v>
      </c>
      <c r="E291">
        <v>0</v>
      </c>
      <c r="F291" s="1" t="s">
        <v>1430</v>
      </c>
      <c r="K291">
        <v>2</v>
      </c>
      <c r="L291" t="s">
        <v>135</v>
      </c>
    </row>
    <row r="292" spans="1:12" ht="51" x14ac:dyDescent="0.2">
      <c r="A292">
        <v>291</v>
      </c>
      <c r="E292">
        <v>50</v>
      </c>
      <c r="F292" s="1" t="s">
        <v>1435</v>
      </c>
      <c r="G292">
        <v>1</v>
      </c>
      <c r="L292" t="s">
        <v>117</v>
      </c>
    </row>
    <row r="293" spans="1:12" ht="34" x14ac:dyDescent="0.2">
      <c r="A293">
        <v>292</v>
      </c>
      <c r="E293">
        <v>74</v>
      </c>
      <c r="F293" s="1" t="s">
        <v>1439</v>
      </c>
      <c r="J293">
        <v>2</v>
      </c>
      <c r="L293" t="s">
        <v>135</v>
      </c>
    </row>
    <row r="294" spans="1:12" ht="102" x14ac:dyDescent="0.2">
      <c r="A294">
        <v>293</v>
      </c>
      <c r="E294">
        <v>80</v>
      </c>
      <c r="F294" s="1" t="s">
        <v>1443</v>
      </c>
      <c r="H294">
        <v>0.9</v>
      </c>
      <c r="L294" t="s">
        <v>128</v>
      </c>
    </row>
    <row r="295" spans="1:12" ht="119" x14ac:dyDescent="0.2">
      <c r="A295">
        <v>294</v>
      </c>
      <c r="B295">
        <v>70</v>
      </c>
      <c r="D295">
        <v>1</v>
      </c>
      <c r="E295">
        <v>74</v>
      </c>
      <c r="F295" s="1" t="s">
        <v>1449</v>
      </c>
      <c r="L295" t="s">
        <v>123</v>
      </c>
    </row>
    <row r="296" spans="1:12" ht="34" x14ac:dyDescent="0.2">
      <c r="A296">
        <v>295</v>
      </c>
      <c r="E296">
        <v>15</v>
      </c>
      <c r="F296" s="1" t="s">
        <v>1453</v>
      </c>
      <c r="K296">
        <v>20</v>
      </c>
      <c r="L296" t="s">
        <v>135</v>
      </c>
    </row>
    <row r="297" spans="1:12" ht="51" x14ac:dyDescent="0.2">
      <c r="A297">
        <v>296</v>
      </c>
      <c r="B297">
        <v>0</v>
      </c>
      <c r="C297">
        <v>5</v>
      </c>
      <c r="E297">
        <v>4</v>
      </c>
      <c r="F297" s="1" t="s">
        <v>1458</v>
      </c>
      <c r="L297" t="s">
        <v>123</v>
      </c>
    </row>
    <row r="298" spans="1:12" ht="85" x14ac:dyDescent="0.2">
      <c r="A298">
        <v>297</v>
      </c>
      <c r="E298">
        <v>90</v>
      </c>
      <c r="F298" s="1" t="s">
        <v>1463</v>
      </c>
      <c r="H298">
        <v>0.5</v>
      </c>
      <c r="L298" t="s">
        <v>128</v>
      </c>
    </row>
    <row r="299" spans="1:12" ht="51" x14ac:dyDescent="0.2">
      <c r="A299">
        <v>298</v>
      </c>
      <c r="E299">
        <v>75</v>
      </c>
      <c r="F299" s="1" t="s">
        <v>1467</v>
      </c>
      <c r="H299">
        <v>1</v>
      </c>
      <c r="L299" t="s">
        <v>128</v>
      </c>
    </row>
    <row r="300" spans="1:12" ht="17" x14ac:dyDescent="0.2">
      <c r="A300">
        <v>299</v>
      </c>
      <c r="E300">
        <v>76</v>
      </c>
      <c r="F300" s="1" t="s">
        <v>1471</v>
      </c>
      <c r="G300">
        <v>1</v>
      </c>
      <c r="L300" t="s">
        <v>117</v>
      </c>
    </row>
    <row r="301" spans="1:12" ht="51" x14ac:dyDescent="0.2">
      <c r="A301">
        <v>300</v>
      </c>
      <c r="E301">
        <v>61</v>
      </c>
      <c r="F301" s="1" t="s">
        <v>1475</v>
      </c>
      <c r="H301">
        <v>2</v>
      </c>
      <c r="L301" t="s">
        <v>128</v>
      </c>
    </row>
    <row r="302" spans="1:12" ht="51" x14ac:dyDescent="0.2">
      <c r="A302">
        <v>301</v>
      </c>
      <c r="E302">
        <v>10</v>
      </c>
      <c r="F302" s="1" t="s">
        <v>1480</v>
      </c>
      <c r="G302">
        <v>1</v>
      </c>
      <c r="L302" t="s">
        <v>117</v>
      </c>
    </row>
    <row r="303" spans="1:12" ht="51" x14ac:dyDescent="0.2">
      <c r="A303">
        <v>302</v>
      </c>
      <c r="B303">
        <v>10</v>
      </c>
      <c r="C303">
        <v>3</v>
      </c>
      <c r="E303">
        <v>0</v>
      </c>
      <c r="F303" s="1" t="s">
        <v>1484</v>
      </c>
      <c r="L303" t="s">
        <v>123</v>
      </c>
    </row>
    <row r="304" spans="1:12" ht="34" x14ac:dyDescent="0.2">
      <c r="A304">
        <v>303</v>
      </c>
      <c r="B304">
        <v>20</v>
      </c>
      <c r="C304">
        <v>1</v>
      </c>
      <c r="E304">
        <v>0</v>
      </c>
      <c r="F304" s="1" t="s">
        <v>1489</v>
      </c>
      <c r="L304" t="s">
        <v>123</v>
      </c>
    </row>
    <row r="305" spans="1:12" ht="34" x14ac:dyDescent="0.2">
      <c r="A305">
        <v>304</v>
      </c>
      <c r="E305">
        <v>86</v>
      </c>
      <c r="F305" s="1" t="s">
        <v>1493</v>
      </c>
      <c r="G305">
        <v>1</v>
      </c>
      <c r="L305" t="s">
        <v>117</v>
      </c>
    </row>
    <row r="306" spans="1:12" ht="85" x14ac:dyDescent="0.2">
      <c r="A306">
        <v>305</v>
      </c>
      <c r="E306">
        <v>75</v>
      </c>
      <c r="F306" s="1" t="s">
        <v>1498</v>
      </c>
      <c r="H306">
        <v>2</v>
      </c>
      <c r="L306" t="s">
        <v>128</v>
      </c>
    </row>
    <row r="307" spans="1:12" ht="51" x14ac:dyDescent="0.2">
      <c r="A307">
        <v>306</v>
      </c>
      <c r="E307">
        <v>71</v>
      </c>
      <c r="F307" s="1" t="s">
        <v>1502</v>
      </c>
      <c r="G307">
        <v>1</v>
      </c>
      <c r="L307" t="s">
        <v>117</v>
      </c>
    </row>
    <row r="308" spans="1:12" ht="102" x14ac:dyDescent="0.2">
      <c r="A308">
        <v>307</v>
      </c>
      <c r="B308">
        <v>0</v>
      </c>
      <c r="C308">
        <v>3</v>
      </c>
      <c r="E308">
        <v>0</v>
      </c>
      <c r="F308" s="1" t="s">
        <v>1507</v>
      </c>
      <c r="L308" t="s">
        <v>123</v>
      </c>
    </row>
    <row r="309" spans="1:12" ht="68" x14ac:dyDescent="0.2">
      <c r="A309">
        <v>308</v>
      </c>
      <c r="E309">
        <v>91</v>
      </c>
      <c r="F309" s="1" t="s">
        <v>1511</v>
      </c>
      <c r="H309">
        <v>0.5</v>
      </c>
      <c r="L309" t="s">
        <v>128</v>
      </c>
    </row>
    <row r="310" spans="1:12" ht="34" x14ac:dyDescent="0.2">
      <c r="A310">
        <v>309</v>
      </c>
      <c r="E310">
        <v>75</v>
      </c>
      <c r="F310" s="1" t="s">
        <v>1515</v>
      </c>
      <c r="H310">
        <v>3</v>
      </c>
      <c r="L310" t="s">
        <v>128</v>
      </c>
    </row>
    <row r="311" spans="1:12" ht="102" x14ac:dyDescent="0.2">
      <c r="A311">
        <v>310</v>
      </c>
      <c r="E311">
        <v>29</v>
      </c>
      <c r="F311" s="1" t="s">
        <v>1521</v>
      </c>
      <c r="K311">
        <v>1.5</v>
      </c>
      <c r="L311" t="s">
        <v>135</v>
      </c>
    </row>
    <row r="312" spans="1:12" ht="51" x14ac:dyDescent="0.2">
      <c r="A312">
        <v>311</v>
      </c>
      <c r="E312">
        <v>71</v>
      </c>
      <c r="F312" s="1" t="s">
        <v>1526</v>
      </c>
      <c r="G312">
        <v>1</v>
      </c>
      <c r="L312" t="s">
        <v>117</v>
      </c>
    </row>
    <row r="313" spans="1:12" ht="136" x14ac:dyDescent="0.2">
      <c r="A313">
        <v>312</v>
      </c>
      <c r="E313">
        <v>80</v>
      </c>
      <c r="F313" s="1" t="s">
        <v>1530</v>
      </c>
      <c r="J313">
        <v>0.5</v>
      </c>
      <c r="L313" t="s">
        <v>135</v>
      </c>
    </row>
    <row r="314" spans="1:12" ht="34" x14ac:dyDescent="0.2">
      <c r="A314">
        <v>313</v>
      </c>
      <c r="E314">
        <v>68</v>
      </c>
      <c r="F314" s="1" t="s">
        <v>1534</v>
      </c>
      <c r="G314" t="s">
        <v>1535</v>
      </c>
      <c r="L314" t="s">
        <v>117</v>
      </c>
    </row>
    <row r="315" spans="1:12" ht="136" x14ac:dyDescent="0.2">
      <c r="A315">
        <v>314</v>
      </c>
      <c r="E315">
        <v>8</v>
      </c>
      <c r="F315" s="1" t="s">
        <v>1539</v>
      </c>
      <c r="I315" t="s">
        <v>1540</v>
      </c>
      <c r="L315" t="s">
        <v>128</v>
      </c>
    </row>
    <row r="316" spans="1:12" ht="51" x14ac:dyDescent="0.2">
      <c r="A316">
        <v>315</v>
      </c>
      <c r="E316">
        <v>70</v>
      </c>
      <c r="F316" s="1" t="s">
        <v>1544</v>
      </c>
      <c r="J316">
        <v>1</v>
      </c>
      <c r="L316" t="s">
        <v>135</v>
      </c>
    </row>
    <row r="317" spans="1:12" ht="68" x14ac:dyDescent="0.2">
      <c r="A317">
        <v>316</v>
      </c>
      <c r="E317">
        <v>11</v>
      </c>
      <c r="F317" s="1" t="s">
        <v>1548</v>
      </c>
      <c r="K317">
        <v>3</v>
      </c>
      <c r="L317" t="s">
        <v>135</v>
      </c>
    </row>
    <row r="318" spans="1:12" ht="102" x14ac:dyDescent="0.2">
      <c r="A318">
        <v>317</v>
      </c>
      <c r="E318">
        <v>90</v>
      </c>
      <c r="F318" s="1" t="s">
        <v>1552</v>
      </c>
      <c r="H318" t="s">
        <v>1553</v>
      </c>
      <c r="L318" t="s">
        <v>128</v>
      </c>
    </row>
    <row r="319" spans="1:12" ht="17" x14ac:dyDescent="0.2">
      <c r="A319">
        <v>318</v>
      </c>
      <c r="B319">
        <v>92</v>
      </c>
      <c r="D319">
        <v>1</v>
      </c>
      <c r="E319">
        <v>99</v>
      </c>
      <c r="F319" s="1" t="s">
        <v>1557</v>
      </c>
      <c r="L319" t="s">
        <v>123</v>
      </c>
    </row>
    <row r="320" spans="1:12" ht="34" x14ac:dyDescent="0.2">
      <c r="A320">
        <v>319</v>
      </c>
      <c r="B320">
        <v>9</v>
      </c>
      <c r="C320">
        <v>2</v>
      </c>
      <c r="E320">
        <v>0</v>
      </c>
      <c r="F320" s="1" t="s">
        <v>1561</v>
      </c>
      <c r="L320" t="s">
        <v>123</v>
      </c>
    </row>
    <row r="321" spans="1:12" ht="102" x14ac:dyDescent="0.2">
      <c r="A321">
        <v>320</v>
      </c>
      <c r="E321">
        <v>74</v>
      </c>
      <c r="F321" s="1" t="s">
        <v>1565</v>
      </c>
      <c r="H321">
        <v>2.4900000000000002</v>
      </c>
      <c r="L321" t="s">
        <v>128</v>
      </c>
    </row>
    <row r="322" spans="1:12" ht="136" x14ac:dyDescent="0.2">
      <c r="A322">
        <v>321</v>
      </c>
      <c r="E322">
        <v>60</v>
      </c>
      <c r="F322" s="1" t="s">
        <v>1570</v>
      </c>
      <c r="H322" t="s">
        <v>1571</v>
      </c>
      <c r="L322" t="s">
        <v>128</v>
      </c>
    </row>
    <row r="323" spans="1:12" ht="51" x14ac:dyDescent="0.2">
      <c r="A323">
        <v>322</v>
      </c>
      <c r="B323">
        <v>68</v>
      </c>
      <c r="D323">
        <v>0.2</v>
      </c>
      <c r="E323">
        <v>62</v>
      </c>
      <c r="F323" s="1" t="s">
        <v>1577</v>
      </c>
      <c r="L323" t="s">
        <v>123</v>
      </c>
    </row>
    <row r="324" spans="1:12" ht="34" x14ac:dyDescent="0.2">
      <c r="A324">
        <v>323</v>
      </c>
      <c r="E324">
        <v>59</v>
      </c>
      <c r="F324" s="1" t="s">
        <v>1584</v>
      </c>
      <c r="G324">
        <v>2</v>
      </c>
      <c r="L324" t="s">
        <v>117</v>
      </c>
    </row>
    <row r="325" spans="1:12" ht="51" x14ac:dyDescent="0.2">
      <c r="A325">
        <v>324</v>
      </c>
      <c r="E325">
        <v>19</v>
      </c>
      <c r="F325" s="1" t="s">
        <v>1589</v>
      </c>
      <c r="I325" t="s">
        <v>1590</v>
      </c>
      <c r="L325" t="s">
        <v>128</v>
      </c>
    </row>
    <row r="326" spans="1:12" ht="68" x14ac:dyDescent="0.2">
      <c r="A326">
        <v>325</v>
      </c>
      <c r="E326">
        <v>60</v>
      </c>
      <c r="F326" s="1" t="s">
        <v>1594</v>
      </c>
      <c r="J326">
        <v>10</v>
      </c>
      <c r="L326" t="s">
        <v>135</v>
      </c>
    </row>
    <row r="327" spans="1:12" ht="102" x14ac:dyDescent="0.2">
      <c r="A327">
        <v>326</v>
      </c>
      <c r="E327">
        <v>100</v>
      </c>
      <c r="F327" s="1" t="s">
        <v>1599</v>
      </c>
      <c r="G327" s="12">
        <v>0.33</v>
      </c>
      <c r="L327" t="s">
        <v>117</v>
      </c>
    </row>
    <row r="328" spans="1:12" ht="51" x14ac:dyDescent="0.2">
      <c r="A328">
        <v>327</v>
      </c>
      <c r="E328">
        <v>19</v>
      </c>
      <c r="F328" s="1" t="s">
        <v>1603</v>
      </c>
      <c r="K328">
        <v>0.5</v>
      </c>
      <c r="L328" t="s">
        <v>135</v>
      </c>
    </row>
    <row r="329" spans="1:12" ht="85" x14ac:dyDescent="0.2">
      <c r="A329">
        <v>328</v>
      </c>
      <c r="E329">
        <v>36</v>
      </c>
      <c r="F329" s="1" t="s">
        <v>1607</v>
      </c>
      <c r="I329">
        <v>0</v>
      </c>
      <c r="L329" t="s">
        <v>128</v>
      </c>
    </row>
    <row r="330" spans="1:12" ht="68" x14ac:dyDescent="0.2">
      <c r="A330">
        <v>329</v>
      </c>
      <c r="E330">
        <v>66</v>
      </c>
      <c r="F330" s="1" t="s">
        <v>1611</v>
      </c>
      <c r="J330">
        <v>1</v>
      </c>
      <c r="L330" t="s">
        <v>135</v>
      </c>
    </row>
    <row r="331" spans="1:12" ht="102" x14ac:dyDescent="0.2">
      <c r="A331">
        <v>330</v>
      </c>
      <c r="E331">
        <v>5</v>
      </c>
      <c r="F331" s="1" t="s">
        <v>1617</v>
      </c>
      <c r="G331">
        <v>2</v>
      </c>
      <c r="L331" t="s">
        <v>117</v>
      </c>
    </row>
    <row r="332" spans="1:12" ht="51" x14ac:dyDescent="0.2">
      <c r="A332">
        <v>331</v>
      </c>
      <c r="E332">
        <v>5</v>
      </c>
      <c r="F332" s="1" t="s">
        <v>1621</v>
      </c>
      <c r="K332">
        <v>1</v>
      </c>
      <c r="L332" t="s">
        <v>135</v>
      </c>
    </row>
    <row r="333" spans="1:12" ht="51" x14ac:dyDescent="0.2">
      <c r="A333">
        <v>332</v>
      </c>
      <c r="E333">
        <v>7</v>
      </c>
      <c r="F333" s="1" t="s">
        <v>1626</v>
      </c>
      <c r="G333">
        <v>2</v>
      </c>
      <c r="L333" t="s">
        <v>117</v>
      </c>
    </row>
    <row r="334" spans="1:12" ht="51" x14ac:dyDescent="0.2">
      <c r="A334">
        <v>333</v>
      </c>
      <c r="E334">
        <v>80</v>
      </c>
      <c r="F334" s="1" t="s">
        <v>1632</v>
      </c>
      <c r="G334">
        <v>0.5</v>
      </c>
      <c r="L334" t="s">
        <v>117</v>
      </c>
    </row>
    <row r="335" spans="1:12" ht="85" x14ac:dyDescent="0.2">
      <c r="A335">
        <v>334</v>
      </c>
      <c r="E335">
        <v>20</v>
      </c>
      <c r="F335" s="1" t="s">
        <v>1636</v>
      </c>
      <c r="G335">
        <v>2</v>
      </c>
      <c r="L335" t="s">
        <v>117</v>
      </c>
    </row>
    <row r="336" spans="1:12" ht="85" x14ac:dyDescent="0.2">
      <c r="A336">
        <v>335</v>
      </c>
      <c r="B336">
        <v>0</v>
      </c>
      <c r="C336">
        <v>3</v>
      </c>
      <c r="E336">
        <v>0</v>
      </c>
      <c r="F336" s="1" t="s">
        <v>1640</v>
      </c>
      <c r="L336" t="s">
        <v>123</v>
      </c>
    </row>
    <row r="337" spans="1:12" ht="85" x14ac:dyDescent="0.2">
      <c r="A337">
        <v>336</v>
      </c>
      <c r="B337">
        <v>60</v>
      </c>
      <c r="D337">
        <v>5</v>
      </c>
      <c r="E337">
        <v>65</v>
      </c>
      <c r="F337" s="1" t="s">
        <v>1644</v>
      </c>
      <c r="L337" t="s">
        <v>123</v>
      </c>
    </row>
    <row r="338" spans="1:12" ht="51" x14ac:dyDescent="0.2">
      <c r="A338">
        <v>337</v>
      </c>
      <c r="E338">
        <v>62</v>
      </c>
      <c r="F338" s="1" t="s">
        <v>1648</v>
      </c>
      <c r="G338">
        <v>1</v>
      </c>
      <c r="L338" t="s">
        <v>117</v>
      </c>
    </row>
    <row r="339" spans="1:12" ht="102" x14ac:dyDescent="0.2">
      <c r="A339">
        <v>338</v>
      </c>
      <c r="E339">
        <v>0</v>
      </c>
      <c r="F339" s="1" t="s">
        <v>1652</v>
      </c>
      <c r="I339" t="s">
        <v>1653</v>
      </c>
      <c r="L339" t="s">
        <v>128</v>
      </c>
    </row>
    <row r="340" spans="1:12" ht="51" x14ac:dyDescent="0.2">
      <c r="A340">
        <v>339</v>
      </c>
      <c r="E340">
        <v>91</v>
      </c>
      <c r="F340" s="1" t="s">
        <v>1658</v>
      </c>
      <c r="H340">
        <v>1</v>
      </c>
      <c r="L340" t="s">
        <v>128</v>
      </c>
    </row>
    <row r="341" spans="1:12" ht="17" x14ac:dyDescent="0.2">
      <c r="A341">
        <v>340</v>
      </c>
      <c r="E341">
        <v>84</v>
      </c>
      <c r="F341" s="1" t="s">
        <v>1662</v>
      </c>
      <c r="G341">
        <v>1.5</v>
      </c>
      <c r="L341" t="s">
        <v>117</v>
      </c>
    </row>
    <row r="342" spans="1:12" ht="68" x14ac:dyDescent="0.2">
      <c r="A342">
        <v>341</v>
      </c>
      <c r="E342">
        <v>20</v>
      </c>
      <c r="F342" s="1" t="s">
        <v>1666</v>
      </c>
      <c r="K342" t="s">
        <v>1667</v>
      </c>
      <c r="L342" t="s">
        <v>135</v>
      </c>
    </row>
    <row r="343" spans="1:12" ht="51" x14ac:dyDescent="0.2">
      <c r="A343">
        <v>342</v>
      </c>
      <c r="E343">
        <v>80</v>
      </c>
      <c r="F343" s="1" t="s">
        <v>1671</v>
      </c>
      <c r="G343">
        <v>4</v>
      </c>
      <c r="L343" t="s">
        <v>117</v>
      </c>
    </row>
    <row r="344" spans="1:12" ht="85" x14ac:dyDescent="0.2">
      <c r="A344">
        <v>343</v>
      </c>
      <c r="E344">
        <v>5</v>
      </c>
      <c r="F344" s="1" t="s">
        <v>1677</v>
      </c>
      <c r="K344">
        <v>5</v>
      </c>
      <c r="L344" t="s">
        <v>135</v>
      </c>
    </row>
    <row r="345" spans="1:12" ht="51" x14ac:dyDescent="0.2">
      <c r="A345">
        <v>344</v>
      </c>
      <c r="E345">
        <v>81</v>
      </c>
      <c r="F345" s="1" t="s">
        <v>1681</v>
      </c>
      <c r="G345">
        <v>1</v>
      </c>
      <c r="L345" t="s">
        <v>117</v>
      </c>
    </row>
    <row r="346" spans="1:12" ht="34" x14ac:dyDescent="0.2">
      <c r="A346">
        <v>345</v>
      </c>
      <c r="B346">
        <v>6</v>
      </c>
      <c r="C346" t="s">
        <v>1689</v>
      </c>
      <c r="E346">
        <v>5</v>
      </c>
      <c r="F346" s="1" t="s">
        <v>1690</v>
      </c>
      <c r="L346" t="s">
        <v>123</v>
      </c>
    </row>
    <row r="347" spans="1:12" ht="68" x14ac:dyDescent="0.2">
      <c r="A347">
        <v>346</v>
      </c>
      <c r="E347">
        <v>95</v>
      </c>
      <c r="F347" s="1" t="s">
        <v>1695</v>
      </c>
      <c r="J347">
        <v>1.1499999999999999</v>
      </c>
      <c r="L347" t="s">
        <v>135</v>
      </c>
    </row>
    <row r="348" spans="1:12" ht="136" x14ac:dyDescent="0.2">
      <c r="A348">
        <v>347</v>
      </c>
      <c r="B348">
        <v>0</v>
      </c>
      <c r="C348">
        <v>1.75</v>
      </c>
      <c r="E348">
        <v>10</v>
      </c>
      <c r="F348" s="1" t="s">
        <v>1699</v>
      </c>
      <c r="L348" t="s">
        <v>123</v>
      </c>
    </row>
    <row r="349" spans="1:12" ht="119" x14ac:dyDescent="0.2">
      <c r="A349">
        <v>348</v>
      </c>
      <c r="E349">
        <v>100</v>
      </c>
      <c r="F349" s="1" t="s">
        <v>1704</v>
      </c>
      <c r="H349">
        <v>1.2</v>
      </c>
      <c r="L349" t="s">
        <v>128</v>
      </c>
    </row>
    <row r="350" spans="1:12" ht="34" x14ac:dyDescent="0.2">
      <c r="A350">
        <v>349</v>
      </c>
      <c r="B350">
        <v>1</v>
      </c>
      <c r="C350">
        <v>4</v>
      </c>
      <c r="E350">
        <v>0</v>
      </c>
      <c r="F350" s="1" t="s">
        <v>1710</v>
      </c>
      <c r="L350" t="s">
        <v>123</v>
      </c>
    </row>
    <row r="351" spans="1:12" ht="102" x14ac:dyDescent="0.2">
      <c r="A351">
        <v>350</v>
      </c>
      <c r="E351">
        <v>8</v>
      </c>
      <c r="F351" s="1" t="s">
        <v>1714</v>
      </c>
      <c r="K351">
        <v>0.06</v>
      </c>
      <c r="L351" t="s">
        <v>135</v>
      </c>
    </row>
    <row r="352" spans="1:12" ht="34" x14ac:dyDescent="0.2">
      <c r="A352">
        <v>351</v>
      </c>
      <c r="B352">
        <v>23</v>
      </c>
      <c r="C352">
        <v>2</v>
      </c>
      <c r="E352">
        <v>20</v>
      </c>
      <c r="F352" s="1" t="s">
        <v>1718</v>
      </c>
      <c r="L352" t="s">
        <v>123</v>
      </c>
    </row>
    <row r="353" spans="1:12" ht="102" x14ac:dyDescent="0.2">
      <c r="A353">
        <v>352</v>
      </c>
      <c r="E353">
        <v>75</v>
      </c>
      <c r="F353" s="1" t="s">
        <v>1722</v>
      </c>
      <c r="G353">
        <v>3</v>
      </c>
      <c r="L353" t="s">
        <v>117</v>
      </c>
    </row>
    <row r="354" spans="1:12" ht="34" x14ac:dyDescent="0.2">
      <c r="A354">
        <v>353</v>
      </c>
      <c r="E354">
        <v>72</v>
      </c>
      <c r="F354" s="1" t="s">
        <v>1726</v>
      </c>
      <c r="H354" t="s">
        <v>1727</v>
      </c>
      <c r="L354" t="s">
        <v>128</v>
      </c>
    </row>
    <row r="355" spans="1:12" ht="34" x14ac:dyDescent="0.2">
      <c r="A355">
        <v>354</v>
      </c>
      <c r="E355">
        <v>31</v>
      </c>
      <c r="F355" s="1" t="s">
        <v>1731</v>
      </c>
      <c r="I355">
        <v>3</v>
      </c>
      <c r="L355" t="s">
        <v>128</v>
      </c>
    </row>
    <row r="356" spans="1:12" ht="68" x14ac:dyDescent="0.2">
      <c r="A356">
        <v>355</v>
      </c>
      <c r="B356">
        <v>40</v>
      </c>
      <c r="C356">
        <v>1</v>
      </c>
      <c r="E356">
        <v>35</v>
      </c>
      <c r="F356" s="1" t="s">
        <v>1738</v>
      </c>
      <c r="L356" t="s">
        <v>123</v>
      </c>
    </row>
    <row r="357" spans="1:12" ht="17" x14ac:dyDescent="0.2">
      <c r="A357">
        <v>356</v>
      </c>
      <c r="E357">
        <v>51</v>
      </c>
      <c r="F357" s="1" t="s">
        <v>1746</v>
      </c>
      <c r="H357">
        <v>2.9</v>
      </c>
      <c r="L357" t="s">
        <v>128</v>
      </c>
    </row>
    <row r="358" spans="1:12" ht="68" x14ac:dyDescent="0.2">
      <c r="A358">
        <v>357</v>
      </c>
      <c r="E358">
        <v>60</v>
      </c>
      <c r="F358" s="1" t="s">
        <v>1751</v>
      </c>
      <c r="H358">
        <v>1.5</v>
      </c>
      <c r="L358" t="s">
        <v>128</v>
      </c>
    </row>
    <row r="359" spans="1:12" ht="68" x14ac:dyDescent="0.2">
      <c r="A359">
        <v>358</v>
      </c>
      <c r="E359">
        <v>8</v>
      </c>
      <c r="F359" s="1" t="s">
        <v>1755</v>
      </c>
      <c r="K359">
        <v>1.5</v>
      </c>
      <c r="L359" t="s">
        <v>135</v>
      </c>
    </row>
    <row r="360" spans="1:12" ht="85" x14ac:dyDescent="0.2">
      <c r="A360">
        <v>359</v>
      </c>
      <c r="E360">
        <v>0</v>
      </c>
      <c r="F360" s="1" t="s">
        <v>1760</v>
      </c>
      <c r="G360">
        <v>1</v>
      </c>
      <c r="L360" t="s">
        <v>117</v>
      </c>
    </row>
    <row r="361" spans="1:12" ht="119" x14ac:dyDescent="0.2">
      <c r="A361">
        <v>360</v>
      </c>
      <c r="B361">
        <v>0</v>
      </c>
      <c r="C361">
        <v>5</v>
      </c>
      <c r="E361">
        <v>0</v>
      </c>
      <c r="F361" s="1" t="s">
        <v>1766</v>
      </c>
      <c r="L361" t="s">
        <v>123</v>
      </c>
    </row>
    <row r="362" spans="1:12" ht="85" x14ac:dyDescent="0.2">
      <c r="A362">
        <v>361</v>
      </c>
      <c r="E362">
        <v>30</v>
      </c>
      <c r="F362" s="1" t="s">
        <v>1772</v>
      </c>
      <c r="K362">
        <v>2</v>
      </c>
      <c r="L362" t="s">
        <v>135</v>
      </c>
    </row>
    <row r="363" spans="1:12" ht="85" x14ac:dyDescent="0.2">
      <c r="A363">
        <v>362</v>
      </c>
      <c r="E363">
        <v>30</v>
      </c>
      <c r="F363" s="1" t="s">
        <v>1776</v>
      </c>
      <c r="G363">
        <v>7</v>
      </c>
      <c r="L363" t="s">
        <v>117</v>
      </c>
    </row>
    <row r="364" spans="1:12" ht="51" x14ac:dyDescent="0.2">
      <c r="A364">
        <v>363</v>
      </c>
      <c r="E364">
        <v>100</v>
      </c>
      <c r="F364" s="1" t="s">
        <v>1781</v>
      </c>
      <c r="G364">
        <v>4</v>
      </c>
      <c r="L364" t="s">
        <v>117</v>
      </c>
    </row>
    <row r="365" spans="1:12" ht="51" x14ac:dyDescent="0.2">
      <c r="A365">
        <v>364</v>
      </c>
      <c r="B365">
        <v>20</v>
      </c>
      <c r="C365">
        <v>0.75</v>
      </c>
      <c r="E365">
        <v>30</v>
      </c>
      <c r="F365" s="1" t="s">
        <v>1786</v>
      </c>
      <c r="L365" t="s">
        <v>123</v>
      </c>
    </row>
    <row r="366" spans="1:12" ht="17" x14ac:dyDescent="0.2">
      <c r="A366">
        <v>365</v>
      </c>
      <c r="B366">
        <v>66</v>
      </c>
      <c r="D366">
        <v>2</v>
      </c>
      <c r="E366">
        <v>42</v>
      </c>
      <c r="F366" s="1" t="s">
        <v>1790</v>
      </c>
      <c r="L366" t="s">
        <v>123</v>
      </c>
    </row>
    <row r="367" spans="1:12" ht="34" x14ac:dyDescent="0.2">
      <c r="A367">
        <v>366</v>
      </c>
      <c r="E367">
        <v>58</v>
      </c>
      <c r="F367" s="1" t="s">
        <v>1795</v>
      </c>
      <c r="G367">
        <v>1</v>
      </c>
      <c r="L367" t="s">
        <v>117</v>
      </c>
    </row>
    <row r="368" spans="1:12" ht="85" x14ac:dyDescent="0.2">
      <c r="A368">
        <v>367</v>
      </c>
      <c r="E368">
        <v>99</v>
      </c>
      <c r="F368" s="1" t="s">
        <v>1799</v>
      </c>
      <c r="J368">
        <v>0.1</v>
      </c>
      <c r="L368" t="s">
        <v>135</v>
      </c>
    </row>
    <row r="369" spans="1:12" ht="51" x14ac:dyDescent="0.2">
      <c r="A369">
        <v>368</v>
      </c>
      <c r="E369">
        <v>80</v>
      </c>
      <c r="F369" s="1" t="s">
        <v>1803</v>
      </c>
      <c r="H369" t="s">
        <v>1804</v>
      </c>
      <c r="L369" t="s">
        <v>128</v>
      </c>
    </row>
    <row r="370" spans="1:12" ht="17" x14ac:dyDescent="0.2">
      <c r="A370">
        <v>369</v>
      </c>
      <c r="E370">
        <v>86</v>
      </c>
      <c r="F370" s="1" t="s">
        <v>1808</v>
      </c>
      <c r="H370">
        <v>1.9</v>
      </c>
      <c r="L370" t="s">
        <v>128</v>
      </c>
    </row>
    <row r="371" spans="1:12" ht="85" x14ac:dyDescent="0.2">
      <c r="A371">
        <v>370</v>
      </c>
      <c r="E371">
        <v>88</v>
      </c>
      <c r="F371" s="1" t="s">
        <v>1813</v>
      </c>
      <c r="H371">
        <v>1</v>
      </c>
      <c r="L371" t="s">
        <v>128</v>
      </c>
    </row>
    <row r="372" spans="1:12" ht="153" x14ac:dyDescent="0.2">
      <c r="A372">
        <v>371</v>
      </c>
      <c r="B372">
        <v>5</v>
      </c>
      <c r="C372">
        <v>2</v>
      </c>
      <c r="E372">
        <v>2</v>
      </c>
      <c r="F372" s="1" t="s">
        <v>1817</v>
      </c>
      <c r="L372" t="s">
        <v>123</v>
      </c>
    </row>
    <row r="373" spans="1:12" ht="68" x14ac:dyDescent="0.2">
      <c r="A373">
        <v>372</v>
      </c>
      <c r="E373">
        <v>51</v>
      </c>
      <c r="F373" s="1" t="s">
        <v>1822</v>
      </c>
      <c r="G373">
        <v>2</v>
      </c>
      <c r="L373" t="s">
        <v>117</v>
      </c>
    </row>
    <row r="374" spans="1:12" ht="17" x14ac:dyDescent="0.2">
      <c r="A374">
        <v>373</v>
      </c>
      <c r="E374">
        <v>37</v>
      </c>
      <c r="F374" s="1" t="s">
        <v>1827</v>
      </c>
      <c r="K374">
        <v>2</v>
      </c>
      <c r="L374" t="s">
        <v>135</v>
      </c>
    </row>
    <row r="375" spans="1:12" ht="102" x14ac:dyDescent="0.2">
      <c r="A375">
        <v>374</v>
      </c>
      <c r="E375">
        <v>0</v>
      </c>
      <c r="F375" s="1" t="s">
        <v>1831</v>
      </c>
      <c r="K375">
        <v>50</v>
      </c>
      <c r="L375" t="s">
        <v>135</v>
      </c>
    </row>
    <row r="376" spans="1:12" ht="68" x14ac:dyDescent="0.2">
      <c r="A376">
        <v>375</v>
      </c>
      <c r="E376">
        <v>97</v>
      </c>
      <c r="F376" s="1" t="s">
        <v>1835</v>
      </c>
      <c r="H376">
        <v>0.3</v>
      </c>
      <c r="L376" t="s">
        <v>128</v>
      </c>
    </row>
    <row r="377" spans="1:12" ht="68" x14ac:dyDescent="0.2">
      <c r="A377">
        <v>376</v>
      </c>
      <c r="E377">
        <v>53</v>
      </c>
      <c r="F377" s="1" t="s">
        <v>1840</v>
      </c>
      <c r="G377">
        <v>3</v>
      </c>
      <c r="L377" t="s">
        <v>117</v>
      </c>
    </row>
    <row r="378" spans="1:12" ht="34" x14ac:dyDescent="0.2">
      <c r="A378">
        <v>377</v>
      </c>
      <c r="E378">
        <v>70</v>
      </c>
      <c r="F378" s="1" t="s">
        <v>1845</v>
      </c>
      <c r="G378">
        <v>1.4999999999999999E-2</v>
      </c>
      <c r="L378" t="s">
        <v>117</v>
      </c>
    </row>
    <row r="379" spans="1:12" ht="17" x14ac:dyDescent="0.2">
      <c r="A379">
        <v>378</v>
      </c>
      <c r="B379">
        <v>62</v>
      </c>
      <c r="D379">
        <v>0.5</v>
      </c>
      <c r="E379">
        <v>37</v>
      </c>
      <c r="F379" s="1" t="s">
        <v>1849</v>
      </c>
      <c r="L379" t="s">
        <v>123</v>
      </c>
    </row>
    <row r="380" spans="1:12" ht="51" x14ac:dyDescent="0.2">
      <c r="A380">
        <v>379</v>
      </c>
      <c r="E380">
        <v>69</v>
      </c>
      <c r="F380" s="1" t="s">
        <v>1853</v>
      </c>
      <c r="J380">
        <v>1</v>
      </c>
      <c r="L380" t="s">
        <v>135</v>
      </c>
    </row>
    <row r="381" spans="1:12" ht="34" x14ac:dyDescent="0.2">
      <c r="A381">
        <v>380</v>
      </c>
      <c r="E381">
        <v>35</v>
      </c>
      <c r="F381" s="1" t="s">
        <v>1858</v>
      </c>
      <c r="G381">
        <v>2</v>
      </c>
      <c r="L381" t="s">
        <v>117</v>
      </c>
    </row>
    <row r="382" spans="1:12" ht="170" x14ac:dyDescent="0.2">
      <c r="A382">
        <v>381</v>
      </c>
      <c r="E382">
        <v>40</v>
      </c>
      <c r="F382" s="1" t="s">
        <v>1862</v>
      </c>
      <c r="K382">
        <v>2</v>
      </c>
      <c r="L382" t="s">
        <v>135</v>
      </c>
    </row>
    <row r="383" spans="1:12" ht="68" x14ac:dyDescent="0.2">
      <c r="A383">
        <v>382</v>
      </c>
      <c r="E383">
        <v>31</v>
      </c>
      <c r="F383" s="1" t="s">
        <v>1867</v>
      </c>
      <c r="I383">
        <v>5</v>
      </c>
      <c r="L383" t="s">
        <v>128</v>
      </c>
    </row>
    <row r="384" spans="1:12" ht="68" x14ac:dyDescent="0.2">
      <c r="A384">
        <v>383</v>
      </c>
      <c r="B384">
        <v>45</v>
      </c>
      <c r="C384">
        <v>0.2</v>
      </c>
      <c r="E384">
        <v>20</v>
      </c>
      <c r="F384" s="1" t="s">
        <v>1872</v>
      </c>
      <c r="L384" t="s">
        <v>123</v>
      </c>
    </row>
    <row r="385" spans="1:12" ht="68" x14ac:dyDescent="0.2">
      <c r="A385">
        <v>384</v>
      </c>
      <c r="B385">
        <v>17</v>
      </c>
      <c r="C385">
        <v>1.9</v>
      </c>
      <c r="E385">
        <v>15</v>
      </c>
      <c r="F385" s="1" t="s">
        <v>1876</v>
      </c>
      <c r="L385" t="s">
        <v>123</v>
      </c>
    </row>
    <row r="386" spans="1:12" ht="68" x14ac:dyDescent="0.2">
      <c r="A386">
        <v>385</v>
      </c>
      <c r="E386">
        <v>10</v>
      </c>
      <c r="F386" s="1" t="s">
        <v>1881</v>
      </c>
      <c r="K386">
        <v>1.5</v>
      </c>
      <c r="L386" t="s">
        <v>135</v>
      </c>
    </row>
    <row r="387" spans="1:12" ht="34" x14ac:dyDescent="0.2">
      <c r="A387">
        <v>386</v>
      </c>
      <c r="E387">
        <v>67</v>
      </c>
      <c r="F387" s="1" t="s">
        <v>1885</v>
      </c>
      <c r="H387">
        <v>1</v>
      </c>
      <c r="L387" t="s">
        <v>128</v>
      </c>
    </row>
    <row r="388" spans="1:12" ht="102" x14ac:dyDescent="0.2">
      <c r="A388">
        <v>387</v>
      </c>
      <c r="E388">
        <v>85</v>
      </c>
      <c r="F388" s="1" t="s">
        <v>1889</v>
      </c>
      <c r="H388">
        <v>1</v>
      </c>
      <c r="L388" t="s">
        <v>128</v>
      </c>
    </row>
    <row r="389" spans="1:12" ht="51" x14ac:dyDescent="0.2">
      <c r="A389">
        <v>388</v>
      </c>
      <c r="E389">
        <v>10</v>
      </c>
      <c r="F389" s="1" t="s">
        <v>1893</v>
      </c>
      <c r="K389">
        <v>1</v>
      </c>
      <c r="L389" t="s">
        <v>135</v>
      </c>
    </row>
    <row r="390" spans="1:12" ht="102" x14ac:dyDescent="0.2">
      <c r="A390">
        <v>389</v>
      </c>
      <c r="B390">
        <v>12</v>
      </c>
      <c r="C390">
        <v>3</v>
      </c>
      <c r="E390">
        <v>12</v>
      </c>
      <c r="F390" s="1" t="s">
        <v>1898</v>
      </c>
      <c r="L390" t="s">
        <v>123</v>
      </c>
    </row>
    <row r="391" spans="1:12" ht="85" x14ac:dyDescent="0.2">
      <c r="A391">
        <v>390</v>
      </c>
      <c r="E391">
        <v>85</v>
      </c>
      <c r="F391" s="1" t="s">
        <v>1902</v>
      </c>
      <c r="H391">
        <v>0.5</v>
      </c>
      <c r="L391" t="s">
        <v>128</v>
      </c>
    </row>
    <row r="392" spans="1:12" ht="68" x14ac:dyDescent="0.2">
      <c r="A392">
        <v>391</v>
      </c>
      <c r="E392">
        <v>30</v>
      </c>
      <c r="F392" s="1" t="s">
        <v>1906</v>
      </c>
      <c r="K392">
        <v>2.5</v>
      </c>
      <c r="L392" t="s">
        <v>135</v>
      </c>
    </row>
    <row r="393" spans="1:12" ht="85" x14ac:dyDescent="0.2">
      <c r="A393">
        <v>392</v>
      </c>
      <c r="E393">
        <v>75</v>
      </c>
      <c r="F393" s="1" t="s">
        <v>1911</v>
      </c>
      <c r="J393">
        <v>0.2</v>
      </c>
      <c r="L393" t="s">
        <v>135</v>
      </c>
    </row>
    <row r="394" spans="1:12" ht="136" x14ac:dyDescent="0.2">
      <c r="A394">
        <v>393</v>
      </c>
      <c r="B394">
        <v>50</v>
      </c>
      <c r="D394">
        <v>2</v>
      </c>
      <c r="E394">
        <v>50</v>
      </c>
      <c r="F394" s="1" t="s">
        <v>1915</v>
      </c>
      <c r="L394" t="s">
        <v>123</v>
      </c>
    </row>
    <row r="395" spans="1:12" ht="34" x14ac:dyDescent="0.2">
      <c r="A395">
        <v>394</v>
      </c>
      <c r="E395">
        <v>69</v>
      </c>
      <c r="F395" s="1" t="s">
        <v>1922</v>
      </c>
      <c r="J395" s="13">
        <v>1</v>
      </c>
      <c r="L395" t="s">
        <v>135</v>
      </c>
    </row>
    <row r="396" spans="1:12" ht="17" x14ac:dyDescent="0.2">
      <c r="A396">
        <v>395</v>
      </c>
      <c r="E396">
        <v>59</v>
      </c>
      <c r="F396" s="1" t="s">
        <v>1934</v>
      </c>
      <c r="J396">
        <v>1</v>
      </c>
      <c r="L396" t="s">
        <v>135</v>
      </c>
    </row>
    <row r="397" spans="1:12" ht="34" x14ac:dyDescent="0.2">
      <c r="A397">
        <v>396</v>
      </c>
      <c r="B397">
        <v>77</v>
      </c>
      <c r="D397" t="s">
        <v>1938</v>
      </c>
      <c r="E397">
        <v>90</v>
      </c>
      <c r="F397" s="1" t="s">
        <v>1939</v>
      </c>
      <c r="L397" t="s">
        <v>123</v>
      </c>
    </row>
    <row r="398" spans="1:12" ht="68" x14ac:dyDescent="0.2">
      <c r="A398">
        <v>397</v>
      </c>
      <c r="E398">
        <v>65</v>
      </c>
      <c r="F398" s="1" t="s">
        <v>1943</v>
      </c>
      <c r="G398">
        <v>2</v>
      </c>
      <c r="L398" t="s">
        <v>117</v>
      </c>
    </row>
    <row r="399" spans="1:12" ht="102" x14ac:dyDescent="0.2">
      <c r="A399">
        <v>398</v>
      </c>
      <c r="E399">
        <v>65</v>
      </c>
      <c r="F399" s="1" t="s">
        <v>1947</v>
      </c>
      <c r="G399" t="s">
        <v>1948</v>
      </c>
      <c r="L399" t="s">
        <v>117</v>
      </c>
    </row>
    <row r="400" spans="1:12" ht="34" x14ac:dyDescent="0.2">
      <c r="A400">
        <v>399</v>
      </c>
      <c r="E400">
        <v>81</v>
      </c>
      <c r="F400" s="1" t="s">
        <v>1952</v>
      </c>
      <c r="H400">
        <v>2</v>
      </c>
      <c r="L400" t="s">
        <v>128</v>
      </c>
    </row>
    <row r="401" spans="1:12" ht="187" x14ac:dyDescent="0.2">
      <c r="A401">
        <v>400</v>
      </c>
      <c r="E401">
        <v>0</v>
      </c>
      <c r="F401" s="1" t="s">
        <v>1956</v>
      </c>
      <c r="I401" t="s">
        <v>1957</v>
      </c>
      <c r="L401" t="s">
        <v>128</v>
      </c>
    </row>
    <row r="403" spans="1:12" x14ac:dyDescent="0.2">
      <c r="K403" t="s">
        <v>1997</v>
      </c>
      <c r="L403">
        <f>COUNTIF(L2:L401,"SmallEffectWithPrompt")</f>
        <v>101</v>
      </c>
    </row>
    <row r="404" spans="1:12" x14ac:dyDescent="0.2">
      <c r="K404" t="s">
        <v>1998</v>
      </c>
      <c r="L404">
        <f>COUNTIF(L2:L401,"SmallEffectNoPrompt")</f>
        <v>100</v>
      </c>
    </row>
    <row r="405" spans="1:12" x14ac:dyDescent="0.2">
      <c r="K405" t="s">
        <v>1999</v>
      </c>
      <c r="L405">
        <f>COUNTIF(L2:L401,"LargeEffectNoPrompt")</f>
        <v>99</v>
      </c>
    </row>
    <row r="406" spans="1:12" x14ac:dyDescent="0.2">
      <c r="K406" t="s">
        <v>2000</v>
      </c>
      <c r="L406">
        <f>COUNTIF(L2:L401,"NoEffectSize")</f>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00"/>
  <sheetViews>
    <sheetView tabSelected="1" topLeftCell="H396" workbookViewId="0">
      <selection activeCell="U406" sqref="U406"/>
    </sheetView>
  </sheetViews>
  <sheetFormatPr baseColWidth="10" defaultRowHeight="16" x14ac:dyDescent="0.2"/>
  <cols>
    <col min="3" max="3" width="56.1640625" style="1" customWidth="1"/>
    <col min="4" max="5" width="20.83203125" bestFit="1" customWidth="1"/>
    <col min="6" max="6" width="26.1640625" bestFit="1" customWidth="1"/>
    <col min="9" max="9" width="14.6640625" bestFit="1" customWidth="1"/>
  </cols>
  <sheetData>
    <row r="1" spans="1:21" ht="17" x14ac:dyDescent="0.2">
      <c r="A1" t="s">
        <v>1970</v>
      </c>
      <c r="B1" t="s">
        <v>1962</v>
      </c>
      <c r="C1" s="1" t="s">
        <v>1963</v>
      </c>
      <c r="D1" t="s">
        <v>1969</v>
      </c>
      <c r="E1" t="s">
        <v>1992</v>
      </c>
      <c r="F1" t="s">
        <v>1993</v>
      </c>
      <c r="G1" t="s">
        <v>1994</v>
      </c>
      <c r="H1" t="s">
        <v>1996</v>
      </c>
      <c r="I1" t="s">
        <v>1995</v>
      </c>
      <c r="K1" s="14" t="s">
        <v>2006</v>
      </c>
      <c r="L1" s="14" t="s">
        <v>2007</v>
      </c>
      <c r="M1" s="14" t="s">
        <v>2008</v>
      </c>
      <c r="N1" s="14" t="s">
        <v>2009</v>
      </c>
      <c r="O1" s="14" t="s">
        <v>2005</v>
      </c>
      <c r="R1" t="s">
        <v>2010</v>
      </c>
      <c r="S1" t="s">
        <v>2011</v>
      </c>
      <c r="T1" t="s">
        <v>2012</v>
      </c>
      <c r="U1" t="s">
        <v>2013</v>
      </c>
    </row>
    <row r="2" spans="1:21" ht="34" x14ac:dyDescent="0.2">
      <c r="A2">
        <v>1</v>
      </c>
      <c r="B2">
        <v>100</v>
      </c>
      <c r="C2" s="1" t="s">
        <v>115</v>
      </c>
      <c r="D2" t="s">
        <v>117</v>
      </c>
      <c r="E2">
        <v>1</v>
      </c>
      <c r="K2" s="15">
        <v>1</v>
      </c>
      <c r="L2" s="15"/>
      <c r="M2" s="15"/>
      <c r="N2" s="15"/>
      <c r="O2" s="15"/>
      <c r="R2">
        <f>IF(E2=K2,E2,"Disagree")</f>
        <v>1</v>
      </c>
      <c r="S2">
        <f>IF(F2=L2,F2,"Disagree")</f>
        <v>0</v>
      </c>
      <c r="T2">
        <f>IF(G2=M2,G2,"Disagree")</f>
        <v>0</v>
      </c>
      <c r="U2">
        <f>IF(H2=N2,H2,"Disagree")</f>
        <v>0</v>
      </c>
    </row>
    <row r="3" spans="1:21" ht="34" x14ac:dyDescent="0.2">
      <c r="A3">
        <v>2</v>
      </c>
      <c r="B3">
        <v>0</v>
      </c>
      <c r="C3" s="1" t="s">
        <v>121</v>
      </c>
      <c r="D3" t="s">
        <v>123</v>
      </c>
      <c r="I3">
        <v>1</v>
      </c>
      <c r="K3" s="15"/>
      <c r="L3" s="15"/>
      <c r="M3" s="15">
        <v>1</v>
      </c>
      <c r="N3" s="15"/>
      <c r="O3" s="15">
        <v>1</v>
      </c>
      <c r="R3">
        <f t="shared" ref="R3:R66" si="0">IF(E3=K3,E3,"Disagree")</f>
        <v>0</v>
      </c>
      <c r="S3">
        <f t="shared" ref="S3:S66" si="1">IF(F3=L3,F3,"Disagree")</f>
        <v>0</v>
      </c>
      <c r="T3" t="str">
        <f t="shared" ref="T3:T66" si="2">IF(G3=M3,G3,"Disagree")</f>
        <v>Disagree</v>
      </c>
      <c r="U3">
        <f t="shared" ref="U3:U66" si="3">IF(H3=N3,H3,"Disagree")</f>
        <v>0</v>
      </c>
    </row>
    <row r="4" spans="1:21" ht="34" x14ac:dyDescent="0.2">
      <c r="A4">
        <v>3</v>
      </c>
      <c r="B4">
        <v>81</v>
      </c>
      <c r="C4" s="1" t="s">
        <v>127</v>
      </c>
      <c r="D4" t="s">
        <v>128</v>
      </c>
      <c r="E4">
        <v>1</v>
      </c>
      <c r="K4" s="15">
        <v>1</v>
      </c>
      <c r="L4" s="15"/>
      <c r="M4" s="15"/>
      <c r="N4" s="15"/>
      <c r="O4" s="15"/>
      <c r="R4">
        <f t="shared" si="0"/>
        <v>1</v>
      </c>
      <c r="S4">
        <f t="shared" si="1"/>
        <v>0</v>
      </c>
      <c r="T4">
        <f t="shared" si="2"/>
        <v>0</v>
      </c>
      <c r="U4">
        <f t="shared" si="3"/>
        <v>0</v>
      </c>
    </row>
    <row r="5" spans="1:21" ht="51" x14ac:dyDescent="0.2">
      <c r="A5">
        <v>4</v>
      </c>
      <c r="B5">
        <v>18</v>
      </c>
      <c r="C5" s="1" t="s">
        <v>132</v>
      </c>
      <c r="D5" t="s">
        <v>135</v>
      </c>
      <c r="F5">
        <v>1</v>
      </c>
      <c r="K5" s="15"/>
      <c r="L5" s="15">
        <v>1</v>
      </c>
      <c r="M5" s="15">
        <v>1</v>
      </c>
      <c r="N5" s="15"/>
      <c r="O5" s="15"/>
      <c r="R5">
        <f t="shared" si="0"/>
        <v>0</v>
      </c>
      <c r="S5">
        <f t="shared" si="1"/>
        <v>1</v>
      </c>
      <c r="T5" t="str">
        <f t="shared" si="2"/>
        <v>Disagree</v>
      </c>
      <c r="U5">
        <f t="shared" si="3"/>
        <v>0</v>
      </c>
    </row>
    <row r="6" spans="1:21" ht="34" x14ac:dyDescent="0.2">
      <c r="A6">
        <v>5</v>
      </c>
      <c r="B6">
        <v>58</v>
      </c>
      <c r="C6" s="1" t="s">
        <v>139</v>
      </c>
      <c r="D6" t="s">
        <v>135</v>
      </c>
      <c r="F6">
        <v>1</v>
      </c>
      <c r="K6" s="15"/>
      <c r="L6" s="15">
        <v>1</v>
      </c>
      <c r="M6" s="15"/>
      <c r="N6" s="15"/>
      <c r="O6" s="15"/>
      <c r="R6">
        <f t="shared" si="0"/>
        <v>0</v>
      </c>
      <c r="S6">
        <f t="shared" si="1"/>
        <v>1</v>
      </c>
      <c r="T6">
        <f t="shared" si="2"/>
        <v>0</v>
      </c>
      <c r="U6">
        <f t="shared" si="3"/>
        <v>0</v>
      </c>
    </row>
    <row r="7" spans="1:21" ht="51" x14ac:dyDescent="0.2">
      <c r="A7">
        <v>6</v>
      </c>
      <c r="B7">
        <v>10</v>
      </c>
      <c r="C7" s="1" t="s">
        <v>143</v>
      </c>
      <c r="D7" t="s">
        <v>128</v>
      </c>
      <c r="K7" s="15"/>
      <c r="L7" s="15"/>
      <c r="M7" s="15"/>
      <c r="N7" s="15"/>
      <c r="O7" s="15"/>
      <c r="R7">
        <f t="shared" si="0"/>
        <v>0</v>
      </c>
      <c r="S7">
        <f t="shared" si="1"/>
        <v>0</v>
      </c>
      <c r="T7">
        <f t="shared" si="2"/>
        <v>0</v>
      </c>
      <c r="U7">
        <f t="shared" si="3"/>
        <v>0</v>
      </c>
    </row>
    <row r="8" spans="1:21" ht="34" x14ac:dyDescent="0.2">
      <c r="A8">
        <v>7</v>
      </c>
      <c r="B8">
        <v>41</v>
      </c>
      <c r="C8" s="1" t="s">
        <v>147</v>
      </c>
      <c r="D8" t="s">
        <v>117</v>
      </c>
      <c r="G8">
        <v>1</v>
      </c>
      <c r="K8" s="15"/>
      <c r="L8" s="15"/>
      <c r="M8" s="15">
        <v>1</v>
      </c>
      <c r="N8" s="15"/>
      <c r="O8" s="15"/>
      <c r="R8">
        <f t="shared" si="0"/>
        <v>0</v>
      </c>
      <c r="S8">
        <f t="shared" si="1"/>
        <v>0</v>
      </c>
      <c r="T8">
        <f t="shared" si="2"/>
        <v>1</v>
      </c>
      <c r="U8">
        <f t="shared" si="3"/>
        <v>0</v>
      </c>
    </row>
    <row r="9" spans="1:21" ht="17" x14ac:dyDescent="0.2">
      <c r="A9">
        <v>8</v>
      </c>
      <c r="B9">
        <v>70</v>
      </c>
      <c r="C9" s="1" t="s">
        <v>152</v>
      </c>
      <c r="D9" t="s">
        <v>123</v>
      </c>
      <c r="E9">
        <v>1</v>
      </c>
      <c r="K9" s="15"/>
      <c r="L9" s="15"/>
      <c r="M9" s="15"/>
      <c r="N9" s="15"/>
      <c r="O9" s="15"/>
      <c r="R9" t="str">
        <f t="shared" si="0"/>
        <v>Disagree</v>
      </c>
      <c r="S9">
        <f t="shared" si="1"/>
        <v>0</v>
      </c>
      <c r="T9">
        <f t="shared" si="2"/>
        <v>0</v>
      </c>
      <c r="U9">
        <f t="shared" si="3"/>
        <v>0</v>
      </c>
    </row>
    <row r="10" spans="1:21" ht="68" x14ac:dyDescent="0.2">
      <c r="A10">
        <v>9</v>
      </c>
      <c r="B10">
        <v>40</v>
      </c>
      <c r="C10" s="1" t="s">
        <v>156</v>
      </c>
      <c r="D10" t="s">
        <v>117</v>
      </c>
      <c r="K10" s="15">
        <v>1</v>
      </c>
      <c r="L10" s="15"/>
      <c r="M10" s="15"/>
      <c r="N10" s="15"/>
      <c r="O10" s="15"/>
      <c r="R10" t="str">
        <f t="shared" si="0"/>
        <v>Disagree</v>
      </c>
      <c r="S10">
        <f t="shared" si="1"/>
        <v>0</v>
      </c>
      <c r="T10">
        <f t="shared" si="2"/>
        <v>0</v>
      </c>
      <c r="U10">
        <f t="shared" si="3"/>
        <v>0</v>
      </c>
    </row>
    <row r="11" spans="1:21" ht="51" x14ac:dyDescent="0.2">
      <c r="A11">
        <v>10</v>
      </c>
      <c r="B11">
        <v>5</v>
      </c>
      <c r="C11" s="1" t="s">
        <v>163</v>
      </c>
      <c r="D11" t="s">
        <v>135</v>
      </c>
      <c r="F11">
        <v>1</v>
      </c>
      <c r="G11">
        <v>1</v>
      </c>
      <c r="K11" s="15"/>
      <c r="L11" s="15"/>
      <c r="M11" s="15"/>
      <c r="N11" s="15"/>
      <c r="O11" s="15"/>
      <c r="R11">
        <f t="shared" si="0"/>
        <v>0</v>
      </c>
      <c r="S11" t="str">
        <f t="shared" si="1"/>
        <v>Disagree</v>
      </c>
      <c r="T11" t="str">
        <f t="shared" si="2"/>
        <v>Disagree</v>
      </c>
      <c r="U11">
        <f t="shared" si="3"/>
        <v>0</v>
      </c>
    </row>
    <row r="12" spans="1:21" ht="34" x14ac:dyDescent="0.2">
      <c r="A12">
        <v>11</v>
      </c>
      <c r="B12">
        <v>23</v>
      </c>
      <c r="C12" s="1" t="s">
        <v>168</v>
      </c>
      <c r="D12" t="s">
        <v>123</v>
      </c>
      <c r="F12">
        <v>1</v>
      </c>
      <c r="G12">
        <v>1</v>
      </c>
      <c r="K12" s="15"/>
      <c r="L12" s="15">
        <v>1</v>
      </c>
      <c r="M12" s="15">
        <v>1</v>
      </c>
      <c r="N12" s="15"/>
      <c r="O12" s="15"/>
      <c r="R12">
        <f t="shared" si="0"/>
        <v>0</v>
      </c>
      <c r="S12">
        <f t="shared" si="1"/>
        <v>1</v>
      </c>
      <c r="T12">
        <f t="shared" si="2"/>
        <v>1</v>
      </c>
      <c r="U12">
        <f t="shared" si="3"/>
        <v>0</v>
      </c>
    </row>
    <row r="13" spans="1:21" ht="34" x14ac:dyDescent="0.2">
      <c r="A13">
        <v>12</v>
      </c>
      <c r="B13">
        <v>66</v>
      </c>
      <c r="C13" s="1" t="s">
        <v>172</v>
      </c>
      <c r="D13" t="s">
        <v>128</v>
      </c>
      <c r="E13">
        <v>1</v>
      </c>
      <c r="K13" s="15">
        <v>1</v>
      </c>
      <c r="L13" s="15"/>
      <c r="M13" s="15"/>
      <c r="N13" s="15"/>
      <c r="O13" s="15"/>
      <c r="R13">
        <f t="shared" si="0"/>
        <v>1</v>
      </c>
      <c r="S13">
        <f t="shared" si="1"/>
        <v>0</v>
      </c>
      <c r="T13">
        <f t="shared" si="2"/>
        <v>0</v>
      </c>
      <c r="U13">
        <f t="shared" si="3"/>
        <v>0</v>
      </c>
    </row>
    <row r="14" spans="1:21" ht="17" x14ac:dyDescent="0.2">
      <c r="A14">
        <v>13</v>
      </c>
      <c r="B14">
        <v>32</v>
      </c>
      <c r="C14" s="1" t="s">
        <v>177</v>
      </c>
      <c r="D14" t="s">
        <v>135</v>
      </c>
      <c r="F14">
        <v>1</v>
      </c>
      <c r="K14" s="15"/>
      <c r="L14" s="15">
        <v>1</v>
      </c>
      <c r="M14" s="15"/>
      <c r="N14" s="15"/>
      <c r="O14" s="15"/>
      <c r="R14">
        <f t="shared" si="0"/>
        <v>0</v>
      </c>
      <c r="S14">
        <f t="shared" si="1"/>
        <v>1</v>
      </c>
      <c r="T14">
        <f t="shared" si="2"/>
        <v>0</v>
      </c>
      <c r="U14">
        <f t="shared" si="3"/>
        <v>0</v>
      </c>
    </row>
    <row r="15" spans="1:21" ht="17" x14ac:dyDescent="0.2">
      <c r="A15">
        <v>14</v>
      </c>
      <c r="B15">
        <v>12</v>
      </c>
      <c r="C15" s="1" t="s">
        <v>181</v>
      </c>
      <c r="D15" t="s">
        <v>117</v>
      </c>
      <c r="G15">
        <v>1</v>
      </c>
      <c r="K15" s="15"/>
      <c r="L15" s="15"/>
      <c r="M15" s="15">
        <v>1</v>
      </c>
      <c r="N15" s="15"/>
      <c r="O15" s="15"/>
      <c r="R15">
        <f t="shared" si="0"/>
        <v>0</v>
      </c>
      <c r="S15">
        <f t="shared" si="1"/>
        <v>0</v>
      </c>
      <c r="T15">
        <f t="shared" si="2"/>
        <v>1</v>
      </c>
      <c r="U15">
        <f t="shared" si="3"/>
        <v>0</v>
      </c>
    </row>
    <row r="16" spans="1:21" ht="34" x14ac:dyDescent="0.2">
      <c r="A16">
        <v>15</v>
      </c>
      <c r="B16">
        <v>81</v>
      </c>
      <c r="C16" s="1" t="s">
        <v>185</v>
      </c>
      <c r="D16" t="s">
        <v>135</v>
      </c>
      <c r="K16" s="15"/>
      <c r="L16" s="15"/>
      <c r="M16" s="15">
        <v>1</v>
      </c>
      <c r="N16" s="15"/>
      <c r="O16" s="15"/>
      <c r="R16">
        <f t="shared" si="0"/>
        <v>0</v>
      </c>
      <c r="S16">
        <f t="shared" si="1"/>
        <v>0</v>
      </c>
      <c r="T16" t="str">
        <f t="shared" si="2"/>
        <v>Disagree</v>
      </c>
      <c r="U16">
        <f t="shared" si="3"/>
        <v>0</v>
      </c>
    </row>
    <row r="17" spans="1:21" ht="51" x14ac:dyDescent="0.2">
      <c r="A17">
        <v>16</v>
      </c>
      <c r="B17">
        <v>88</v>
      </c>
      <c r="C17" s="1" t="s">
        <v>189</v>
      </c>
      <c r="D17" t="s">
        <v>128</v>
      </c>
      <c r="E17">
        <v>1</v>
      </c>
      <c r="K17" s="15">
        <v>1</v>
      </c>
      <c r="L17" s="15"/>
      <c r="M17" s="15"/>
      <c r="N17" s="15"/>
      <c r="O17" s="15"/>
      <c r="R17">
        <f t="shared" si="0"/>
        <v>1</v>
      </c>
      <c r="S17">
        <f t="shared" si="1"/>
        <v>0</v>
      </c>
      <c r="T17">
        <f t="shared" si="2"/>
        <v>0</v>
      </c>
      <c r="U17">
        <f t="shared" si="3"/>
        <v>0</v>
      </c>
    </row>
    <row r="18" spans="1:21" ht="17" x14ac:dyDescent="0.2">
      <c r="A18">
        <v>17</v>
      </c>
      <c r="B18">
        <v>63</v>
      </c>
      <c r="C18" s="1" t="s">
        <v>193</v>
      </c>
      <c r="D18" t="s">
        <v>123</v>
      </c>
      <c r="K18" s="15"/>
      <c r="L18" s="15"/>
      <c r="M18" s="15"/>
      <c r="N18" s="15"/>
      <c r="O18" s="15"/>
      <c r="R18">
        <f t="shared" si="0"/>
        <v>0</v>
      </c>
      <c r="S18">
        <f t="shared" si="1"/>
        <v>0</v>
      </c>
      <c r="T18">
        <f t="shared" si="2"/>
        <v>0</v>
      </c>
      <c r="U18">
        <f t="shared" si="3"/>
        <v>0</v>
      </c>
    </row>
    <row r="19" spans="1:21" ht="17" x14ac:dyDescent="0.2">
      <c r="A19">
        <v>18</v>
      </c>
      <c r="B19">
        <v>16</v>
      </c>
      <c r="C19" s="1" t="s">
        <v>197</v>
      </c>
      <c r="D19" t="s">
        <v>135</v>
      </c>
      <c r="F19">
        <v>1</v>
      </c>
      <c r="K19" s="15"/>
      <c r="L19" s="15">
        <v>1</v>
      </c>
      <c r="M19" s="15"/>
      <c r="N19" s="15"/>
      <c r="O19" s="15"/>
      <c r="R19">
        <f t="shared" si="0"/>
        <v>0</v>
      </c>
      <c r="S19">
        <f t="shared" si="1"/>
        <v>1</v>
      </c>
      <c r="T19">
        <f t="shared" si="2"/>
        <v>0</v>
      </c>
      <c r="U19">
        <f t="shared" si="3"/>
        <v>0</v>
      </c>
    </row>
    <row r="20" spans="1:21" ht="34" x14ac:dyDescent="0.2">
      <c r="A20">
        <v>19</v>
      </c>
      <c r="B20">
        <v>65</v>
      </c>
      <c r="C20" s="1" t="s">
        <v>202</v>
      </c>
      <c r="D20" t="s">
        <v>123</v>
      </c>
      <c r="G20">
        <v>1</v>
      </c>
      <c r="K20" s="15"/>
      <c r="L20" s="15"/>
      <c r="M20" s="15">
        <v>1</v>
      </c>
      <c r="N20" s="15"/>
      <c r="O20" s="15"/>
      <c r="R20">
        <f t="shared" si="0"/>
        <v>0</v>
      </c>
      <c r="S20">
        <f t="shared" si="1"/>
        <v>0</v>
      </c>
      <c r="T20">
        <f t="shared" si="2"/>
        <v>1</v>
      </c>
      <c r="U20">
        <f t="shared" si="3"/>
        <v>0</v>
      </c>
    </row>
    <row r="21" spans="1:21" ht="34" x14ac:dyDescent="0.2">
      <c r="A21">
        <v>20</v>
      </c>
      <c r="B21">
        <v>19</v>
      </c>
      <c r="C21" s="1" t="s">
        <v>206</v>
      </c>
      <c r="D21" t="s">
        <v>128</v>
      </c>
      <c r="I21">
        <v>1</v>
      </c>
      <c r="K21" s="15"/>
      <c r="L21" s="15"/>
      <c r="M21" s="15"/>
      <c r="N21" s="15"/>
      <c r="O21" s="15">
        <v>1</v>
      </c>
      <c r="R21">
        <f t="shared" si="0"/>
        <v>0</v>
      </c>
      <c r="S21">
        <f t="shared" si="1"/>
        <v>0</v>
      </c>
      <c r="T21">
        <f t="shared" si="2"/>
        <v>0</v>
      </c>
      <c r="U21">
        <f t="shared" si="3"/>
        <v>0</v>
      </c>
    </row>
    <row r="22" spans="1:21" ht="34" x14ac:dyDescent="0.2">
      <c r="A22">
        <v>21</v>
      </c>
      <c r="B22">
        <v>10</v>
      </c>
      <c r="C22" s="1" t="s">
        <v>212</v>
      </c>
      <c r="D22" t="s">
        <v>123</v>
      </c>
      <c r="F22">
        <v>1</v>
      </c>
      <c r="K22" s="15"/>
      <c r="L22" s="15">
        <v>1</v>
      </c>
      <c r="M22" s="15"/>
      <c r="N22" s="15"/>
      <c r="O22" s="15"/>
      <c r="R22">
        <f t="shared" si="0"/>
        <v>0</v>
      </c>
      <c r="S22">
        <f t="shared" si="1"/>
        <v>1</v>
      </c>
      <c r="T22">
        <f t="shared" si="2"/>
        <v>0</v>
      </c>
      <c r="U22">
        <f t="shared" si="3"/>
        <v>0</v>
      </c>
    </row>
    <row r="23" spans="1:21" ht="51" x14ac:dyDescent="0.2">
      <c r="A23">
        <v>22</v>
      </c>
      <c r="B23">
        <v>17</v>
      </c>
      <c r="C23" s="1" t="s">
        <v>216</v>
      </c>
      <c r="D23" t="s">
        <v>135</v>
      </c>
      <c r="F23">
        <v>1</v>
      </c>
      <c r="G23">
        <v>1</v>
      </c>
      <c r="K23" s="15"/>
      <c r="L23" s="15">
        <v>1</v>
      </c>
      <c r="M23" s="15">
        <v>1</v>
      </c>
      <c r="N23" s="15"/>
      <c r="O23" s="15"/>
      <c r="R23">
        <f t="shared" si="0"/>
        <v>0</v>
      </c>
      <c r="S23">
        <f t="shared" si="1"/>
        <v>1</v>
      </c>
      <c r="T23">
        <f t="shared" si="2"/>
        <v>1</v>
      </c>
      <c r="U23">
        <f t="shared" si="3"/>
        <v>0</v>
      </c>
    </row>
    <row r="24" spans="1:21" ht="51" x14ac:dyDescent="0.2">
      <c r="A24">
        <v>23</v>
      </c>
      <c r="B24">
        <v>20</v>
      </c>
      <c r="C24" s="1" t="s">
        <v>224</v>
      </c>
      <c r="D24" t="s">
        <v>123</v>
      </c>
      <c r="F24">
        <v>1</v>
      </c>
      <c r="K24" s="15"/>
      <c r="L24" s="15">
        <v>1</v>
      </c>
      <c r="M24" s="15"/>
      <c r="N24" s="15"/>
      <c r="O24" s="15"/>
      <c r="R24">
        <f t="shared" si="0"/>
        <v>0</v>
      </c>
      <c r="S24">
        <f t="shared" si="1"/>
        <v>1</v>
      </c>
      <c r="T24">
        <f t="shared" si="2"/>
        <v>0</v>
      </c>
      <c r="U24">
        <f t="shared" si="3"/>
        <v>0</v>
      </c>
    </row>
    <row r="25" spans="1:21" ht="51" x14ac:dyDescent="0.2">
      <c r="A25">
        <v>24</v>
      </c>
      <c r="B25">
        <v>95</v>
      </c>
      <c r="C25" s="1" t="s">
        <v>228</v>
      </c>
      <c r="D25" t="s">
        <v>128</v>
      </c>
      <c r="E25">
        <v>1</v>
      </c>
      <c r="K25" s="15">
        <v>1</v>
      </c>
      <c r="L25" s="15"/>
      <c r="M25" s="15"/>
      <c r="N25" s="15"/>
      <c r="O25" s="15"/>
      <c r="R25">
        <f t="shared" si="0"/>
        <v>1</v>
      </c>
      <c r="S25">
        <f t="shared" si="1"/>
        <v>0</v>
      </c>
      <c r="T25">
        <f t="shared" si="2"/>
        <v>0</v>
      </c>
      <c r="U25">
        <f t="shared" si="3"/>
        <v>0</v>
      </c>
    </row>
    <row r="26" spans="1:21" ht="17" x14ac:dyDescent="0.2">
      <c r="A26">
        <v>25</v>
      </c>
      <c r="B26">
        <v>50</v>
      </c>
      <c r="C26" s="1" t="s">
        <v>232</v>
      </c>
      <c r="D26" t="s">
        <v>128</v>
      </c>
      <c r="E26">
        <v>1</v>
      </c>
      <c r="K26" s="15">
        <v>1</v>
      </c>
      <c r="L26" s="15"/>
      <c r="M26" s="15"/>
      <c r="N26" s="15"/>
      <c r="O26" s="15"/>
      <c r="R26">
        <f t="shared" si="0"/>
        <v>1</v>
      </c>
      <c r="S26">
        <f t="shared" si="1"/>
        <v>0</v>
      </c>
      <c r="T26">
        <f t="shared" si="2"/>
        <v>0</v>
      </c>
      <c r="U26">
        <f t="shared" si="3"/>
        <v>0</v>
      </c>
    </row>
    <row r="27" spans="1:21" ht="34" x14ac:dyDescent="0.2">
      <c r="A27">
        <v>26</v>
      </c>
      <c r="B27">
        <v>32</v>
      </c>
      <c r="C27" s="1" t="s">
        <v>236</v>
      </c>
      <c r="D27" t="s">
        <v>117</v>
      </c>
      <c r="K27" s="15"/>
      <c r="L27" s="15">
        <v>1</v>
      </c>
      <c r="M27" s="15"/>
      <c r="N27" s="15"/>
      <c r="O27" s="15"/>
      <c r="R27">
        <f t="shared" si="0"/>
        <v>0</v>
      </c>
      <c r="S27" t="str">
        <f t="shared" si="1"/>
        <v>Disagree</v>
      </c>
      <c r="T27">
        <f t="shared" si="2"/>
        <v>0</v>
      </c>
      <c r="U27">
        <f t="shared" si="3"/>
        <v>0</v>
      </c>
    </row>
    <row r="28" spans="1:21" ht="51" x14ac:dyDescent="0.2">
      <c r="A28">
        <v>27</v>
      </c>
      <c r="B28">
        <v>20</v>
      </c>
      <c r="C28" s="1" t="s">
        <v>240</v>
      </c>
      <c r="D28" t="s">
        <v>135</v>
      </c>
      <c r="F28">
        <v>1</v>
      </c>
      <c r="K28" s="15"/>
      <c r="L28" s="15">
        <v>1</v>
      </c>
      <c r="M28" s="15"/>
      <c r="N28" s="15"/>
      <c r="O28" s="15"/>
      <c r="R28">
        <f t="shared" si="0"/>
        <v>0</v>
      </c>
      <c r="S28">
        <f t="shared" si="1"/>
        <v>1</v>
      </c>
      <c r="T28">
        <f t="shared" si="2"/>
        <v>0</v>
      </c>
      <c r="U28">
        <f t="shared" si="3"/>
        <v>0</v>
      </c>
    </row>
    <row r="29" spans="1:21" ht="34" x14ac:dyDescent="0.2">
      <c r="A29">
        <v>28</v>
      </c>
      <c r="B29">
        <v>83</v>
      </c>
      <c r="C29" s="1" t="s">
        <v>245</v>
      </c>
      <c r="D29" t="s">
        <v>128</v>
      </c>
      <c r="E29">
        <v>1</v>
      </c>
      <c r="K29" s="15">
        <v>1</v>
      </c>
      <c r="L29" s="15"/>
      <c r="M29" s="15"/>
      <c r="N29" s="15"/>
      <c r="O29" s="15"/>
      <c r="R29">
        <f t="shared" si="0"/>
        <v>1</v>
      </c>
      <c r="S29">
        <f t="shared" si="1"/>
        <v>0</v>
      </c>
      <c r="T29">
        <f t="shared" si="2"/>
        <v>0</v>
      </c>
      <c r="U29">
        <f t="shared" si="3"/>
        <v>0</v>
      </c>
    </row>
    <row r="30" spans="1:21" ht="68" x14ac:dyDescent="0.2">
      <c r="A30">
        <v>29</v>
      </c>
      <c r="B30">
        <v>50</v>
      </c>
      <c r="C30" s="1" t="s">
        <v>250</v>
      </c>
      <c r="D30" t="s">
        <v>117</v>
      </c>
      <c r="G30">
        <v>1</v>
      </c>
      <c r="K30" s="15"/>
      <c r="L30" s="15"/>
      <c r="M30" s="15">
        <v>1</v>
      </c>
      <c r="N30" s="15"/>
      <c r="O30" s="15"/>
      <c r="R30">
        <f t="shared" si="0"/>
        <v>0</v>
      </c>
      <c r="S30">
        <f t="shared" si="1"/>
        <v>0</v>
      </c>
      <c r="T30">
        <f t="shared" si="2"/>
        <v>1</v>
      </c>
      <c r="U30">
        <f t="shared" si="3"/>
        <v>0</v>
      </c>
    </row>
    <row r="31" spans="1:21" ht="68" x14ac:dyDescent="0.2">
      <c r="A31">
        <v>30</v>
      </c>
      <c r="B31">
        <v>0</v>
      </c>
      <c r="C31" s="1" t="s">
        <v>255</v>
      </c>
      <c r="D31" t="s">
        <v>135</v>
      </c>
      <c r="I31">
        <v>1</v>
      </c>
      <c r="K31" s="15"/>
      <c r="L31" s="15"/>
      <c r="M31" s="15"/>
      <c r="N31" s="15"/>
      <c r="O31" s="15">
        <v>1</v>
      </c>
      <c r="R31">
        <f t="shared" si="0"/>
        <v>0</v>
      </c>
      <c r="S31">
        <f t="shared" si="1"/>
        <v>0</v>
      </c>
      <c r="T31">
        <f t="shared" si="2"/>
        <v>0</v>
      </c>
      <c r="U31">
        <f t="shared" si="3"/>
        <v>0</v>
      </c>
    </row>
    <row r="32" spans="1:21" ht="68" x14ac:dyDescent="0.2">
      <c r="A32">
        <v>31</v>
      </c>
      <c r="B32">
        <v>90</v>
      </c>
      <c r="C32" s="1" t="s">
        <v>259</v>
      </c>
      <c r="D32" t="s">
        <v>128</v>
      </c>
      <c r="E32">
        <v>1</v>
      </c>
      <c r="K32" s="15">
        <v>1</v>
      </c>
      <c r="L32" s="15"/>
      <c r="M32" s="15"/>
      <c r="N32" s="15"/>
      <c r="O32" s="15"/>
      <c r="R32">
        <f t="shared" si="0"/>
        <v>1</v>
      </c>
      <c r="S32">
        <f t="shared" si="1"/>
        <v>0</v>
      </c>
      <c r="T32">
        <f t="shared" si="2"/>
        <v>0</v>
      </c>
      <c r="U32">
        <f t="shared" si="3"/>
        <v>0</v>
      </c>
    </row>
    <row r="33" spans="1:21" ht="51" x14ac:dyDescent="0.2">
      <c r="A33">
        <v>32</v>
      </c>
      <c r="B33">
        <v>90</v>
      </c>
      <c r="C33" s="1" t="s">
        <v>263</v>
      </c>
      <c r="D33" t="s">
        <v>135</v>
      </c>
      <c r="K33" s="15">
        <v>1</v>
      </c>
      <c r="L33" s="15"/>
      <c r="M33" s="15"/>
      <c r="N33" s="15"/>
      <c r="O33" s="15"/>
      <c r="R33" t="str">
        <f t="shared" si="0"/>
        <v>Disagree</v>
      </c>
      <c r="S33">
        <f t="shared" si="1"/>
        <v>0</v>
      </c>
      <c r="T33">
        <f t="shared" si="2"/>
        <v>0</v>
      </c>
      <c r="U33">
        <f t="shared" si="3"/>
        <v>0</v>
      </c>
    </row>
    <row r="34" spans="1:21" ht="17" x14ac:dyDescent="0.2">
      <c r="A34">
        <v>33</v>
      </c>
      <c r="B34">
        <v>71</v>
      </c>
      <c r="C34" s="1" t="s">
        <v>267</v>
      </c>
      <c r="D34" t="s">
        <v>128</v>
      </c>
      <c r="E34">
        <v>1</v>
      </c>
      <c r="K34" s="15">
        <v>1</v>
      </c>
      <c r="L34" s="15"/>
      <c r="M34" s="15"/>
      <c r="N34" s="15"/>
      <c r="O34" s="15"/>
      <c r="R34">
        <f t="shared" si="0"/>
        <v>1</v>
      </c>
      <c r="S34">
        <f t="shared" si="1"/>
        <v>0</v>
      </c>
      <c r="T34">
        <f t="shared" si="2"/>
        <v>0</v>
      </c>
      <c r="U34">
        <f t="shared" si="3"/>
        <v>0</v>
      </c>
    </row>
    <row r="35" spans="1:21" ht="34" x14ac:dyDescent="0.2">
      <c r="A35">
        <v>34</v>
      </c>
      <c r="B35">
        <v>76</v>
      </c>
      <c r="C35" s="1" t="s">
        <v>273</v>
      </c>
      <c r="D35" t="s">
        <v>117</v>
      </c>
      <c r="K35" s="15">
        <v>1</v>
      </c>
      <c r="L35" s="15"/>
      <c r="M35" s="15"/>
      <c r="N35" s="15"/>
      <c r="O35" s="15"/>
      <c r="R35" t="str">
        <f t="shared" si="0"/>
        <v>Disagree</v>
      </c>
      <c r="S35">
        <f t="shared" si="1"/>
        <v>0</v>
      </c>
      <c r="T35">
        <f t="shared" si="2"/>
        <v>0</v>
      </c>
      <c r="U35">
        <f t="shared" si="3"/>
        <v>0</v>
      </c>
    </row>
    <row r="36" spans="1:21" ht="34" x14ac:dyDescent="0.2">
      <c r="A36">
        <v>35</v>
      </c>
      <c r="B36">
        <v>40</v>
      </c>
      <c r="C36" s="1" t="s">
        <v>277</v>
      </c>
      <c r="D36" t="s">
        <v>135</v>
      </c>
      <c r="F36">
        <v>1</v>
      </c>
      <c r="G36">
        <v>1</v>
      </c>
      <c r="K36" s="15"/>
      <c r="L36" s="15">
        <v>1</v>
      </c>
      <c r="M36" s="15">
        <v>1</v>
      </c>
      <c r="N36" s="15"/>
      <c r="O36" s="15"/>
      <c r="R36">
        <f t="shared" si="0"/>
        <v>0</v>
      </c>
      <c r="S36">
        <f t="shared" si="1"/>
        <v>1</v>
      </c>
      <c r="T36">
        <f t="shared" si="2"/>
        <v>1</v>
      </c>
      <c r="U36">
        <f t="shared" si="3"/>
        <v>0</v>
      </c>
    </row>
    <row r="37" spans="1:21" ht="51" x14ac:dyDescent="0.2">
      <c r="A37">
        <v>36</v>
      </c>
      <c r="B37">
        <v>70</v>
      </c>
      <c r="C37" s="1" t="s">
        <v>281</v>
      </c>
      <c r="D37" t="s">
        <v>117</v>
      </c>
      <c r="H37">
        <v>1</v>
      </c>
      <c r="K37" s="15"/>
      <c r="L37" s="15"/>
      <c r="M37" s="15"/>
      <c r="N37" s="15"/>
      <c r="O37" s="15">
        <v>1</v>
      </c>
      <c r="R37">
        <f t="shared" si="0"/>
        <v>0</v>
      </c>
      <c r="S37">
        <f t="shared" si="1"/>
        <v>0</v>
      </c>
      <c r="T37">
        <f t="shared" si="2"/>
        <v>0</v>
      </c>
      <c r="U37" t="str">
        <f t="shared" si="3"/>
        <v>Disagree</v>
      </c>
    </row>
    <row r="38" spans="1:21" ht="51" x14ac:dyDescent="0.2">
      <c r="A38">
        <v>37</v>
      </c>
      <c r="B38">
        <v>17</v>
      </c>
      <c r="C38" s="1" t="s">
        <v>285</v>
      </c>
      <c r="D38" t="s">
        <v>123</v>
      </c>
      <c r="F38">
        <v>1</v>
      </c>
      <c r="K38" s="15"/>
      <c r="L38" s="15">
        <v>1</v>
      </c>
      <c r="M38" s="15"/>
      <c r="N38" s="15"/>
      <c r="O38" s="15"/>
      <c r="R38">
        <f t="shared" si="0"/>
        <v>0</v>
      </c>
      <c r="S38">
        <f t="shared" si="1"/>
        <v>1</v>
      </c>
      <c r="T38">
        <f t="shared" si="2"/>
        <v>0</v>
      </c>
      <c r="U38">
        <f t="shared" si="3"/>
        <v>0</v>
      </c>
    </row>
    <row r="39" spans="1:21" ht="34" x14ac:dyDescent="0.2">
      <c r="A39">
        <v>38</v>
      </c>
      <c r="B39">
        <v>0</v>
      </c>
      <c r="C39" s="1" t="s">
        <v>289</v>
      </c>
      <c r="D39" t="s">
        <v>135</v>
      </c>
      <c r="F39">
        <v>1</v>
      </c>
      <c r="G39">
        <v>1</v>
      </c>
      <c r="K39" s="15"/>
      <c r="L39" s="15">
        <v>1</v>
      </c>
      <c r="M39" s="15">
        <v>1</v>
      </c>
      <c r="N39" s="15"/>
      <c r="O39" s="15"/>
      <c r="R39">
        <f t="shared" si="0"/>
        <v>0</v>
      </c>
      <c r="S39">
        <f t="shared" si="1"/>
        <v>1</v>
      </c>
      <c r="T39">
        <f t="shared" si="2"/>
        <v>1</v>
      </c>
      <c r="U39">
        <f t="shared" si="3"/>
        <v>0</v>
      </c>
    </row>
    <row r="40" spans="1:21" ht="34" x14ac:dyDescent="0.2">
      <c r="A40">
        <v>39</v>
      </c>
      <c r="B40">
        <v>30</v>
      </c>
      <c r="C40" s="1" t="s">
        <v>293</v>
      </c>
      <c r="D40" t="s">
        <v>128</v>
      </c>
      <c r="G40">
        <v>1</v>
      </c>
      <c r="K40" s="15">
        <v>1</v>
      </c>
      <c r="L40" s="15"/>
      <c r="M40" s="15"/>
      <c r="N40" s="15"/>
      <c r="O40" s="15"/>
      <c r="R40" t="str">
        <f t="shared" si="0"/>
        <v>Disagree</v>
      </c>
      <c r="S40">
        <f t="shared" si="1"/>
        <v>0</v>
      </c>
      <c r="T40" t="str">
        <f t="shared" si="2"/>
        <v>Disagree</v>
      </c>
      <c r="U40">
        <f t="shared" si="3"/>
        <v>0</v>
      </c>
    </row>
    <row r="41" spans="1:21" ht="34" x14ac:dyDescent="0.2">
      <c r="A41">
        <v>40</v>
      </c>
      <c r="B41">
        <v>20</v>
      </c>
      <c r="C41" s="1" t="s">
        <v>297</v>
      </c>
      <c r="D41" t="s">
        <v>123</v>
      </c>
      <c r="F41">
        <v>1</v>
      </c>
      <c r="K41" s="15"/>
      <c r="L41" s="15">
        <v>1</v>
      </c>
      <c r="M41" s="15"/>
      <c r="N41" s="15"/>
      <c r="O41" s="15"/>
      <c r="R41">
        <f t="shared" si="0"/>
        <v>0</v>
      </c>
      <c r="S41">
        <f t="shared" si="1"/>
        <v>1</v>
      </c>
      <c r="T41">
        <f t="shared" si="2"/>
        <v>0</v>
      </c>
      <c r="U41">
        <f t="shared" si="3"/>
        <v>0</v>
      </c>
    </row>
    <row r="42" spans="1:21" ht="34" x14ac:dyDescent="0.2">
      <c r="A42">
        <v>41</v>
      </c>
      <c r="B42">
        <v>0</v>
      </c>
      <c r="C42" s="1" t="s">
        <v>302</v>
      </c>
      <c r="D42" t="s">
        <v>123</v>
      </c>
      <c r="G42">
        <v>1</v>
      </c>
      <c r="K42" s="15"/>
      <c r="L42" s="15"/>
      <c r="M42" s="15">
        <v>1</v>
      </c>
      <c r="N42" s="15"/>
      <c r="O42" s="15"/>
      <c r="R42">
        <f t="shared" si="0"/>
        <v>0</v>
      </c>
      <c r="S42">
        <f t="shared" si="1"/>
        <v>0</v>
      </c>
      <c r="T42">
        <f t="shared" si="2"/>
        <v>1</v>
      </c>
      <c r="U42">
        <f t="shared" si="3"/>
        <v>0</v>
      </c>
    </row>
    <row r="43" spans="1:21" ht="34" x14ac:dyDescent="0.2">
      <c r="A43">
        <v>42</v>
      </c>
      <c r="B43">
        <v>67</v>
      </c>
      <c r="C43" s="1" t="s">
        <v>307</v>
      </c>
      <c r="D43" t="s">
        <v>117</v>
      </c>
      <c r="G43">
        <v>1</v>
      </c>
      <c r="K43" s="15">
        <v>1</v>
      </c>
      <c r="L43" s="15"/>
      <c r="M43" s="15">
        <v>1</v>
      </c>
      <c r="N43" s="15"/>
      <c r="O43" s="15"/>
      <c r="R43" t="str">
        <f t="shared" si="0"/>
        <v>Disagree</v>
      </c>
      <c r="S43">
        <f t="shared" si="1"/>
        <v>0</v>
      </c>
      <c r="T43">
        <f t="shared" si="2"/>
        <v>1</v>
      </c>
      <c r="U43">
        <f t="shared" si="3"/>
        <v>0</v>
      </c>
    </row>
    <row r="44" spans="1:21" ht="34" x14ac:dyDescent="0.2">
      <c r="A44">
        <v>43</v>
      </c>
      <c r="B44">
        <v>41</v>
      </c>
      <c r="C44" s="1" t="s">
        <v>314</v>
      </c>
      <c r="D44" t="s">
        <v>117</v>
      </c>
      <c r="G44">
        <v>1</v>
      </c>
      <c r="I44">
        <v>1</v>
      </c>
      <c r="K44" s="15"/>
      <c r="L44" s="15"/>
      <c r="M44" s="15">
        <v>1</v>
      </c>
      <c r="N44" s="15"/>
      <c r="O44" s="15"/>
      <c r="R44">
        <f t="shared" si="0"/>
        <v>0</v>
      </c>
      <c r="S44">
        <f t="shared" si="1"/>
        <v>0</v>
      </c>
      <c r="T44">
        <f t="shared" si="2"/>
        <v>1</v>
      </c>
      <c r="U44">
        <f t="shared" si="3"/>
        <v>0</v>
      </c>
    </row>
    <row r="45" spans="1:21" ht="51" x14ac:dyDescent="0.2">
      <c r="A45">
        <v>44</v>
      </c>
      <c r="B45">
        <v>10</v>
      </c>
      <c r="C45" s="1" t="s">
        <v>318</v>
      </c>
      <c r="D45" t="s">
        <v>117</v>
      </c>
      <c r="G45">
        <v>1</v>
      </c>
      <c r="I45">
        <v>1</v>
      </c>
      <c r="K45" s="15"/>
      <c r="L45" s="15"/>
      <c r="M45" s="15">
        <v>1</v>
      </c>
      <c r="N45" s="15"/>
      <c r="O45" s="15"/>
      <c r="R45">
        <f t="shared" si="0"/>
        <v>0</v>
      </c>
      <c r="S45">
        <f t="shared" si="1"/>
        <v>0</v>
      </c>
      <c r="T45">
        <f t="shared" si="2"/>
        <v>1</v>
      </c>
      <c r="U45">
        <f t="shared" si="3"/>
        <v>0</v>
      </c>
    </row>
    <row r="46" spans="1:21" ht="34" x14ac:dyDescent="0.2">
      <c r="A46">
        <v>45</v>
      </c>
      <c r="B46">
        <v>70</v>
      </c>
      <c r="C46" s="1" t="s">
        <v>322</v>
      </c>
      <c r="D46" t="s">
        <v>128</v>
      </c>
      <c r="K46" s="15">
        <v>1</v>
      </c>
      <c r="L46" s="15"/>
      <c r="M46" s="15"/>
      <c r="N46" s="15"/>
      <c r="O46" s="15"/>
      <c r="R46" t="str">
        <f t="shared" si="0"/>
        <v>Disagree</v>
      </c>
      <c r="S46">
        <f t="shared" si="1"/>
        <v>0</v>
      </c>
      <c r="T46">
        <f t="shared" si="2"/>
        <v>0</v>
      </c>
      <c r="U46">
        <f t="shared" si="3"/>
        <v>0</v>
      </c>
    </row>
    <row r="47" spans="1:21" ht="17" x14ac:dyDescent="0.2">
      <c r="A47">
        <v>46</v>
      </c>
      <c r="B47">
        <v>35</v>
      </c>
      <c r="C47" s="1" t="s">
        <v>326</v>
      </c>
      <c r="D47" t="s">
        <v>135</v>
      </c>
      <c r="F47">
        <v>1</v>
      </c>
      <c r="G47">
        <v>1</v>
      </c>
      <c r="K47" s="15"/>
      <c r="L47" s="15">
        <v>1</v>
      </c>
      <c r="M47" s="15">
        <v>1</v>
      </c>
      <c r="N47" s="15"/>
      <c r="O47" s="15"/>
      <c r="R47">
        <f t="shared" si="0"/>
        <v>0</v>
      </c>
      <c r="S47">
        <f t="shared" si="1"/>
        <v>1</v>
      </c>
      <c r="T47">
        <f t="shared" si="2"/>
        <v>1</v>
      </c>
      <c r="U47">
        <f t="shared" si="3"/>
        <v>0</v>
      </c>
    </row>
    <row r="48" spans="1:21" ht="34" x14ac:dyDescent="0.2">
      <c r="A48">
        <v>47</v>
      </c>
      <c r="B48">
        <v>65</v>
      </c>
      <c r="C48" s="1" t="s">
        <v>333</v>
      </c>
      <c r="D48" t="s">
        <v>117</v>
      </c>
      <c r="E48">
        <v>1</v>
      </c>
      <c r="K48" s="15">
        <v>1</v>
      </c>
      <c r="L48" s="15"/>
      <c r="M48" s="15"/>
      <c r="N48" s="15"/>
      <c r="O48" s="15"/>
      <c r="R48">
        <f t="shared" si="0"/>
        <v>1</v>
      </c>
      <c r="S48">
        <f t="shared" si="1"/>
        <v>0</v>
      </c>
      <c r="T48">
        <f t="shared" si="2"/>
        <v>0</v>
      </c>
      <c r="U48">
        <f t="shared" si="3"/>
        <v>0</v>
      </c>
    </row>
    <row r="49" spans="1:21" ht="34" x14ac:dyDescent="0.2">
      <c r="A49">
        <v>48</v>
      </c>
      <c r="B49">
        <v>70</v>
      </c>
      <c r="C49" s="1" t="s">
        <v>339</v>
      </c>
      <c r="D49" t="s">
        <v>117</v>
      </c>
      <c r="E49">
        <v>1</v>
      </c>
      <c r="K49" s="15">
        <v>1</v>
      </c>
      <c r="L49" s="15"/>
      <c r="M49" s="15"/>
      <c r="N49" s="15"/>
      <c r="O49" s="15"/>
      <c r="R49">
        <f t="shared" si="0"/>
        <v>1</v>
      </c>
      <c r="S49">
        <f t="shared" si="1"/>
        <v>0</v>
      </c>
      <c r="T49">
        <f t="shared" si="2"/>
        <v>0</v>
      </c>
      <c r="U49">
        <f t="shared" si="3"/>
        <v>0</v>
      </c>
    </row>
    <row r="50" spans="1:21" ht="34" x14ac:dyDescent="0.2">
      <c r="A50">
        <v>49</v>
      </c>
      <c r="B50">
        <v>8</v>
      </c>
      <c r="C50" s="1" t="s">
        <v>344</v>
      </c>
      <c r="D50" t="s">
        <v>123</v>
      </c>
      <c r="G50">
        <v>1</v>
      </c>
      <c r="K50" s="15"/>
      <c r="L50" s="15"/>
      <c r="M50" s="15">
        <v>1</v>
      </c>
      <c r="N50" s="15"/>
      <c r="O50" s="15"/>
      <c r="R50">
        <f t="shared" si="0"/>
        <v>0</v>
      </c>
      <c r="S50">
        <f t="shared" si="1"/>
        <v>0</v>
      </c>
      <c r="T50">
        <f t="shared" si="2"/>
        <v>1</v>
      </c>
      <c r="U50">
        <f t="shared" si="3"/>
        <v>0</v>
      </c>
    </row>
    <row r="51" spans="1:21" ht="34" x14ac:dyDescent="0.2">
      <c r="A51">
        <v>50</v>
      </c>
      <c r="B51">
        <v>100</v>
      </c>
      <c r="C51" s="1" t="s">
        <v>348</v>
      </c>
      <c r="D51" t="s">
        <v>117</v>
      </c>
      <c r="E51">
        <v>1</v>
      </c>
      <c r="K51" s="15">
        <v>1</v>
      </c>
      <c r="L51" s="15"/>
      <c r="M51" s="15"/>
      <c r="N51" s="15"/>
      <c r="O51" s="15"/>
      <c r="R51">
        <f t="shared" si="0"/>
        <v>1</v>
      </c>
      <c r="S51">
        <f t="shared" si="1"/>
        <v>0</v>
      </c>
      <c r="T51">
        <f t="shared" si="2"/>
        <v>0</v>
      </c>
      <c r="U51">
        <f t="shared" si="3"/>
        <v>0</v>
      </c>
    </row>
    <row r="52" spans="1:21" ht="51" x14ac:dyDescent="0.2">
      <c r="A52">
        <v>51</v>
      </c>
      <c r="B52">
        <v>0</v>
      </c>
      <c r="C52" s="1" t="s">
        <v>352</v>
      </c>
      <c r="D52" t="s">
        <v>117</v>
      </c>
      <c r="G52">
        <v>1</v>
      </c>
      <c r="K52" s="15"/>
      <c r="L52" s="15"/>
      <c r="M52" s="15">
        <v>1</v>
      </c>
      <c r="N52" s="15"/>
      <c r="O52" s="15"/>
      <c r="R52">
        <f t="shared" si="0"/>
        <v>0</v>
      </c>
      <c r="S52">
        <f t="shared" si="1"/>
        <v>0</v>
      </c>
      <c r="T52">
        <f t="shared" si="2"/>
        <v>1</v>
      </c>
      <c r="U52">
        <f t="shared" si="3"/>
        <v>0</v>
      </c>
    </row>
    <row r="53" spans="1:21" ht="51" x14ac:dyDescent="0.2">
      <c r="A53">
        <v>52</v>
      </c>
      <c r="B53">
        <v>30</v>
      </c>
      <c r="C53" s="1" t="s">
        <v>356</v>
      </c>
      <c r="D53" t="s">
        <v>135</v>
      </c>
      <c r="G53">
        <v>1</v>
      </c>
      <c r="K53" s="15"/>
      <c r="L53" s="15"/>
      <c r="M53" s="15">
        <v>1</v>
      </c>
      <c r="N53" s="15"/>
      <c r="O53" s="15"/>
      <c r="R53">
        <f t="shared" si="0"/>
        <v>0</v>
      </c>
      <c r="S53">
        <f t="shared" si="1"/>
        <v>0</v>
      </c>
      <c r="T53">
        <f t="shared" si="2"/>
        <v>1</v>
      </c>
      <c r="U53">
        <f t="shared" si="3"/>
        <v>0</v>
      </c>
    </row>
    <row r="54" spans="1:21" ht="17" x14ac:dyDescent="0.2">
      <c r="A54">
        <v>53</v>
      </c>
      <c r="B54">
        <v>31</v>
      </c>
      <c r="C54" s="1" t="s">
        <v>360</v>
      </c>
      <c r="D54" t="s">
        <v>128</v>
      </c>
      <c r="I54">
        <v>1</v>
      </c>
      <c r="K54" s="15"/>
      <c r="L54" s="15"/>
      <c r="M54" s="15"/>
      <c r="N54" s="15"/>
      <c r="O54" s="15">
        <v>1</v>
      </c>
      <c r="R54">
        <f t="shared" si="0"/>
        <v>0</v>
      </c>
      <c r="S54">
        <f t="shared" si="1"/>
        <v>0</v>
      </c>
      <c r="T54">
        <f t="shared" si="2"/>
        <v>0</v>
      </c>
      <c r="U54">
        <f t="shared" si="3"/>
        <v>0</v>
      </c>
    </row>
    <row r="55" spans="1:21" ht="34" x14ac:dyDescent="0.2">
      <c r="A55">
        <v>54</v>
      </c>
      <c r="B55">
        <v>12</v>
      </c>
      <c r="C55" s="1" t="s">
        <v>365</v>
      </c>
      <c r="D55" t="s">
        <v>123</v>
      </c>
      <c r="F55">
        <v>1</v>
      </c>
      <c r="G55">
        <v>1</v>
      </c>
      <c r="K55" s="15"/>
      <c r="L55" s="15">
        <v>1</v>
      </c>
      <c r="M55" s="15">
        <v>1</v>
      </c>
      <c r="N55" s="15"/>
      <c r="O55" s="15"/>
      <c r="R55">
        <f t="shared" si="0"/>
        <v>0</v>
      </c>
      <c r="S55">
        <f t="shared" si="1"/>
        <v>1</v>
      </c>
      <c r="T55">
        <f t="shared" si="2"/>
        <v>1</v>
      </c>
      <c r="U55">
        <f t="shared" si="3"/>
        <v>0</v>
      </c>
    </row>
    <row r="56" spans="1:21" ht="51" x14ac:dyDescent="0.2">
      <c r="A56">
        <v>55</v>
      </c>
      <c r="B56">
        <v>0</v>
      </c>
      <c r="C56" s="1" t="s">
        <v>369</v>
      </c>
      <c r="D56" t="s">
        <v>123</v>
      </c>
      <c r="F56">
        <v>1</v>
      </c>
      <c r="K56" s="15"/>
      <c r="L56" s="15">
        <v>1</v>
      </c>
      <c r="M56" s="15"/>
      <c r="N56" s="15"/>
      <c r="O56" s="15"/>
      <c r="R56">
        <f t="shared" si="0"/>
        <v>0</v>
      </c>
      <c r="S56">
        <f t="shared" si="1"/>
        <v>1</v>
      </c>
      <c r="T56">
        <f t="shared" si="2"/>
        <v>0</v>
      </c>
      <c r="U56">
        <f t="shared" si="3"/>
        <v>0</v>
      </c>
    </row>
    <row r="57" spans="1:21" ht="68" x14ac:dyDescent="0.2">
      <c r="A57">
        <v>56</v>
      </c>
      <c r="B57">
        <v>24</v>
      </c>
      <c r="C57" s="1" t="s">
        <v>373</v>
      </c>
      <c r="D57" t="s">
        <v>128</v>
      </c>
      <c r="I57">
        <v>1</v>
      </c>
      <c r="K57" s="15"/>
      <c r="L57" s="15"/>
      <c r="M57" s="15"/>
      <c r="N57" s="15"/>
      <c r="O57" s="15">
        <v>1</v>
      </c>
      <c r="R57">
        <f t="shared" si="0"/>
        <v>0</v>
      </c>
      <c r="S57">
        <f t="shared" si="1"/>
        <v>0</v>
      </c>
      <c r="T57">
        <f t="shared" si="2"/>
        <v>0</v>
      </c>
      <c r="U57">
        <f t="shared" si="3"/>
        <v>0</v>
      </c>
    </row>
    <row r="58" spans="1:21" ht="34" x14ac:dyDescent="0.2">
      <c r="A58">
        <v>57</v>
      </c>
      <c r="B58">
        <v>70</v>
      </c>
      <c r="C58" s="1" t="s">
        <v>378</v>
      </c>
      <c r="D58" t="s">
        <v>117</v>
      </c>
      <c r="G58">
        <v>1</v>
      </c>
      <c r="K58" s="15">
        <v>1</v>
      </c>
      <c r="L58" s="15"/>
      <c r="M58" s="15">
        <v>1</v>
      </c>
      <c r="N58" s="15"/>
      <c r="O58" s="15"/>
      <c r="R58" t="str">
        <f t="shared" si="0"/>
        <v>Disagree</v>
      </c>
      <c r="S58">
        <f t="shared" si="1"/>
        <v>0</v>
      </c>
      <c r="T58">
        <f t="shared" si="2"/>
        <v>1</v>
      </c>
      <c r="U58">
        <f t="shared" si="3"/>
        <v>0</v>
      </c>
    </row>
    <row r="59" spans="1:21" ht="34" x14ac:dyDescent="0.2">
      <c r="A59">
        <v>58</v>
      </c>
      <c r="B59">
        <v>40</v>
      </c>
      <c r="C59" s="1" t="s">
        <v>383</v>
      </c>
      <c r="D59" t="s">
        <v>128</v>
      </c>
      <c r="G59">
        <v>1</v>
      </c>
      <c r="K59" s="15"/>
      <c r="L59" s="15"/>
      <c r="M59" s="15">
        <v>1</v>
      </c>
      <c r="N59" s="15"/>
      <c r="O59" s="15"/>
      <c r="R59">
        <f t="shared" si="0"/>
        <v>0</v>
      </c>
      <c r="S59">
        <f t="shared" si="1"/>
        <v>0</v>
      </c>
      <c r="T59">
        <f t="shared" si="2"/>
        <v>1</v>
      </c>
      <c r="U59">
        <f t="shared" si="3"/>
        <v>0</v>
      </c>
    </row>
    <row r="60" spans="1:21" ht="17" x14ac:dyDescent="0.2">
      <c r="A60">
        <v>59</v>
      </c>
      <c r="B60">
        <v>7</v>
      </c>
      <c r="C60" s="1" t="s">
        <v>390</v>
      </c>
      <c r="D60" t="s">
        <v>123</v>
      </c>
      <c r="F60">
        <v>1</v>
      </c>
      <c r="G60">
        <v>1</v>
      </c>
      <c r="K60" s="15"/>
      <c r="L60" s="15">
        <v>1</v>
      </c>
      <c r="M60" s="15">
        <v>1</v>
      </c>
      <c r="N60" s="15"/>
      <c r="O60" s="15"/>
      <c r="R60">
        <f t="shared" si="0"/>
        <v>0</v>
      </c>
      <c r="S60">
        <f t="shared" si="1"/>
        <v>1</v>
      </c>
      <c r="T60">
        <f t="shared" si="2"/>
        <v>1</v>
      </c>
      <c r="U60">
        <f t="shared" si="3"/>
        <v>0</v>
      </c>
    </row>
    <row r="61" spans="1:21" ht="34" x14ac:dyDescent="0.2">
      <c r="A61">
        <v>60</v>
      </c>
      <c r="B61">
        <v>34</v>
      </c>
      <c r="C61" s="1" t="s">
        <v>394</v>
      </c>
      <c r="D61" t="s">
        <v>123</v>
      </c>
      <c r="G61">
        <v>1</v>
      </c>
      <c r="K61" s="15"/>
      <c r="L61" s="15"/>
      <c r="M61" s="15">
        <v>1</v>
      </c>
      <c r="N61" s="15"/>
      <c r="O61" s="15"/>
      <c r="R61">
        <f t="shared" si="0"/>
        <v>0</v>
      </c>
      <c r="S61">
        <f t="shared" si="1"/>
        <v>0</v>
      </c>
      <c r="T61">
        <f t="shared" si="2"/>
        <v>1</v>
      </c>
      <c r="U61">
        <f t="shared" si="3"/>
        <v>0</v>
      </c>
    </row>
    <row r="62" spans="1:21" ht="17" x14ac:dyDescent="0.2">
      <c r="A62">
        <v>61</v>
      </c>
      <c r="B62">
        <v>50</v>
      </c>
      <c r="C62" s="1" t="s">
        <v>398</v>
      </c>
      <c r="D62" t="s">
        <v>123</v>
      </c>
      <c r="K62" s="15"/>
      <c r="L62" s="15"/>
      <c r="M62" s="15"/>
      <c r="N62" s="15"/>
      <c r="O62" s="15"/>
      <c r="R62">
        <f t="shared" si="0"/>
        <v>0</v>
      </c>
      <c r="S62">
        <f t="shared" si="1"/>
        <v>0</v>
      </c>
      <c r="T62">
        <f t="shared" si="2"/>
        <v>0</v>
      </c>
      <c r="U62">
        <f t="shared" si="3"/>
        <v>0</v>
      </c>
    </row>
    <row r="63" spans="1:21" ht="34" x14ac:dyDescent="0.2">
      <c r="A63">
        <v>62</v>
      </c>
      <c r="B63">
        <v>63</v>
      </c>
      <c r="C63" s="1" t="s">
        <v>402</v>
      </c>
      <c r="D63" t="s">
        <v>117</v>
      </c>
      <c r="G63">
        <v>1</v>
      </c>
      <c r="K63" s="15"/>
      <c r="L63" s="15"/>
      <c r="M63" s="15">
        <v>1</v>
      </c>
      <c r="N63" s="15"/>
      <c r="O63" s="15"/>
      <c r="R63">
        <f t="shared" si="0"/>
        <v>0</v>
      </c>
      <c r="S63">
        <f t="shared" si="1"/>
        <v>0</v>
      </c>
      <c r="T63">
        <f t="shared" si="2"/>
        <v>1</v>
      </c>
      <c r="U63">
        <f t="shared" si="3"/>
        <v>0</v>
      </c>
    </row>
    <row r="64" spans="1:21" ht="17" x14ac:dyDescent="0.2">
      <c r="A64">
        <v>63</v>
      </c>
      <c r="B64">
        <v>58</v>
      </c>
      <c r="C64" s="1" t="s">
        <v>408</v>
      </c>
      <c r="D64" t="s">
        <v>117</v>
      </c>
      <c r="G64">
        <v>1</v>
      </c>
      <c r="I64">
        <v>1</v>
      </c>
      <c r="K64" s="15"/>
      <c r="L64" s="15">
        <v>1</v>
      </c>
      <c r="M64" s="15">
        <v>1</v>
      </c>
      <c r="N64" s="15"/>
      <c r="O64" s="15"/>
      <c r="R64">
        <f t="shared" si="0"/>
        <v>0</v>
      </c>
      <c r="S64" t="str">
        <f t="shared" si="1"/>
        <v>Disagree</v>
      </c>
      <c r="T64">
        <f t="shared" si="2"/>
        <v>1</v>
      </c>
      <c r="U64">
        <f t="shared" si="3"/>
        <v>0</v>
      </c>
    </row>
    <row r="65" spans="1:21" ht="102" x14ac:dyDescent="0.2">
      <c r="A65">
        <v>64</v>
      </c>
      <c r="B65">
        <v>0</v>
      </c>
      <c r="C65" s="1" t="s">
        <v>413</v>
      </c>
      <c r="D65" t="s">
        <v>128</v>
      </c>
      <c r="I65">
        <v>1</v>
      </c>
      <c r="K65" s="15"/>
      <c r="L65" s="15"/>
      <c r="M65" s="15"/>
      <c r="N65" s="15"/>
      <c r="O65" s="15">
        <v>1</v>
      </c>
      <c r="R65">
        <f t="shared" si="0"/>
        <v>0</v>
      </c>
      <c r="S65">
        <f t="shared" si="1"/>
        <v>0</v>
      </c>
      <c r="T65">
        <f t="shared" si="2"/>
        <v>0</v>
      </c>
      <c r="U65">
        <f t="shared" si="3"/>
        <v>0</v>
      </c>
    </row>
    <row r="66" spans="1:21" ht="34" x14ac:dyDescent="0.2">
      <c r="A66">
        <v>65</v>
      </c>
      <c r="B66">
        <v>3</v>
      </c>
      <c r="C66" s="1" t="s">
        <v>417</v>
      </c>
      <c r="D66" t="s">
        <v>117</v>
      </c>
      <c r="G66">
        <v>1</v>
      </c>
      <c r="K66" s="15"/>
      <c r="L66" s="15"/>
      <c r="M66" s="15">
        <v>1</v>
      </c>
      <c r="N66" s="15"/>
      <c r="O66" s="15"/>
      <c r="R66">
        <f t="shared" si="0"/>
        <v>0</v>
      </c>
      <c r="S66">
        <f t="shared" si="1"/>
        <v>0</v>
      </c>
      <c r="T66">
        <f t="shared" si="2"/>
        <v>1</v>
      </c>
      <c r="U66">
        <f t="shared" si="3"/>
        <v>0</v>
      </c>
    </row>
    <row r="67" spans="1:21" ht="51" x14ac:dyDescent="0.2">
      <c r="A67">
        <v>66</v>
      </c>
      <c r="B67">
        <v>62</v>
      </c>
      <c r="C67" s="1" t="s">
        <v>421</v>
      </c>
      <c r="D67" t="s">
        <v>135</v>
      </c>
      <c r="G67">
        <v>1</v>
      </c>
      <c r="K67" s="15">
        <v>1</v>
      </c>
      <c r="L67" s="15"/>
      <c r="M67" s="15">
        <v>1</v>
      </c>
      <c r="N67" s="15"/>
      <c r="O67" s="15"/>
      <c r="R67" t="str">
        <f t="shared" ref="R67:R130" si="4">IF(E67=K67,E67,"Disagree")</f>
        <v>Disagree</v>
      </c>
      <c r="S67">
        <f t="shared" ref="S67:S130" si="5">IF(F67=L67,F67,"Disagree")</f>
        <v>0</v>
      </c>
      <c r="T67">
        <f t="shared" ref="T67:T130" si="6">IF(G67=M67,G67,"Disagree")</f>
        <v>1</v>
      </c>
      <c r="U67">
        <f t="shared" ref="U67:U130" si="7">IF(H67=N67,H67,"Disagree")</f>
        <v>0</v>
      </c>
    </row>
    <row r="68" spans="1:21" ht="34" x14ac:dyDescent="0.2">
      <c r="A68">
        <v>67</v>
      </c>
      <c r="B68">
        <v>80</v>
      </c>
      <c r="C68" s="1" t="s">
        <v>425</v>
      </c>
      <c r="D68" t="s">
        <v>128</v>
      </c>
      <c r="I68">
        <v>1</v>
      </c>
      <c r="K68" s="15"/>
      <c r="L68" s="15"/>
      <c r="M68" s="15"/>
      <c r="N68" s="15"/>
      <c r="O68" s="15">
        <v>1</v>
      </c>
      <c r="R68">
        <f t="shared" si="4"/>
        <v>0</v>
      </c>
      <c r="S68">
        <f t="shared" si="5"/>
        <v>0</v>
      </c>
      <c r="T68">
        <f t="shared" si="6"/>
        <v>0</v>
      </c>
      <c r="U68">
        <f t="shared" si="7"/>
        <v>0</v>
      </c>
    </row>
    <row r="69" spans="1:21" ht="68" x14ac:dyDescent="0.2">
      <c r="A69">
        <v>68</v>
      </c>
      <c r="B69">
        <v>30</v>
      </c>
      <c r="C69" s="1" t="s">
        <v>429</v>
      </c>
      <c r="D69" t="s">
        <v>123</v>
      </c>
      <c r="F69">
        <v>1</v>
      </c>
      <c r="G69">
        <v>1</v>
      </c>
      <c r="K69" s="15"/>
      <c r="L69" s="15">
        <v>1</v>
      </c>
      <c r="M69" s="15">
        <v>1</v>
      </c>
      <c r="N69" s="15"/>
      <c r="O69" s="15"/>
      <c r="R69">
        <f t="shared" si="4"/>
        <v>0</v>
      </c>
      <c r="S69">
        <f t="shared" si="5"/>
        <v>1</v>
      </c>
      <c r="T69">
        <f t="shared" si="6"/>
        <v>1</v>
      </c>
      <c r="U69">
        <f t="shared" si="7"/>
        <v>0</v>
      </c>
    </row>
    <row r="70" spans="1:21" ht="17" x14ac:dyDescent="0.2">
      <c r="A70">
        <v>69</v>
      </c>
      <c r="B70">
        <v>0</v>
      </c>
      <c r="C70" s="1" t="s">
        <v>433</v>
      </c>
      <c r="D70" t="s">
        <v>128</v>
      </c>
      <c r="K70" s="15"/>
      <c r="L70" s="15"/>
      <c r="M70" s="15"/>
      <c r="N70" s="15"/>
      <c r="O70" s="15"/>
      <c r="R70">
        <f t="shared" si="4"/>
        <v>0</v>
      </c>
      <c r="S70">
        <f t="shared" si="5"/>
        <v>0</v>
      </c>
      <c r="T70">
        <f t="shared" si="6"/>
        <v>0</v>
      </c>
      <c r="U70">
        <f t="shared" si="7"/>
        <v>0</v>
      </c>
    </row>
    <row r="71" spans="1:21" ht="17" x14ac:dyDescent="0.2">
      <c r="A71">
        <v>70</v>
      </c>
      <c r="B71">
        <v>0</v>
      </c>
      <c r="C71" s="1" t="s">
        <v>437</v>
      </c>
      <c r="D71" t="s">
        <v>123</v>
      </c>
      <c r="G71">
        <v>1</v>
      </c>
      <c r="K71" s="15"/>
      <c r="L71" s="15"/>
      <c r="M71" s="15">
        <v>1</v>
      </c>
      <c r="N71" s="15"/>
      <c r="O71" s="15"/>
      <c r="R71">
        <f t="shared" si="4"/>
        <v>0</v>
      </c>
      <c r="S71">
        <f t="shared" si="5"/>
        <v>0</v>
      </c>
      <c r="T71">
        <f t="shared" si="6"/>
        <v>1</v>
      </c>
      <c r="U71">
        <f t="shared" si="7"/>
        <v>0</v>
      </c>
    </row>
    <row r="72" spans="1:21" ht="51" x14ac:dyDescent="0.2">
      <c r="A72">
        <v>71</v>
      </c>
      <c r="B72">
        <v>51</v>
      </c>
      <c r="C72" s="1" t="s">
        <v>441</v>
      </c>
      <c r="D72" t="s">
        <v>135</v>
      </c>
      <c r="E72">
        <v>1</v>
      </c>
      <c r="K72" s="15">
        <v>1</v>
      </c>
      <c r="L72" s="15"/>
      <c r="M72" s="15"/>
      <c r="N72" s="15"/>
      <c r="O72" s="15"/>
      <c r="R72">
        <f t="shared" si="4"/>
        <v>1</v>
      </c>
      <c r="S72">
        <f t="shared" si="5"/>
        <v>0</v>
      </c>
      <c r="T72">
        <f t="shared" si="6"/>
        <v>0</v>
      </c>
      <c r="U72">
        <f t="shared" si="7"/>
        <v>0</v>
      </c>
    </row>
    <row r="73" spans="1:21" ht="68" x14ac:dyDescent="0.2">
      <c r="A73">
        <v>72</v>
      </c>
      <c r="B73">
        <v>20</v>
      </c>
      <c r="C73" s="1" t="s">
        <v>445</v>
      </c>
      <c r="D73" t="s">
        <v>135</v>
      </c>
      <c r="E73">
        <v>1</v>
      </c>
      <c r="G73">
        <v>1</v>
      </c>
      <c r="K73" s="15">
        <v>1</v>
      </c>
      <c r="L73" s="15"/>
      <c r="M73" s="15">
        <v>1</v>
      </c>
      <c r="N73" s="15"/>
      <c r="O73" s="15"/>
      <c r="R73">
        <f t="shared" si="4"/>
        <v>1</v>
      </c>
      <c r="S73">
        <f t="shared" si="5"/>
        <v>0</v>
      </c>
      <c r="T73">
        <f t="shared" si="6"/>
        <v>1</v>
      </c>
      <c r="U73">
        <f t="shared" si="7"/>
        <v>0</v>
      </c>
    </row>
    <row r="74" spans="1:21" ht="17" x14ac:dyDescent="0.2">
      <c r="A74">
        <v>73</v>
      </c>
      <c r="B74">
        <v>20</v>
      </c>
      <c r="C74" s="1" t="s">
        <v>450</v>
      </c>
      <c r="D74" t="s">
        <v>123</v>
      </c>
      <c r="K74" s="15"/>
      <c r="L74" s="15"/>
      <c r="M74" s="15"/>
      <c r="N74" s="15"/>
      <c r="O74" s="15"/>
      <c r="R74">
        <f t="shared" si="4"/>
        <v>0</v>
      </c>
      <c r="S74">
        <f t="shared" si="5"/>
        <v>0</v>
      </c>
      <c r="T74">
        <f t="shared" si="6"/>
        <v>0</v>
      </c>
      <c r="U74">
        <f t="shared" si="7"/>
        <v>0</v>
      </c>
    </row>
    <row r="75" spans="1:21" ht="51" x14ac:dyDescent="0.2">
      <c r="A75">
        <v>74</v>
      </c>
      <c r="B75">
        <v>80</v>
      </c>
      <c r="C75" s="1" t="s">
        <v>456</v>
      </c>
      <c r="D75" t="s">
        <v>128</v>
      </c>
      <c r="K75" s="15">
        <v>1</v>
      </c>
      <c r="L75" s="15"/>
      <c r="M75" s="15"/>
      <c r="N75" s="15"/>
      <c r="O75" s="15"/>
      <c r="R75" t="str">
        <f t="shared" si="4"/>
        <v>Disagree</v>
      </c>
      <c r="S75">
        <f t="shared" si="5"/>
        <v>0</v>
      </c>
      <c r="T75">
        <f t="shared" si="6"/>
        <v>0</v>
      </c>
      <c r="U75">
        <f t="shared" si="7"/>
        <v>0</v>
      </c>
    </row>
    <row r="76" spans="1:21" ht="51" x14ac:dyDescent="0.2">
      <c r="A76">
        <v>75</v>
      </c>
      <c r="B76">
        <v>10</v>
      </c>
      <c r="C76" s="1" t="s">
        <v>460</v>
      </c>
      <c r="D76" t="s">
        <v>117</v>
      </c>
      <c r="G76">
        <v>1</v>
      </c>
      <c r="K76" s="15"/>
      <c r="L76" s="15"/>
      <c r="M76" s="15">
        <v>1</v>
      </c>
      <c r="N76" s="15"/>
      <c r="O76" s="15"/>
      <c r="R76">
        <f t="shared" si="4"/>
        <v>0</v>
      </c>
      <c r="S76">
        <f t="shared" si="5"/>
        <v>0</v>
      </c>
      <c r="T76">
        <f t="shared" si="6"/>
        <v>1</v>
      </c>
      <c r="U76">
        <f t="shared" si="7"/>
        <v>0</v>
      </c>
    </row>
    <row r="77" spans="1:21" ht="34" x14ac:dyDescent="0.2">
      <c r="A77">
        <v>76</v>
      </c>
      <c r="B77">
        <v>10</v>
      </c>
      <c r="C77" s="1" t="s">
        <v>464</v>
      </c>
      <c r="D77" t="s">
        <v>135</v>
      </c>
      <c r="F77">
        <v>1</v>
      </c>
      <c r="G77">
        <v>1</v>
      </c>
      <c r="K77" s="15"/>
      <c r="L77" s="15">
        <v>1</v>
      </c>
      <c r="M77" s="15">
        <v>1</v>
      </c>
      <c r="N77" s="15"/>
      <c r="O77" s="15"/>
      <c r="R77">
        <f t="shared" si="4"/>
        <v>0</v>
      </c>
      <c r="S77">
        <f t="shared" si="5"/>
        <v>1</v>
      </c>
      <c r="T77">
        <f t="shared" si="6"/>
        <v>1</v>
      </c>
      <c r="U77">
        <f t="shared" si="7"/>
        <v>0</v>
      </c>
    </row>
    <row r="78" spans="1:21" ht="51" x14ac:dyDescent="0.2">
      <c r="A78">
        <v>77</v>
      </c>
      <c r="B78">
        <v>75</v>
      </c>
      <c r="C78" s="1" t="s">
        <v>468</v>
      </c>
      <c r="D78" t="s">
        <v>128</v>
      </c>
      <c r="K78" s="15">
        <v>1</v>
      </c>
      <c r="L78" s="15"/>
      <c r="M78" s="15"/>
      <c r="N78" s="15"/>
      <c r="O78" s="15"/>
      <c r="R78" t="str">
        <f t="shared" si="4"/>
        <v>Disagree</v>
      </c>
      <c r="S78">
        <f t="shared" si="5"/>
        <v>0</v>
      </c>
      <c r="T78">
        <f t="shared" si="6"/>
        <v>0</v>
      </c>
      <c r="U78">
        <f t="shared" si="7"/>
        <v>0</v>
      </c>
    </row>
    <row r="79" spans="1:21" ht="51" x14ac:dyDescent="0.2">
      <c r="A79">
        <v>78</v>
      </c>
      <c r="B79">
        <v>40</v>
      </c>
      <c r="C79" s="1" t="s">
        <v>472</v>
      </c>
      <c r="D79" t="s">
        <v>117</v>
      </c>
      <c r="G79">
        <v>1</v>
      </c>
      <c r="K79" s="15"/>
      <c r="L79" s="15"/>
      <c r="M79" s="15">
        <v>1</v>
      </c>
      <c r="N79" s="15"/>
      <c r="O79" s="15"/>
      <c r="R79">
        <f t="shared" si="4"/>
        <v>0</v>
      </c>
      <c r="S79">
        <f t="shared" si="5"/>
        <v>0</v>
      </c>
      <c r="T79">
        <f t="shared" si="6"/>
        <v>1</v>
      </c>
      <c r="U79">
        <f t="shared" si="7"/>
        <v>0</v>
      </c>
    </row>
    <row r="80" spans="1:21" ht="68" x14ac:dyDescent="0.2">
      <c r="A80">
        <v>79</v>
      </c>
      <c r="B80">
        <v>10</v>
      </c>
      <c r="C80" s="1" t="s">
        <v>476</v>
      </c>
      <c r="D80" t="s">
        <v>135</v>
      </c>
      <c r="F80">
        <v>1</v>
      </c>
      <c r="G80">
        <v>1</v>
      </c>
      <c r="K80" s="15"/>
      <c r="L80" s="15">
        <v>1</v>
      </c>
      <c r="M80" s="15">
        <v>1</v>
      </c>
      <c r="N80" s="15"/>
      <c r="O80" s="15">
        <v>1</v>
      </c>
      <c r="R80">
        <f t="shared" si="4"/>
        <v>0</v>
      </c>
      <c r="S80">
        <f t="shared" si="5"/>
        <v>1</v>
      </c>
      <c r="T80">
        <f t="shared" si="6"/>
        <v>1</v>
      </c>
      <c r="U80">
        <f t="shared" si="7"/>
        <v>0</v>
      </c>
    </row>
    <row r="81" spans="1:21" ht="68" x14ac:dyDescent="0.2">
      <c r="A81">
        <v>80</v>
      </c>
      <c r="B81">
        <v>30</v>
      </c>
      <c r="C81" s="1" t="s">
        <v>480</v>
      </c>
      <c r="D81" t="s">
        <v>123</v>
      </c>
      <c r="G81">
        <v>1</v>
      </c>
      <c r="K81" s="15"/>
      <c r="L81" s="15"/>
      <c r="M81" s="15">
        <v>1</v>
      </c>
      <c r="N81" s="15"/>
      <c r="O81" s="15"/>
      <c r="R81">
        <f t="shared" si="4"/>
        <v>0</v>
      </c>
      <c r="S81">
        <f t="shared" si="5"/>
        <v>0</v>
      </c>
      <c r="T81">
        <f t="shared" si="6"/>
        <v>1</v>
      </c>
      <c r="U81">
        <f t="shared" si="7"/>
        <v>0</v>
      </c>
    </row>
    <row r="82" spans="1:21" ht="51" x14ac:dyDescent="0.2">
      <c r="A82">
        <v>81</v>
      </c>
      <c r="B82">
        <v>15</v>
      </c>
      <c r="C82" s="1" t="s">
        <v>484</v>
      </c>
      <c r="D82" t="s">
        <v>117</v>
      </c>
      <c r="G82">
        <v>1</v>
      </c>
      <c r="K82" s="15"/>
      <c r="L82" s="15"/>
      <c r="M82" s="15">
        <v>1</v>
      </c>
      <c r="N82" s="15"/>
      <c r="O82" s="15"/>
      <c r="R82">
        <f t="shared" si="4"/>
        <v>0</v>
      </c>
      <c r="S82">
        <f t="shared" si="5"/>
        <v>0</v>
      </c>
      <c r="T82">
        <f t="shared" si="6"/>
        <v>1</v>
      </c>
      <c r="U82">
        <f t="shared" si="7"/>
        <v>0</v>
      </c>
    </row>
    <row r="83" spans="1:21" ht="34" x14ac:dyDescent="0.2">
      <c r="A83">
        <v>82</v>
      </c>
      <c r="B83">
        <v>26</v>
      </c>
      <c r="C83" s="1" t="s">
        <v>488</v>
      </c>
      <c r="D83" t="s">
        <v>117</v>
      </c>
      <c r="K83" s="15"/>
      <c r="L83" s="15"/>
      <c r="M83" s="15"/>
      <c r="N83" s="15"/>
      <c r="O83" s="15"/>
      <c r="R83">
        <f t="shared" si="4"/>
        <v>0</v>
      </c>
      <c r="S83">
        <f t="shared" si="5"/>
        <v>0</v>
      </c>
      <c r="T83">
        <f t="shared" si="6"/>
        <v>0</v>
      </c>
      <c r="U83">
        <f t="shared" si="7"/>
        <v>0</v>
      </c>
    </row>
    <row r="84" spans="1:21" ht="85" x14ac:dyDescent="0.2">
      <c r="A84">
        <v>83</v>
      </c>
      <c r="B84">
        <v>21</v>
      </c>
      <c r="C84" s="1" t="s">
        <v>493</v>
      </c>
      <c r="D84" t="s">
        <v>128</v>
      </c>
      <c r="K84" s="15"/>
      <c r="L84" s="15">
        <v>1</v>
      </c>
      <c r="M84" s="15"/>
      <c r="N84" s="15"/>
      <c r="O84" s="15"/>
      <c r="R84">
        <f t="shared" si="4"/>
        <v>0</v>
      </c>
      <c r="S84" t="str">
        <f t="shared" si="5"/>
        <v>Disagree</v>
      </c>
      <c r="T84">
        <f t="shared" si="6"/>
        <v>0</v>
      </c>
      <c r="U84">
        <f t="shared" si="7"/>
        <v>0</v>
      </c>
    </row>
    <row r="85" spans="1:21" ht="17" x14ac:dyDescent="0.2">
      <c r="A85">
        <v>84</v>
      </c>
      <c r="B85">
        <v>50</v>
      </c>
      <c r="C85" s="1" t="s">
        <v>497</v>
      </c>
      <c r="D85" t="s">
        <v>135</v>
      </c>
      <c r="G85">
        <v>1</v>
      </c>
      <c r="K85" s="15"/>
      <c r="L85" s="15"/>
      <c r="M85" s="15">
        <v>1</v>
      </c>
      <c r="N85" s="15"/>
      <c r="O85" s="15"/>
      <c r="R85">
        <f t="shared" si="4"/>
        <v>0</v>
      </c>
      <c r="S85">
        <f t="shared" si="5"/>
        <v>0</v>
      </c>
      <c r="T85">
        <f t="shared" si="6"/>
        <v>1</v>
      </c>
      <c r="U85">
        <f t="shared" si="7"/>
        <v>0</v>
      </c>
    </row>
    <row r="86" spans="1:21" ht="68" x14ac:dyDescent="0.2">
      <c r="A86">
        <v>85</v>
      </c>
      <c r="B86">
        <v>90</v>
      </c>
      <c r="C86" s="1" t="s">
        <v>501</v>
      </c>
      <c r="D86" t="s">
        <v>128</v>
      </c>
      <c r="E86">
        <v>1</v>
      </c>
      <c r="K86" s="15">
        <v>1</v>
      </c>
      <c r="L86" s="15"/>
      <c r="M86" s="15"/>
      <c r="N86" s="15"/>
      <c r="O86" s="15"/>
      <c r="R86">
        <f t="shared" si="4"/>
        <v>1</v>
      </c>
      <c r="S86">
        <f t="shared" si="5"/>
        <v>0</v>
      </c>
      <c r="T86">
        <f t="shared" si="6"/>
        <v>0</v>
      </c>
      <c r="U86">
        <f t="shared" si="7"/>
        <v>0</v>
      </c>
    </row>
    <row r="87" spans="1:21" ht="51" x14ac:dyDescent="0.2">
      <c r="A87">
        <v>86</v>
      </c>
      <c r="B87">
        <v>66</v>
      </c>
      <c r="C87" s="1" t="s">
        <v>507</v>
      </c>
      <c r="D87" t="s">
        <v>128</v>
      </c>
      <c r="E87">
        <v>1</v>
      </c>
      <c r="K87" s="15">
        <v>1</v>
      </c>
      <c r="L87" s="15"/>
      <c r="M87" s="15"/>
      <c r="N87" s="15"/>
      <c r="O87" s="15"/>
      <c r="R87">
        <f t="shared" si="4"/>
        <v>1</v>
      </c>
      <c r="S87">
        <f t="shared" si="5"/>
        <v>0</v>
      </c>
      <c r="T87">
        <f t="shared" si="6"/>
        <v>0</v>
      </c>
      <c r="U87">
        <f t="shared" si="7"/>
        <v>0</v>
      </c>
    </row>
    <row r="88" spans="1:21" ht="85" x14ac:dyDescent="0.2">
      <c r="A88">
        <v>87</v>
      </c>
      <c r="B88">
        <v>35</v>
      </c>
      <c r="C88" s="1" t="s">
        <v>511</v>
      </c>
      <c r="D88" t="s">
        <v>123</v>
      </c>
      <c r="G88">
        <v>1</v>
      </c>
      <c r="K88" s="15"/>
      <c r="L88" s="15"/>
      <c r="M88" s="15">
        <v>1</v>
      </c>
      <c r="N88" s="15"/>
      <c r="O88" s="15"/>
      <c r="R88">
        <f t="shared" si="4"/>
        <v>0</v>
      </c>
      <c r="S88">
        <f t="shared" si="5"/>
        <v>0</v>
      </c>
      <c r="T88">
        <f t="shared" si="6"/>
        <v>1</v>
      </c>
      <c r="U88">
        <f t="shared" si="7"/>
        <v>0</v>
      </c>
    </row>
    <row r="89" spans="1:21" ht="51" x14ac:dyDescent="0.2">
      <c r="A89">
        <v>88</v>
      </c>
      <c r="B89">
        <v>80</v>
      </c>
      <c r="C89" s="1" t="s">
        <v>515</v>
      </c>
      <c r="D89" t="s">
        <v>123</v>
      </c>
      <c r="E89">
        <v>1</v>
      </c>
      <c r="K89" s="15">
        <v>1</v>
      </c>
      <c r="L89" s="15"/>
      <c r="M89" s="15"/>
      <c r="N89" s="15"/>
      <c r="O89" s="15"/>
      <c r="R89">
        <f t="shared" si="4"/>
        <v>1</v>
      </c>
      <c r="S89">
        <f t="shared" si="5"/>
        <v>0</v>
      </c>
      <c r="T89">
        <f t="shared" si="6"/>
        <v>0</v>
      </c>
      <c r="U89">
        <f t="shared" si="7"/>
        <v>0</v>
      </c>
    </row>
    <row r="90" spans="1:21" ht="17" x14ac:dyDescent="0.2">
      <c r="A90">
        <v>89</v>
      </c>
      <c r="B90">
        <v>0</v>
      </c>
      <c r="C90" s="1" t="s">
        <v>520</v>
      </c>
      <c r="D90" t="s">
        <v>123</v>
      </c>
      <c r="K90" s="15"/>
      <c r="L90" s="15"/>
      <c r="M90" s="15"/>
      <c r="N90" s="15"/>
      <c r="O90" s="15"/>
      <c r="R90">
        <f t="shared" si="4"/>
        <v>0</v>
      </c>
      <c r="S90">
        <f t="shared" si="5"/>
        <v>0</v>
      </c>
      <c r="T90">
        <f t="shared" si="6"/>
        <v>0</v>
      </c>
      <c r="U90">
        <f t="shared" si="7"/>
        <v>0</v>
      </c>
    </row>
    <row r="91" spans="1:21" ht="51" x14ac:dyDescent="0.2">
      <c r="A91">
        <v>90</v>
      </c>
      <c r="B91">
        <v>0</v>
      </c>
      <c r="C91" s="1" t="s">
        <v>524</v>
      </c>
      <c r="D91" t="s">
        <v>123</v>
      </c>
      <c r="G91">
        <v>1</v>
      </c>
      <c r="K91" s="15"/>
      <c r="L91" s="15"/>
      <c r="M91" s="15">
        <v>1</v>
      </c>
      <c r="N91" s="15"/>
      <c r="O91" s="15"/>
      <c r="R91">
        <f t="shared" si="4"/>
        <v>0</v>
      </c>
      <c r="S91">
        <f t="shared" si="5"/>
        <v>0</v>
      </c>
      <c r="T91">
        <f t="shared" si="6"/>
        <v>1</v>
      </c>
      <c r="U91">
        <f t="shared" si="7"/>
        <v>0</v>
      </c>
    </row>
    <row r="92" spans="1:21" ht="17" x14ac:dyDescent="0.2">
      <c r="A92">
        <v>91</v>
      </c>
      <c r="B92">
        <v>0</v>
      </c>
      <c r="C92" s="1" t="s">
        <v>528</v>
      </c>
      <c r="D92" t="s">
        <v>117</v>
      </c>
      <c r="K92" s="15"/>
      <c r="L92" s="15"/>
      <c r="M92" s="15"/>
      <c r="N92" s="15"/>
      <c r="O92" s="15"/>
      <c r="R92">
        <f t="shared" si="4"/>
        <v>0</v>
      </c>
      <c r="S92">
        <f t="shared" si="5"/>
        <v>0</v>
      </c>
      <c r="T92">
        <f t="shared" si="6"/>
        <v>0</v>
      </c>
      <c r="U92">
        <f t="shared" si="7"/>
        <v>0</v>
      </c>
    </row>
    <row r="93" spans="1:21" ht="34" x14ac:dyDescent="0.2">
      <c r="A93">
        <v>92</v>
      </c>
      <c r="B93">
        <v>40</v>
      </c>
      <c r="C93" s="1" t="s">
        <v>533</v>
      </c>
      <c r="D93" t="s">
        <v>123</v>
      </c>
      <c r="F93">
        <v>1</v>
      </c>
      <c r="G93">
        <v>1</v>
      </c>
      <c r="K93" s="15"/>
      <c r="L93" s="15">
        <v>1</v>
      </c>
      <c r="M93" s="15">
        <v>1</v>
      </c>
      <c r="N93" s="15"/>
      <c r="O93" s="15"/>
      <c r="R93">
        <f t="shared" si="4"/>
        <v>0</v>
      </c>
      <c r="S93">
        <f t="shared" si="5"/>
        <v>1</v>
      </c>
      <c r="T93">
        <f t="shared" si="6"/>
        <v>1</v>
      </c>
      <c r="U93">
        <f t="shared" si="7"/>
        <v>0</v>
      </c>
    </row>
    <row r="94" spans="1:21" ht="68" x14ac:dyDescent="0.2">
      <c r="A94">
        <v>93</v>
      </c>
      <c r="B94">
        <v>70</v>
      </c>
      <c r="C94" s="1" t="s">
        <v>542</v>
      </c>
      <c r="D94" t="s">
        <v>128</v>
      </c>
      <c r="K94" s="15">
        <v>1</v>
      </c>
      <c r="L94" s="15"/>
      <c r="M94" s="15"/>
      <c r="N94" s="15"/>
      <c r="O94" s="15"/>
      <c r="R94" t="str">
        <f t="shared" si="4"/>
        <v>Disagree</v>
      </c>
      <c r="S94">
        <f t="shared" si="5"/>
        <v>0</v>
      </c>
      <c r="T94">
        <f t="shared" si="6"/>
        <v>0</v>
      </c>
      <c r="U94">
        <f t="shared" si="7"/>
        <v>0</v>
      </c>
    </row>
    <row r="95" spans="1:21" ht="17" x14ac:dyDescent="0.2">
      <c r="A95">
        <v>94</v>
      </c>
      <c r="B95">
        <v>81</v>
      </c>
      <c r="C95" s="1" t="s">
        <v>546</v>
      </c>
      <c r="D95" t="s">
        <v>128</v>
      </c>
      <c r="E95">
        <v>1</v>
      </c>
      <c r="K95" s="15">
        <v>1</v>
      </c>
      <c r="L95" s="15"/>
      <c r="M95" s="15"/>
      <c r="N95" s="15"/>
      <c r="O95" s="15"/>
      <c r="R95">
        <f t="shared" si="4"/>
        <v>1</v>
      </c>
      <c r="S95">
        <f t="shared" si="5"/>
        <v>0</v>
      </c>
      <c r="T95">
        <f t="shared" si="6"/>
        <v>0</v>
      </c>
      <c r="U95">
        <f t="shared" si="7"/>
        <v>0</v>
      </c>
    </row>
    <row r="96" spans="1:21" ht="51" x14ac:dyDescent="0.2">
      <c r="A96">
        <v>95</v>
      </c>
      <c r="B96">
        <v>0</v>
      </c>
      <c r="C96" s="1" t="s">
        <v>551</v>
      </c>
      <c r="D96" t="s">
        <v>123</v>
      </c>
      <c r="F96">
        <v>1</v>
      </c>
      <c r="G96">
        <v>1</v>
      </c>
      <c r="K96" s="15"/>
      <c r="L96" s="15">
        <v>1</v>
      </c>
      <c r="M96" s="15"/>
      <c r="N96" s="15"/>
      <c r="O96" s="15"/>
      <c r="R96">
        <f t="shared" si="4"/>
        <v>0</v>
      </c>
      <c r="S96">
        <f t="shared" si="5"/>
        <v>1</v>
      </c>
      <c r="T96" t="str">
        <f t="shared" si="6"/>
        <v>Disagree</v>
      </c>
      <c r="U96">
        <f t="shared" si="7"/>
        <v>0</v>
      </c>
    </row>
    <row r="97" spans="1:21" ht="17" x14ac:dyDescent="0.2">
      <c r="A97">
        <v>96</v>
      </c>
      <c r="B97">
        <v>70</v>
      </c>
      <c r="C97" s="1" t="s">
        <v>555</v>
      </c>
      <c r="D97" t="s">
        <v>128</v>
      </c>
      <c r="K97" s="15">
        <v>1</v>
      </c>
      <c r="L97" s="15"/>
      <c r="M97" s="15"/>
      <c r="N97" s="15"/>
      <c r="O97" s="15"/>
      <c r="R97" t="str">
        <f t="shared" si="4"/>
        <v>Disagree</v>
      </c>
      <c r="S97">
        <f t="shared" si="5"/>
        <v>0</v>
      </c>
      <c r="T97">
        <f t="shared" si="6"/>
        <v>0</v>
      </c>
      <c r="U97">
        <f t="shared" si="7"/>
        <v>0</v>
      </c>
    </row>
    <row r="98" spans="1:21" ht="153" x14ac:dyDescent="0.2">
      <c r="A98">
        <v>97</v>
      </c>
      <c r="B98">
        <v>10</v>
      </c>
      <c r="C98" s="1" t="s">
        <v>560</v>
      </c>
      <c r="D98" t="s">
        <v>135</v>
      </c>
      <c r="F98">
        <v>1</v>
      </c>
      <c r="G98">
        <v>1</v>
      </c>
      <c r="I98">
        <v>1</v>
      </c>
      <c r="K98" s="15"/>
      <c r="L98" s="15">
        <v>1</v>
      </c>
      <c r="M98" s="15">
        <v>1</v>
      </c>
      <c r="N98" s="15"/>
      <c r="O98" s="15">
        <v>1</v>
      </c>
      <c r="R98">
        <f t="shared" si="4"/>
        <v>0</v>
      </c>
      <c r="S98">
        <f t="shared" si="5"/>
        <v>1</v>
      </c>
      <c r="T98">
        <f t="shared" si="6"/>
        <v>1</v>
      </c>
      <c r="U98">
        <f t="shared" si="7"/>
        <v>0</v>
      </c>
    </row>
    <row r="99" spans="1:21" ht="17" x14ac:dyDescent="0.2">
      <c r="A99">
        <v>98</v>
      </c>
      <c r="B99">
        <v>18</v>
      </c>
      <c r="C99" s="1" t="s">
        <v>565</v>
      </c>
      <c r="D99" t="s">
        <v>117</v>
      </c>
      <c r="K99" s="15"/>
      <c r="L99" s="15">
        <v>1</v>
      </c>
      <c r="M99" s="15"/>
      <c r="N99" s="15"/>
      <c r="O99" s="15"/>
      <c r="R99">
        <f t="shared" si="4"/>
        <v>0</v>
      </c>
      <c r="S99" t="str">
        <f t="shared" si="5"/>
        <v>Disagree</v>
      </c>
      <c r="T99">
        <f t="shared" si="6"/>
        <v>0</v>
      </c>
      <c r="U99">
        <f t="shared" si="7"/>
        <v>0</v>
      </c>
    </row>
    <row r="100" spans="1:21" ht="34" x14ac:dyDescent="0.2">
      <c r="A100">
        <v>99</v>
      </c>
      <c r="B100">
        <v>35</v>
      </c>
      <c r="C100" s="1" t="s">
        <v>569</v>
      </c>
      <c r="D100" t="s">
        <v>128</v>
      </c>
      <c r="K100" s="15"/>
      <c r="L100" s="15"/>
      <c r="M100" s="15"/>
      <c r="N100" s="15"/>
      <c r="O100" s="15">
        <v>1</v>
      </c>
      <c r="R100">
        <f t="shared" si="4"/>
        <v>0</v>
      </c>
      <c r="S100">
        <f t="shared" si="5"/>
        <v>0</v>
      </c>
      <c r="T100">
        <f t="shared" si="6"/>
        <v>0</v>
      </c>
      <c r="U100">
        <f t="shared" si="7"/>
        <v>0</v>
      </c>
    </row>
    <row r="101" spans="1:21" ht="51" x14ac:dyDescent="0.2">
      <c r="A101">
        <v>100</v>
      </c>
      <c r="B101">
        <v>86</v>
      </c>
      <c r="C101" s="1" t="s">
        <v>573</v>
      </c>
      <c r="D101" t="s">
        <v>135</v>
      </c>
      <c r="E101">
        <v>1</v>
      </c>
      <c r="K101" s="15">
        <v>1</v>
      </c>
      <c r="L101" s="15"/>
      <c r="M101" s="15"/>
      <c r="N101" s="15"/>
      <c r="O101" s="15"/>
      <c r="R101">
        <f t="shared" si="4"/>
        <v>1</v>
      </c>
      <c r="S101">
        <f t="shared" si="5"/>
        <v>0</v>
      </c>
      <c r="T101">
        <f t="shared" si="6"/>
        <v>0</v>
      </c>
      <c r="U101">
        <f t="shared" si="7"/>
        <v>0</v>
      </c>
    </row>
    <row r="102" spans="1:21" ht="34" x14ac:dyDescent="0.2">
      <c r="A102">
        <v>101</v>
      </c>
      <c r="B102">
        <v>55</v>
      </c>
      <c r="C102" s="1" t="s">
        <v>580</v>
      </c>
      <c r="D102" t="s">
        <v>135</v>
      </c>
      <c r="F102">
        <v>1</v>
      </c>
      <c r="G102">
        <v>1</v>
      </c>
      <c r="K102" s="15"/>
      <c r="L102" s="15">
        <v>1</v>
      </c>
      <c r="M102" s="15">
        <v>1</v>
      </c>
      <c r="N102" s="15"/>
      <c r="O102" s="15"/>
      <c r="R102">
        <f t="shared" si="4"/>
        <v>0</v>
      </c>
      <c r="S102">
        <f t="shared" si="5"/>
        <v>1</v>
      </c>
      <c r="T102">
        <f t="shared" si="6"/>
        <v>1</v>
      </c>
      <c r="U102">
        <f t="shared" si="7"/>
        <v>0</v>
      </c>
    </row>
    <row r="103" spans="1:21" ht="153" x14ac:dyDescent="0.2">
      <c r="A103">
        <v>102</v>
      </c>
      <c r="B103">
        <v>78</v>
      </c>
      <c r="C103" s="1" t="s">
        <v>584</v>
      </c>
      <c r="D103" t="s">
        <v>117</v>
      </c>
      <c r="E103">
        <v>1</v>
      </c>
      <c r="K103" s="15">
        <v>1</v>
      </c>
      <c r="L103" s="15"/>
      <c r="M103" s="15"/>
      <c r="N103" s="15"/>
      <c r="O103" s="15"/>
      <c r="R103">
        <f t="shared" si="4"/>
        <v>1</v>
      </c>
      <c r="S103">
        <f t="shared" si="5"/>
        <v>0</v>
      </c>
      <c r="T103">
        <f t="shared" si="6"/>
        <v>0</v>
      </c>
      <c r="U103">
        <f t="shared" si="7"/>
        <v>0</v>
      </c>
    </row>
    <row r="104" spans="1:21" ht="51" x14ac:dyDescent="0.2">
      <c r="A104">
        <v>103</v>
      </c>
      <c r="B104">
        <v>69</v>
      </c>
      <c r="C104" s="1" t="s">
        <v>589</v>
      </c>
      <c r="D104" t="s">
        <v>117</v>
      </c>
      <c r="E104">
        <v>1</v>
      </c>
      <c r="K104" s="15">
        <v>1</v>
      </c>
      <c r="L104" s="15"/>
      <c r="M104" s="15"/>
      <c r="N104" s="15"/>
      <c r="O104" s="15"/>
      <c r="R104">
        <f t="shared" si="4"/>
        <v>1</v>
      </c>
      <c r="S104">
        <f t="shared" si="5"/>
        <v>0</v>
      </c>
      <c r="T104">
        <f t="shared" si="6"/>
        <v>0</v>
      </c>
      <c r="U104">
        <f t="shared" si="7"/>
        <v>0</v>
      </c>
    </row>
    <row r="105" spans="1:21" ht="17" x14ac:dyDescent="0.2">
      <c r="A105">
        <v>104</v>
      </c>
      <c r="B105">
        <v>0</v>
      </c>
      <c r="C105" s="1" t="s">
        <v>594</v>
      </c>
      <c r="D105" t="s">
        <v>123</v>
      </c>
      <c r="F105">
        <v>1</v>
      </c>
      <c r="K105" s="15"/>
      <c r="L105" s="15">
        <v>1</v>
      </c>
      <c r="M105" s="15"/>
      <c r="N105" s="15"/>
      <c r="O105" s="15"/>
      <c r="R105">
        <f t="shared" si="4"/>
        <v>0</v>
      </c>
      <c r="S105">
        <f t="shared" si="5"/>
        <v>1</v>
      </c>
      <c r="T105">
        <f t="shared" si="6"/>
        <v>0</v>
      </c>
      <c r="U105">
        <f t="shared" si="7"/>
        <v>0</v>
      </c>
    </row>
    <row r="106" spans="1:21" ht="34" x14ac:dyDescent="0.2">
      <c r="A106">
        <v>105</v>
      </c>
      <c r="B106">
        <v>8</v>
      </c>
      <c r="C106" s="1" t="s">
        <v>598</v>
      </c>
      <c r="D106" t="s">
        <v>123</v>
      </c>
      <c r="G106">
        <v>1</v>
      </c>
      <c r="K106" s="15"/>
      <c r="L106" s="15">
        <v>1</v>
      </c>
      <c r="M106" s="15">
        <v>1</v>
      </c>
      <c r="N106" s="15"/>
      <c r="O106" s="15"/>
      <c r="R106">
        <f t="shared" si="4"/>
        <v>0</v>
      </c>
      <c r="S106" t="str">
        <f t="shared" si="5"/>
        <v>Disagree</v>
      </c>
      <c r="T106">
        <f t="shared" si="6"/>
        <v>1</v>
      </c>
      <c r="U106">
        <f t="shared" si="7"/>
        <v>0</v>
      </c>
    </row>
    <row r="107" spans="1:21" ht="17" x14ac:dyDescent="0.2">
      <c r="A107">
        <v>106</v>
      </c>
      <c r="B107">
        <v>55</v>
      </c>
      <c r="C107" s="1" t="s">
        <v>602</v>
      </c>
      <c r="D107" t="s">
        <v>135</v>
      </c>
      <c r="K107" s="15">
        <v>1</v>
      </c>
      <c r="L107" s="15"/>
      <c r="M107" s="15"/>
      <c r="N107" s="15"/>
      <c r="O107" s="15"/>
      <c r="R107" t="str">
        <f t="shared" si="4"/>
        <v>Disagree</v>
      </c>
      <c r="S107">
        <f t="shared" si="5"/>
        <v>0</v>
      </c>
      <c r="T107">
        <f t="shared" si="6"/>
        <v>0</v>
      </c>
      <c r="U107">
        <f t="shared" si="7"/>
        <v>0</v>
      </c>
    </row>
    <row r="108" spans="1:21" ht="51" x14ac:dyDescent="0.2">
      <c r="A108">
        <v>107</v>
      </c>
      <c r="B108">
        <v>10</v>
      </c>
      <c r="C108" s="1" t="s">
        <v>606</v>
      </c>
      <c r="D108" t="s">
        <v>117</v>
      </c>
      <c r="K108" s="15"/>
      <c r="L108" s="15">
        <v>1</v>
      </c>
      <c r="M108" s="15"/>
      <c r="N108" s="15"/>
      <c r="O108" s="15"/>
      <c r="R108">
        <f t="shared" si="4"/>
        <v>0</v>
      </c>
      <c r="S108" t="str">
        <f t="shared" si="5"/>
        <v>Disagree</v>
      </c>
      <c r="T108">
        <f t="shared" si="6"/>
        <v>0</v>
      </c>
      <c r="U108">
        <f t="shared" si="7"/>
        <v>0</v>
      </c>
    </row>
    <row r="109" spans="1:21" ht="17" x14ac:dyDescent="0.2">
      <c r="A109">
        <v>108</v>
      </c>
      <c r="B109">
        <v>0</v>
      </c>
      <c r="C109" s="1" t="s">
        <v>610</v>
      </c>
      <c r="D109" t="s">
        <v>135</v>
      </c>
      <c r="F109">
        <v>1</v>
      </c>
      <c r="G109">
        <v>1</v>
      </c>
      <c r="K109" s="15"/>
      <c r="L109" s="15">
        <v>1</v>
      </c>
      <c r="M109" s="15">
        <v>1</v>
      </c>
      <c r="N109" s="15"/>
      <c r="O109" s="15"/>
      <c r="R109">
        <f t="shared" si="4"/>
        <v>0</v>
      </c>
      <c r="S109">
        <f t="shared" si="5"/>
        <v>1</v>
      </c>
      <c r="T109">
        <f t="shared" si="6"/>
        <v>1</v>
      </c>
      <c r="U109">
        <f t="shared" si="7"/>
        <v>0</v>
      </c>
    </row>
    <row r="110" spans="1:21" ht="34" x14ac:dyDescent="0.2">
      <c r="A110">
        <v>109</v>
      </c>
      <c r="B110">
        <v>20</v>
      </c>
      <c r="C110" s="1" t="s">
        <v>616</v>
      </c>
      <c r="D110" t="s">
        <v>135</v>
      </c>
      <c r="F110">
        <v>1</v>
      </c>
      <c r="G110">
        <v>1</v>
      </c>
      <c r="K110" s="15"/>
      <c r="L110" s="15">
        <v>1</v>
      </c>
      <c r="M110" s="15">
        <v>1</v>
      </c>
      <c r="N110" s="15"/>
      <c r="O110" s="15"/>
      <c r="R110">
        <f t="shared" si="4"/>
        <v>0</v>
      </c>
      <c r="S110">
        <f t="shared" si="5"/>
        <v>1</v>
      </c>
      <c r="T110">
        <f t="shared" si="6"/>
        <v>1</v>
      </c>
      <c r="U110">
        <f t="shared" si="7"/>
        <v>0</v>
      </c>
    </row>
    <row r="111" spans="1:21" ht="51" x14ac:dyDescent="0.2">
      <c r="A111">
        <v>110</v>
      </c>
      <c r="B111">
        <v>58</v>
      </c>
      <c r="C111" s="1" t="s">
        <v>620</v>
      </c>
      <c r="D111" t="s">
        <v>123</v>
      </c>
      <c r="F111">
        <v>1</v>
      </c>
      <c r="K111" s="15">
        <v>1</v>
      </c>
      <c r="L111" s="15"/>
      <c r="M111" s="15"/>
      <c r="N111" s="15"/>
      <c r="O111" s="15"/>
      <c r="R111" t="str">
        <f t="shared" si="4"/>
        <v>Disagree</v>
      </c>
      <c r="S111" t="str">
        <f t="shared" si="5"/>
        <v>Disagree</v>
      </c>
      <c r="T111">
        <f t="shared" si="6"/>
        <v>0</v>
      </c>
      <c r="U111">
        <f t="shared" si="7"/>
        <v>0</v>
      </c>
    </row>
    <row r="112" spans="1:21" ht="51" x14ac:dyDescent="0.2">
      <c r="A112">
        <v>111</v>
      </c>
      <c r="B112">
        <v>10</v>
      </c>
      <c r="C112" s="1" t="s">
        <v>624</v>
      </c>
      <c r="D112" t="s">
        <v>135</v>
      </c>
      <c r="G112">
        <v>1</v>
      </c>
      <c r="I112">
        <v>1</v>
      </c>
      <c r="K112" s="15"/>
      <c r="L112" s="15"/>
      <c r="M112" s="15">
        <v>1</v>
      </c>
      <c r="N112" s="15"/>
      <c r="O112" s="15">
        <v>1</v>
      </c>
      <c r="R112">
        <f t="shared" si="4"/>
        <v>0</v>
      </c>
      <c r="S112">
        <f t="shared" si="5"/>
        <v>0</v>
      </c>
      <c r="T112">
        <f t="shared" si="6"/>
        <v>1</v>
      </c>
      <c r="U112">
        <f t="shared" si="7"/>
        <v>0</v>
      </c>
    </row>
    <row r="113" spans="1:21" ht="34" x14ac:dyDescent="0.2">
      <c r="A113">
        <v>112</v>
      </c>
      <c r="B113">
        <v>76</v>
      </c>
      <c r="C113" s="1" t="s">
        <v>629</v>
      </c>
      <c r="D113" t="s">
        <v>128</v>
      </c>
      <c r="K113" s="15">
        <v>1</v>
      </c>
      <c r="L113" s="15"/>
      <c r="M113" s="15"/>
      <c r="N113" s="15"/>
      <c r="O113" s="15"/>
      <c r="R113" t="str">
        <f t="shared" si="4"/>
        <v>Disagree</v>
      </c>
      <c r="S113">
        <f t="shared" si="5"/>
        <v>0</v>
      </c>
      <c r="T113">
        <f t="shared" si="6"/>
        <v>0</v>
      </c>
      <c r="U113">
        <f t="shared" si="7"/>
        <v>0</v>
      </c>
    </row>
    <row r="114" spans="1:21" ht="51" x14ac:dyDescent="0.2">
      <c r="A114">
        <v>113</v>
      </c>
      <c r="B114">
        <v>42</v>
      </c>
      <c r="C114" s="1" t="s">
        <v>633</v>
      </c>
      <c r="D114" t="s">
        <v>128</v>
      </c>
      <c r="G114">
        <v>1</v>
      </c>
      <c r="K114" s="15">
        <v>1</v>
      </c>
      <c r="L114" s="15"/>
      <c r="M114" s="15">
        <v>1</v>
      </c>
      <c r="N114" s="15"/>
      <c r="O114" s="15"/>
      <c r="R114" t="str">
        <f t="shared" si="4"/>
        <v>Disagree</v>
      </c>
      <c r="S114">
        <f t="shared" si="5"/>
        <v>0</v>
      </c>
      <c r="T114">
        <f t="shared" si="6"/>
        <v>1</v>
      </c>
      <c r="U114">
        <f t="shared" si="7"/>
        <v>0</v>
      </c>
    </row>
    <row r="115" spans="1:21" ht="17" x14ac:dyDescent="0.2">
      <c r="A115">
        <v>114</v>
      </c>
      <c r="B115">
        <v>0</v>
      </c>
      <c r="C115" s="1" t="s">
        <v>638</v>
      </c>
      <c r="D115" t="s">
        <v>117</v>
      </c>
      <c r="K115" s="15"/>
      <c r="L115" s="15"/>
      <c r="M115" s="15"/>
      <c r="N115" s="15"/>
      <c r="O115" s="15"/>
      <c r="R115">
        <f t="shared" si="4"/>
        <v>0</v>
      </c>
      <c r="S115">
        <f t="shared" si="5"/>
        <v>0</v>
      </c>
      <c r="T115">
        <f t="shared" si="6"/>
        <v>0</v>
      </c>
      <c r="U115">
        <f t="shared" si="7"/>
        <v>0</v>
      </c>
    </row>
    <row r="116" spans="1:21" ht="34" x14ac:dyDescent="0.2">
      <c r="A116">
        <v>115</v>
      </c>
      <c r="B116">
        <v>50</v>
      </c>
      <c r="C116" s="1" t="s">
        <v>642</v>
      </c>
      <c r="D116" t="s">
        <v>128</v>
      </c>
      <c r="K116" s="15">
        <v>1</v>
      </c>
      <c r="L116" s="15"/>
      <c r="M116" s="15"/>
      <c r="N116" s="15"/>
      <c r="O116" s="15"/>
      <c r="R116" t="str">
        <f t="shared" si="4"/>
        <v>Disagree</v>
      </c>
      <c r="S116">
        <f t="shared" si="5"/>
        <v>0</v>
      </c>
      <c r="T116">
        <f t="shared" si="6"/>
        <v>0</v>
      </c>
      <c r="U116">
        <f t="shared" si="7"/>
        <v>0</v>
      </c>
    </row>
    <row r="117" spans="1:21" ht="34" x14ac:dyDescent="0.2">
      <c r="A117">
        <v>116</v>
      </c>
      <c r="B117">
        <v>84</v>
      </c>
      <c r="C117" s="1" t="s">
        <v>647</v>
      </c>
      <c r="D117" t="s">
        <v>128</v>
      </c>
      <c r="E117">
        <v>1</v>
      </c>
      <c r="K117" s="15">
        <v>1</v>
      </c>
      <c r="L117" s="15"/>
      <c r="M117" s="15"/>
      <c r="N117" s="15"/>
      <c r="O117" s="15"/>
      <c r="R117">
        <f t="shared" si="4"/>
        <v>1</v>
      </c>
      <c r="S117">
        <f t="shared" si="5"/>
        <v>0</v>
      </c>
      <c r="T117">
        <f t="shared" si="6"/>
        <v>0</v>
      </c>
      <c r="U117">
        <f t="shared" si="7"/>
        <v>0</v>
      </c>
    </row>
    <row r="118" spans="1:21" ht="102" x14ac:dyDescent="0.2">
      <c r="A118">
        <v>117</v>
      </c>
      <c r="B118">
        <v>10</v>
      </c>
      <c r="C118" s="1" t="s">
        <v>651</v>
      </c>
      <c r="D118" t="s">
        <v>135</v>
      </c>
      <c r="F118">
        <v>1</v>
      </c>
      <c r="G118">
        <v>1</v>
      </c>
      <c r="K118" s="15"/>
      <c r="L118" s="15">
        <v>1</v>
      </c>
      <c r="M118" s="15">
        <v>1</v>
      </c>
      <c r="N118" s="15"/>
      <c r="O118" s="15"/>
      <c r="R118">
        <f t="shared" si="4"/>
        <v>0</v>
      </c>
      <c r="S118">
        <f t="shared" si="5"/>
        <v>1</v>
      </c>
      <c r="T118">
        <f t="shared" si="6"/>
        <v>1</v>
      </c>
      <c r="U118">
        <f t="shared" si="7"/>
        <v>0</v>
      </c>
    </row>
    <row r="119" spans="1:21" ht="34" x14ac:dyDescent="0.2">
      <c r="A119">
        <v>118</v>
      </c>
      <c r="B119">
        <v>73</v>
      </c>
      <c r="C119" s="1" t="s">
        <v>656</v>
      </c>
      <c r="D119" t="s">
        <v>128</v>
      </c>
      <c r="E119">
        <v>1</v>
      </c>
      <c r="K119" s="15">
        <v>1</v>
      </c>
      <c r="L119" s="15"/>
      <c r="M119" s="15"/>
      <c r="N119" s="15"/>
      <c r="O119" s="15"/>
      <c r="R119">
        <f t="shared" si="4"/>
        <v>1</v>
      </c>
      <c r="S119">
        <f t="shared" si="5"/>
        <v>0</v>
      </c>
      <c r="T119">
        <f t="shared" si="6"/>
        <v>0</v>
      </c>
      <c r="U119">
        <f t="shared" si="7"/>
        <v>0</v>
      </c>
    </row>
    <row r="120" spans="1:21" ht="51" x14ac:dyDescent="0.2">
      <c r="A120">
        <v>119</v>
      </c>
      <c r="B120">
        <v>75</v>
      </c>
      <c r="C120" s="1" t="s">
        <v>660</v>
      </c>
      <c r="D120" t="s">
        <v>123</v>
      </c>
      <c r="E120">
        <v>1</v>
      </c>
      <c r="K120" s="15">
        <v>1</v>
      </c>
      <c r="L120" s="15"/>
      <c r="M120" s="15"/>
      <c r="N120" s="15"/>
      <c r="O120" s="15"/>
      <c r="R120">
        <f t="shared" si="4"/>
        <v>1</v>
      </c>
      <c r="S120">
        <f t="shared" si="5"/>
        <v>0</v>
      </c>
      <c r="T120">
        <f t="shared" si="6"/>
        <v>0</v>
      </c>
      <c r="U120">
        <f t="shared" si="7"/>
        <v>0</v>
      </c>
    </row>
    <row r="121" spans="1:21" ht="17" x14ac:dyDescent="0.2">
      <c r="A121">
        <v>120</v>
      </c>
      <c r="B121">
        <v>60</v>
      </c>
      <c r="C121" s="1" t="s">
        <v>664</v>
      </c>
      <c r="D121" t="s">
        <v>135</v>
      </c>
      <c r="K121" s="15"/>
      <c r="L121" s="15"/>
      <c r="M121" s="15"/>
      <c r="N121" s="15"/>
      <c r="O121" s="15"/>
      <c r="R121">
        <f t="shared" si="4"/>
        <v>0</v>
      </c>
      <c r="S121">
        <f t="shared" si="5"/>
        <v>0</v>
      </c>
      <c r="T121">
        <f t="shared" si="6"/>
        <v>0</v>
      </c>
      <c r="U121">
        <f t="shared" si="7"/>
        <v>0</v>
      </c>
    </row>
    <row r="122" spans="1:21" ht="34" x14ac:dyDescent="0.2">
      <c r="A122">
        <v>121</v>
      </c>
      <c r="B122">
        <v>40</v>
      </c>
      <c r="C122" s="1" t="s">
        <v>668</v>
      </c>
      <c r="D122" t="s">
        <v>128</v>
      </c>
      <c r="G122">
        <v>1</v>
      </c>
      <c r="I122">
        <v>1</v>
      </c>
      <c r="K122" s="15"/>
      <c r="L122" s="15"/>
      <c r="M122" s="15">
        <v>1</v>
      </c>
      <c r="N122" s="15"/>
      <c r="O122" s="15">
        <v>1</v>
      </c>
      <c r="R122">
        <f t="shared" si="4"/>
        <v>0</v>
      </c>
      <c r="S122">
        <f t="shared" si="5"/>
        <v>0</v>
      </c>
      <c r="T122">
        <f t="shared" si="6"/>
        <v>1</v>
      </c>
      <c r="U122">
        <f t="shared" si="7"/>
        <v>0</v>
      </c>
    </row>
    <row r="123" spans="1:21" ht="51" x14ac:dyDescent="0.2">
      <c r="A123">
        <v>122</v>
      </c>
      <c r="B123">
        <v>18</v>
      </c>
      <c r="C123" s="1" t="s">
        <v>672</v>
      </c>
      <c r="D123" t="s">
        <v>135</v>
      </c>
      <c r="F123">
        <v>1</v>
      </c>
      <c r="G123">
        <v>1</v>
      </c>
      <c r="K123" s="15"/>
      <c r="L123" s="15">
        <v>1</v>
      </c>
      <c r="M123" s="15">
        <v>1</v>
      </c>
      <c r="N123" s="15"/>
      <c r="O123" s="15"/>
      <c r="R123">
        <f t="shared" si="4"/>
        <v>0</v>
      </c>
      <c r="S123">
        <f t="shared" si="5"/>
        <v>1</v>
      </c>
      <c r="T123">
        <f t="shared" si="6"/>
        <v>1</v>
      </c>
      <c r="U123">
        <f t="shared" si="7"/>
        <v>0</v>
      </c>
    </row>
    <row r="124" spans="1:21" ht="34" x14ac:dyDescent="0.2">
      <c r="A124">
        <v>123</v>
      </c>
      <c r="B124">
        <v>0</v>
      </c>
      <c r="C124" s="1" t="s">
        <v>676</v>
      </c>
      <c r="D124" t="s">
        <v>135</v>
      </c>
      <c r="F124">
        <v>1</v>
      </c>
      <c r="K124" s="15"/>
      <c r="L124" s="15">
        <v>1</v>
      </c>
      <c r="M124" s="15">
        <v>1</v>
      </c>
      <c r="N124" s="15"/>
      <c r="O124" s="15"/>
      <c r="R124">
        <f t="shared" si="4"/>
        <v>0</v>
      </c>
      <c r="S124">
        <f t="shared" si="5"/>
        <v>1</v>
      </c>
      <c r="T124" t="str">
        <f t="shared" si="6"/>
        <v>Disagree</v>
      </c>
      <c r="U124">
        <f t="shared" si="7"/>
        <v>0</v>
      </c>
    </row>
    <row r="125" spans="1:21" ht="17" x14ac:dyDescent="0.2">
      <c r="A125">
        <v>124</v>
      </c>
      <c r="B125">
        <v>22</v>
      </c>
      <c r="C125" s="1" t="s">
        <v>681</v>
      </c>
      <c r="D125" t="s">
        <v>135</v>
      </c>
      <c r="K125" s="15"/>
      <c r="L125" s="15"/>
      <c r="M125" s="15"/>
      <c r="N125" s="15"/>
      <c r="O125" s="15"/>
      <c r="R125">
        <f t="shared" si="4"/>
        <v>0</v>
      </c>
      <c r="S125">
        <f t="shared" si="5"/>
        <v>0</v>
      </c>
      <c r="T125">
        <f t="shared" si="6"/>
        <v>0</v>
      </c>
      <c r="U125">
        <f t="shared" si="7"/>
        <v>0</v>
      </c>
    </row>
    <row r="126" spans="1:21" ht="17" x14ac:dyDescent="0.2">
      <c r="A126">
        <v>125</v>
      </c>
      <c r="B126">
        <v>75</v>
      </c>
      <c r="C126" s="1" t="s">
        <v>685</v>
      </c>
      <c r="D126" t="s">
        <v>117</v>
      </c>
      <c r="E126">
        <v>1</v>
      </c>
      <c r="K126" s="15">
        <v>1</v>
      </c>
      <c r="L126" s="15"/>
      <c r="M126" s="15"/>
      <c r="N126" s="15"/>
      <c r="O126" s="15"/>
      <c r="R126">
        <f t="shared" si="4"/>
        <v>1</v>
      </c>
      <c r="S126">
        <f t="shared" si="5"/>
        <v>0</v>
      </c>
      <c r="T126">
        <f t="shared" si="6"/>
        <v>0</v>
      </c>
      <c r="U126">
        <f t="shared" si="7"/>
        <v>0</v>
      </c>
    </row>
    <row r="127" spans="1:21" ht="17" x14ac:dyDescent="0.2">
      <c r="A127">
        <v>126</v>
      </c>
      <c r="B127">
        <v>50</v>
      </c>
      <c r="C127" s="1" t="s">
        <v>689</v>
      </c>
      <c r="D127" t="s">
        <v>123</v>
      </c>
      <c r="F127">
        <v>1</v>
      </c>
      <c r="K127" s="15"/>
      <c r="L127" s="15">
        <v>1</v>
      </c>
      <c r="M127" s="15"/>
      <c r="N127" s="15"/>
      <c r="O127" s="15"/>
      <c r="R127">
        <f t="shared" si="4"/>
        <v>0</v>
      </c>
      <c r="S127">
        <f t="shared" si="5"/>
        <v>1</v>
      </c>
      <c r="T127">
        <f t="shared" si="6"/>
        <v>0</v>
      </c>
      <c r="U127">
        <f t="shared" si="7"/>
        <v>0</v>
      </c>
    </row>
    <row r="128" spans="1:21" ht="34" x14ac:dyDescent="0.2">
      <c r="A128">
        <v>127</v>
      </c>
      <c r="B128">
        <v>37</v>
      </c>
      <c r="C128" s="1" t="s">
        <v>693</v>
      </c>
      <c r="D128" t="s">
        <v>117</v>
      </c>
      <c r="K128" s="15"/>
      <c r="L128" s="15">
        <v>1</v>
      </c>
      <c r="M128" s="15"/>
      <c r="N128" s="15"/>
      <c r="O128" s="15"/>
      <c r="R128">
        <f t="shared" si="4"/>
        <v>0</v>
      </c>
      <c r="S128" t="str">
        <f t="shared" si="5"/>
        <v>Disagree</v>
      </c>
      <c r="T128">
        <f t="shared" si="6"/>
        <v>0</v>
      </c>
      <c r="U128">
        <f t="shared" si="7"/>
        <v>0</v>
      </c>
    </row>
    <row r="129" spans="1:21" ht="34" x14ac:dyDescent="0.2">
      <c r="A129">
        <v>128</v>
      </c>
      <c r="B129">
        <v>10</v>
      </c>
      <c r="C129" s="1" t="s">
        <v>697</v>
      </c>
      <c r="D129" t="s">
        <v>128</v>
      </c>
      <c r="G129">
        <v>1</v>
      </c>
      <c r="K129" s="15"/>
      <c r="L129" s="15">
        <v>1</v>
      </c>
      <c r="M129" s="15">
        <v>1</v>
      </c>
      <c r="N129" s="15"/>
      <c r="O129" s="15"/>
      <c r="R129">
        <f t="shared" si="4"/>
        <v>0</v>
      </c>
      <c r="S129" t="str">
        <f t="shared" si="5"/>
        <v>Disagree</v>
      </c>
      <c r="T129">
        <f t="shared" si="6"/>
        <v>1</v>
      </c>
      <c r="U129">
        <f t="shared" si="7"/>
        <v>0</v>
      </c>
    </row>
    <row r="130" spans="1:21" ht="68" x14ac:dyDescent="0.2">
      <c r="A130">
        <v>129</v>
      </c>
      <c r="B130">
        <v>9</v>
      </c>
      <c r="C130" s="1" t="s">
        <v>701</v>
      </c>
      <c r="D130" t="s">
        <v>117</v>
      </c>
      <c r="G130">
        <v>1</v>
      </c>
      <c r="I130">
        <v>1</v>
      </c>
      <c r="K130" s="15"/>
      <c r="L130" s="15"/>
      <c r="M130" s="15">
        <v>1</v>
      </c>
      <c r="N130" s="15"/>
      <c r="O130" s="15">
        <v>1</v>
      </c>
      <c r="R130">
        <f t="shared" si="4"/>
        <v>0</v>
      </c>
      <c r="S130">
        <f t="shared" si="5"/>
        <v>0</v>
      </c>
      <c r="T130">
        <f t="shared" si="6"/>
        <v>1</v>
      </c>
      <c r="U130">
        <f t="shared" si="7"/>
        <v>0</v>
      </c>
    </row>
    <row r="131" spans="1:21" ht="85" x14ac:dyDescent="0.2">
      <c r="A131">
        <v>130</v>
      </c>
      <c r="B131">
        <v>91</v>
      </c>
      <c r="C131" s="1" t="s">
        <v>707</v>
      </c>
      <c r="D131" t="s">
        <v>123</v>
      </c>
      <c r="K131" s="15">
        <v>1</v>
      </c>
      <c r="L131" s="15"/>
      <c r="M131" s="15"/>
      <c r="N131" s="15"/>
      <c r="O131" s="15"/>
      <c r="R131" t="str">
        <f t="shared" ref="R131:R194" si="8">IF(E131=K131,E131,"Disagree")</f>
        <v>Disagree</v>
      </c>
      <c r="S131">
        <f t="shared" ref="S131:S194" si="9">IF(F131=L131,F131,"Disagree")</f>
        <v>0</v>
      </c>
      <c r="T131">
        <f t="shared" ref="T131:T194" si="10">IF(G131=M131,G131,"Disagree")</f>
        <v>0</v>
      </c>
      <c r="U131">
        <f t="shared" ref="U131:U194" si="11">IF(H131=N131,H131,"Disagree")</f>
        <v>0</v>
      </c>
    </row>
    <row r="132" spans="1:21" ht="68" x14ac:dyDescent="0.2">
      <c r="A132">
        <v>131</v>
      </c>
      <c r="B132">
        <v>10</v>
      </c>
      <c r="C132" s="1" t="s">
        <v>711</v>
      </c>
      <c r="D132" t="s">
        <v>123</v>
      </c>
      <c r="F132">
        <v>1</v>
      </c>
      <c r="K132" s="15"/>
      <c r="L132" s="15">
        <v>1</v>
      </c>
      <c r="M132" s="15"/>
      <c r="N132" s="15"/>
      <c r="O132" s="15"/>
      <c r="R132">
        <f t="shared" si="8"/>
        <v>0</v>
      </c>
      <c r="S132">
        <f t="shared" si="9"/>
        <v>1</v>
      </c>
      <c r="T132">
        <f t="shared" si="10"/>
        <v>0</v>
      </c>
      <c r="U132">
        <f t="shared" si="11"/>
        <v>0</v>
      </c>
    </row>
    <row r="133" spans="1:21" ht="34" x14ac:dyDescent="0.2">
      <c r="A133">
        <v>132</v>
      </c>
      <c r="B133">
        <v>50</v>
      </c>
      <c r="C133" s="1" t="s">
        <v>715</v>
      </c>
      <c r="D133" t="s">
        <v>135</v>
      </c>
      <c r="G133">
        <v>1</v>
      </c>
      <c r="K133" s="15"/>
      <c r="L133" s="15"/>
      <c r="M133" s="15">
        <v>1</v>
      </c>
      <c r="N133" s="15"/>
      <c r="O133" s="15"/>
      <c r="R133">
        <f t="shared" si="8"/>
        <v>0</v>
      </c>
      <c r="S133">
        <f t="shared" si="9"/>
        <v>0</v>
      </c>
      <c r="T133">
        <f t="shared" si="10"/>
        <v>1</v>
      </c>
      <c r="U133">
        <f t="shared" si="11"/>
        <v>0</v>
      </c>
    </row>
    <row r="134" spans="1:21" ht="51" x14ac:dyDescent="0.2">
      <c r="A134">
        <v>133</v>
      </c>
      <c r="B134">
        <v>100</v>
      </c>
      <c r="C134" s="1" t="s">
        <v>720</v>
      </c>
      <c r="D134" t="s">
        <v>128</v>
      </c>
      <c r="E134">
        <v>1</v>
      </c>
      <c r="K134" s="15">
        <v>1</v>
      </c>
      <c r="L134" s="15"/>
      <c r="M134" s="15"/>
      <c r="N134" s="15"/>
      <c r="O134" s="15"/>
      <c r="R134">
        <f t="shared" si="8"/>
        <v>1</v>
      </c>
      <c r="S134">
        <f t="shared" si="9"/>
        <v>0</v>
      </c>
      <c r="T134">
        <f t="shared" si="10"/>
        <v>0</v>
      </c>
      <c r="U134">
        <f t="shared" si="11"/>
        <v>0</v>
      </c>
    </row>
    <row r="135" spans="1:21" ht="34" x14ac:dyDescent="0.2">
      <c r="A135">
        <v>134</v>
      </c>
      <c r="B135">
        <v>12</v>
      </c>
      <c r="C135" s="1" t="s">
        <v>724</v>
      </c>
      <c r="D135" t="s">
        <v>135</v>
      </c>
      <c r="F135">
        <v>1</v>
      </c>
      <c r="G135">
        <v>1</v>
      </c>
      <c r="K135" s="15"/>
      <c r="L135" s="15">
        <v>1</v>
      </c>
      <c r="M135" s="15">
        <v>1</v>
      </c>
      <c r="N135" s="15"/>
      <c r="O135" s="15"/>
      <c r="R135">
        <f t="shared" si="8"/>
        <v>0</v>
      </c>
      <c r="S135">
        <f t="shared" si="9"/>
        <v>1</v>
      </c>
      <c r="T135">
        <f t="shared" si="10"/>
        <v>1</v>
      </c>
      <c r="U135">
        <f t="shared" si="11"/>
        <v>0</v>
      </c>
    </row>
    <row r="136" spans="1:21" ht="34" x14ac:dyDescent="0.2">
      <c r="A136">
        <v>135</v>
      </c>
      <c r="B136">
        <v>78</v>
      </c>
      <c r="C136" s="1" t="s">
        <v>728</v>
      </c>
      <c r="D136" t="s">
        <v>128</v>
      </c>
      <c r="E136">
        <v>1</v>
      </c>
      <c r="K136" s="15">
        <v>1</v>
      </c>
      <c r="L136" s="15"/>
      <c r="M136" s="15"/>
      <c r="N136" s="15"/>
      <c r="O136" s="15"/>
      <c r="R136">
        <f t="shared" si="8"/>
        <v>1</v>
      </c>
      <c r="S136">
        <f t="shared" si="9"/>
        <v>0</v>
      </c>
      <c r="T136">
        <f t="shared" si="10"/>
        <v>0</v>
      </c>
      <c r="U136">
        <f t="shared" si="11"/>
        <v>0</v>
      </c>
    </row>
    <row r="137" spans="1:21" ht="17" x14ac:dyDescent="0.2">
      <c r="A137">
        <v>136</v>
      </c>
      <c r="B137">
        <v>71</v>
      </c>
      <c r="C137" s="1" t="s">
        <v>733</v>
      </c>
      <c r="D137" t="s">
        <v>128</v>
      </c>
      <c r="K137" s="15">
        <v>1</v>
      </c>
      <c r="L137" s="15"/>
      <c r="M137" s="15"/>
      <c r="N137" s="15"/>
      <c r="O137" s="15"/>
      <c r="R137" t="str">
        <f t="shared" si="8"/>
        <v>Disagree</v>
      </c>
      <c r="S137">
        <f t="shared" si="9"/>
        <v>0</v>
      </c>
      <c r="T137">
        <f t="shared" si="10"/>
        <v>0</v>
      </c>
      <c r="U137">
        <f t="shared" si="11"/>
        <v>0</v>
      </c>
    </row>
    <row r="138" spans="1:21" ht="34" x14ac:dyDescent="0.2">
      <c r="A138">
        <v>137</v>
      </c>
      <c r="B138">
        <v>71</v>
      </c>
      <c r="C138" s="1" t="s">
        <v>737</v>
      </c>
      <c r="D138" t="s">
        <v>117</v>
      </c>
      <c r="E138">
        <v>1</v>
      </c>
      <c r="K138" s="15">
        <v>1</v>
      </c>
      <c r="L138" s="15"/>
      <c r="M138" s="15"/>
      <c r="N138" s="15"/>
      <c r="O138" s="15"/>
      <c r="R138">
        <f t="shared" si="8"/>
        <v>1</v>
      </c>
      <c r="S138">
        <f t="shared" si="9"/>
        <v>0</v>
      </c>
      <c r="T138">
        <f t="shared" si="10"/>
        <v>0</v>
      </c>
      <c r="U138">
        <f t="shared" si="11"/>
        <v>0</v>
      </c>
    </row>
    <row r="139" spans="1:21" ht="34" x14ac:dyDescent="0.2">
      <c r="A139">
        <v>138</v>
      </c>
      <c r="B139">
        <v>71</v>
      </c>
      <c r="C139" s="1" t="s">
        <v>741</v>
      </c>
      <c r="D139" t="s">
        <v>117</v>
      </c>
      <c r="E139">
        <v>1</v>
      </c>
      <c r="K139" s="15">
        <v>1</v>
      </c>
      <c r="L139" s="15"/>
      <c r="M139" s="15"/>
      <c r="N139" s="15"/>
      <c r="O139" s="15"/>
      <c r="R139">
        <f t="shared" si="8"/>
        <v>1</v>
      </c>
      <c r="S139">
        <f t="shared" si="9"/>
        <v>0</v>
      </c>
      <c r="T139">
        <f t="shared" si="10"/>
        <v>0</v>
      </c>
      <c r="U139">
        <f t="shared" si="11"/>
        <v>0</v>
      </c>
    </row>
    <row r="140" spans="1:21" ht="17" x14ac:dyDescent="0.2">
      <c r="A140">
        <v>139</v>
      </c>
      <c r="B140">
        <v>17</v>
      </c>
      <c r="C140" s="1" t="s">
        <v>745</v>
      </c>
      <c r="D140" t="s">
        <v>128</v>
      </c>
      <c r="K140" s="15"/>
      <c r="L140" s="15"/>
      <c r="M140" s="15"/>
      <c r="N140" s="15"/>
      <c r="O140" s="15"/>
      <c r="R140">
        <f t="shared" si="8"/>
        <v>0</v>
      </c>
      <c r="S140">
        <f t="shared" si="9"/>
        <v>0</v>
      </c>
      <c r="T140">
        <f t="shared" si="10"/>
        <v>0</v>
      </c>
      <c r="U140">
        <f t="shared" si="11"/>
        <v>0</v>
      </c>
    </row>
    <row r="141" spans="1:21" ht="153" x14ac:dyDescent="0.2">
      <c r="A141">
        <v>140</v>
      </c>
      <c r="B141">
        <v>0</v>
      </c>
      <c r="C141" s="1" t="s">
        <v>749</v>
      </c>
      <c r="D141" t="s">
        <v>135</v>
      </c>
      <c r="F141">
        <v>1</v>
      </c>
      <c r="G141">
        <v>1</v>
      </c>
      <c r="I141">
        <v>1</v>
      </c>
      <c r="K141" s="15"/>
      <c r="L141" s="15">
        <v>1</v>
      </c>
      <c r="M141" s="15">
        <v>1</v>
      </c>
      <c r="N141" s="15"/>
      <c r="O141" s="15"/>
      <c r="R141">
        <f t="shared" si="8"/>
        <v>0</v>
      </c>
      <c r="S141">
        <f t="shared" si="9"/>
        <v>1</v>
      </c>
      <c r="T141">
        <f t="shared" si="10"/>
        <v>1</v>
      </c>
      <c r="U141">
        <f t="shared" si="11"/>
        <v>0</v>
      </c>
    </row>
    <row r="142" spans="1:21" ht="85" x14ac:dyDescent="0.2">
      <c r="A142">
        <v>141</v>
      </c>
      <c r="B142">
        <v>70</v>
      </c>
      <c r="C142" s="1" t="s">
        <v>753</v>
      </c>
      <c r="D142" t="s">
        <v>123</v>
      </c>
      <c r="K142" s="15"/>
      <c r="L142" s="15">
        <v>1</v>
      </c>
      <c r="M142" s="15"/>
      <c r="N142" s="15"/>
      <c r="O142" s="15"/>
      <c r="R142">
        <f t="shared" si="8"/>
        <v>0</v>
      </c>
      <c r="S142" t="str">
        <f t="shared" si="9"/>
        <v>Disagree</v>
      </c>
      <c r="T142">
        <f t="shared" si="10"/>
        <v>0</v>
      </c>
      <c r="U142">
        <f t="shared" si="11"/>
        <v>0</v>
      </c>
    </row>
    <row r="143" spans="1:21" ht="51" x14ac:dyDescent="0.2">
      <c r="A143">
        <v>142</v>
      </c>
      <c r="B143">
        <v>62</v>
      </c>
      <c r="C143" s="1" t="s">
        <v>758</v>
      </c>
      <c r="D143" t="s">
        <v>128</v>
      </c>
      <c r="F143">
        <v>1</v>
      </c>
      <c r="G143">
        <v>1</v>
      </c>
      <c r="K143" s="15"/>
      <c r="L143" s="15">
        <v>1</v>
      </c>
      <c r="M143" s="15">
        <v>1</v>
      </c>
      <c r="N143" s="15"/>
      <c r="O143" s="15"/>
      <c r="R143">
        <f t="shared" si="8"/>
        <v>0</v>
      </c>
      <c r="S143">
        <f t="shared" si="9"/>
        <v>1</v>
      </c>
      <c r="T143">
        <f t="shared" si="10"/>
        <v>1</v>
      </c>
      <c r="U143">
        <f t="shared" si="11"/>
        <v>0</v>
      </c>
    </row>
    <row r="144" spans="1:21" ht="102" x14ac:dyDescent="0.2">
      <c r="A144">
        <v>143</v>
      </c>
      <c r="B144">
        <v>20</v>
      </c>
      <c r="C144" s="1" t="s">
        <v>764</v>
      </c>
      <c r="D144" t="s">
        <v>128</v>
      </c>
      <c r="G144">
        <v>1</v>
      </c>
      <c r="K144" s="15"/>
      <c r="L144" s="15"/>
      <c r="M144" s="15">
        <v>1</v>
      </c>
      <c r="N144" s="15"/>
      <c r="O144" s="15"/>
      <c r="R144">
        <f t="shared" si="8"/>
        <v>0</v>
      </c>
      <c r="S144">
        <f t="shared" si="9"/>
        <v>0</v>
      </c>
      <c r="T144">
        <f t="shared" si="10"/>
        <v>1</v>
      </c>
      <c r="U144">
        <f t="shared" si="11"/>
        <v>0</v>
      </c>
    </row>
    <row r="145" spans="1:21" ht="34" x14ac:dyDescent="0.2">
      <c r="A145">
        <v>144</v>
      </c>
      <c r="B145">
        <v>8</v>
      </c>
      <c r="C145" s="1" t="s">
        <v>769</v>
      </c>
      <c r="D145" t="s">
        <v>123</v>
      </c>
      <c r="I145">
        <v>1</v>
      </c>
      <c r="K145" s="15"/>
      <c r="L145" s="15"/>
      <c r="M145" s="15"/>
      <c r="N145" s="15"/>
      <c r="O145" s="15">
        <v>1</v>
      </c>
      <c r="R145">
        <f t="shared" si="8"/>
        <v>0</v>
      </c>
      <c r="S145">
        <f t="shared" si="9"/>
        <v>0</v>
      </c>
      <c r="T145">
        <f t="shared" si="10"/>
        <v>0</v>
      </c>
      <c r="U145">
        <f t="shared" si="11"/>
        <v>0</v>
      </c>
    </row>
    <row r="146" spans="1:21" ht="51" x14ac:dyDescent="0.2">
      <c r="A146">
        <v>145</v>
      </c>
      <c r="B146">
        <v>60</v>
      </c>
      <c r="C146" s="1" t="s">
        <v>773</v>
      </c>
      <c r="D146" t="s">
        <v>128</v>
      </c>
      <c r="G146">
        <v>1</v>
      </c>
      <c r="K146" s="15"/>
      <c r="L146" s="15"/>
      <c r="M146" s="15">
        <v>1</v>
      </c>
      <c r="N146" s="15"/>
      <c r="O146" s="15"/>
      <c r="R146">
        <f t="shared" si="8"/>
        <v>0</v>
      </c>
      <c r="S146">
        <f t="shared" si="9"/>
        <v>0</v>
      </c>
      <c r="T146">
        <f t="shared" si="10"/>
        <v>1</v>
      </c>
      <c r="U146">
        <f t="shared" si="11"/>
        <v>0</v>
      </c>
    </row>
    <row r="147" spans="1:21" ht="34" x14ac:dyDescent="0.2">
      <c r="A147">
        <v>146</v>
      </c>
      <c r="B147">
        <v>0</v>
      </c>
      <c r="C147" s="1" t="s">
        <v>778</v>
      </c>
      <c r="D147" t="s">
        <v>123</v>
      </c>
      <c r="F147">
        <v>1</v>
      </c>
      <c r="G147">
        <v>1</v>
      </c>
      <c r="K147" s="15"/>
      <c r="L147" s="15">
        <v>1</v>
      </c>
      <c r="M147" s="15">
        <v>1</v>
      </c>
      <c r="N147" s="15"/>
      <c r="O147" s="15"/>
      <c r="R147">
        <f t="shared" si="8"/>
        <v>0</v>
      </c>
      <c r="S147">
        <f t="shared" si="9"/>
        <v>1</v>
      </c>
      <c r="T147">
        <f t="shared" si="10"/>
        <v>1</v>
      </c>
      <c r="U147">
        <f t="shared" si="11"/>
        <v>0</v>
      </c>
    </row>
    <row r="148" spans="1:21" ht="85" x14ac:dyDescent="0.2">
      <c r="A148">
        <v>147</v>
      </c>
      <c r="B148">
        <v>75</v>
      </c>
      <c r="C148" s="1" t="s">
        <v>782</v>
      </c>
      <c r="D148" t="s">
        <v>135</v>
      </c>
      <c r="F148">
        <v>1</v>
      </c>
      <c r="G148">
        <v>1</v>
      </c>
      <c r="K148" s="15"/>
      <c r="L148" s="15">
        <v>1</v>
      </c>
      <c r="M148" s="15">
        <v>1</v>
      </c>
      <c r="N148" s="15"/>
      <c r="O148" s="15"/>
      <c r="R148">
        <f t="shared" si="8"/>
        <v>0</v>
      </c>
      <c r="S148">
        <f t="shared" si="9"/>
        <v>1</v>
      </c>
      <c r="T148">
        <f t="shared" si="10"/>
        <v>1</v>
      </c>
      <c r="U148">
        <f t="shared" si="11"/>
        <v>0</v>
      </c>
    </row>
    <row r="149" spans="1:21" ht="51" x14ac:dyDescent="0.2">
      <c r="A149">
        <v>148</v>
      </c>
      <c r="B149">
        <v>82</v>
      </c>
      <c r="C149" s="1" t="s">
        <v>786</v>
      </c>
      <c r="D149" t="s">
        <v>123</v>
      </c>
      <c r="E149">
        <v>1</v>
      </c>
      <c r="K149" s="15">
        <v>1</v>
      </c>
      <c r="L149" s="15"/>
      <c r="M149" s="15"/>
      <c r="N149" s="15"/>
      <c r="O149" s="15"/>
      <c r="R149">
        <f t="shared" si="8"/>
        <v>1</v>
      </c>
      <c r="S149">
        <f t="shared" si="9"/>
        <v>0</v>
      </c>
      <c r="T149">
        <f t="shared" si="10"/>
        <v>0</v>
      </c>
      <c r="U149">
        <f t="shared" si="11"/>
        <v>0</v>
      </c>
    </row>
    <row r="150" spans="1:21" ht="68" x14ac:dyDescent="0.2">
      <c r="A150">
        <v>149</v>
      </c>
      <c r="B150">
        <v>10</v>
      </c>
      <c r="C150" s="1" t="s">
        <v>790</v>
      </c>
      <c r="D150" t="s">
        <v>123</v>
      </c>
      <c r="F150">
        <v>1</v>
      </c>
      <c r="G150">
        <v>1</v>
      </c>
      <c r="K150" s="15"/>
      <c r="L150" s="15">
        <v>1</v>
      </c>
      <c r="M150" s="15">
        <v>1</v>
      </c>
      <c r="N150" s="15"/>
      <c r="O150" s="15"/>
      <c r="R150">
        <f t="shared" si="8"/>
        <v>0</v>
      </c>
      <c r="S150">
        <f t="shared" si="9"/>
        <v>1</v>
      </c>
      <c r="T150">
        <f t="shared" si="10"/>
        <v>1</v>
      </c>
      <c r="U150">
        <f t="shared" si="11"/>
        <v>0</v>
      </c>
    </row>
    <row r="151" spans="1:21" ht="51" x14ac:dyDescent="0.2">
      <c r="A151">
        <v>150</v>
      </c>
      <c r="B151">
        <v>10</v>
      </c>
      <c r="C151" s="1" t="s">
        <v>795</v>
      </c>
      <c r="D151" t="s">
        <v>135</v>
      </c>
      <c r="F151">
        <v>1</v>
      </c>
      <c r="G151">
        <v>1</v>
      </c>
      <c r="K151" s="15"/>
      <c r="L151" s="15">
        <v>1</v>
      </c>
      <c r="M151" s="15">
        <v>1</v>
      </c>
      <c r="N151" s="15"/>
      <c r="O151" s="15"/>
      <c r="R151">
        <f t="shared" si="8"/>
        <v>0</v>
      </c>
      <c r="S151">
        <f t="shared" si="9"/>
        <v>1</v>
      </c>
      <c r="T151">
        <f t="shared" si="10"/>
        <v>1</v>
      </c>
      <c r="U151">
        <f t="shared" si="11"/>
        <v>0</v>
      </c>
    </row>
    <row r="152" spans="1:21" ht="51" x14ac:dyDescent="0.2">
      <c r="A152">
        <v>151</v>
      </c>
      <c r="B152">
        <v>60</v>
      </c>
      <c r="C152" s="1" t="s">
        <v>801</v>
      </c>
      <c r="D152" t="s">
        <v>135</v>
      </c>
      <c r="G152">
        <v>1</v>
      </c>
      <c r="K152" s="15">
        <v>1</v>
      </c>
      <c r="L152" s="15"/>
      <c r="M152" s="15">
        <v>1</v>
      </c>
      <c r="N152" s="15"/>
      <c r="O152" s="15"/>
      <c r="R152" t="str">
        <f t="shared" si="8"/>
        <v>Disagree</v>
      </c>
      <c r="S152">
        <f t="shared" si="9"/>
        <v>0</v>
      </c>
      <c r="T152">
        <f t="shared" si="10"/>
        <v>1</v>
      </c>
      <c r="U152">
        <f t="shared" si="11"/>
        <v>0</v>
      </c>
    </row>
    <row r="153" spans="1:21" ht="17" x14ac:dyDescent="0.2">
      <c r="A153">
        <v>152</v>
      </c>
      <c r="B153">
        <v>45</v>
      </c>
      <c r="C153" s="1" t="s">
        <v>805</v>
      </c>
      <c r="D153" t="s">
        <v>135</v>
      </c>
      <c r="E153">
        <v>1</v>
      </c>
      <c r="K153" s="15">
        <v>1</v>
      </c>
      <c r="L153" s="15"/>
      <c r="M153" s="15"/>
      <c r="N153" s="15"/>
      <c r="O153" s="15"/>
      <c r="R153">
        <f t="shared" si="8"/>
        <v>1</v>
      </c>
      <c r="S153">
        <f t="shared" si="9"/>
        <v>0</v>
      </c>
      <c r="T153">
        <f t="shared" si="10"/>
        <v>0</v>
      </c>
      <c r="U153">
        <f t="shared" si="11"/>
        <v>0</v>
      </c>
    </row>
    <row r="154" spans="1:21" ht="17" x14ac:dyDescent="0.2">
      <c r="A154">
        <v>153</v>
      </c>
      <c r="B154">
        <v>16</v>
      </c>
      <c r="C154" s="1" t="s">
        <v>809</v>
      </c>
      <c r="D154" t="s">
        <v>135</v>
      </c>
      <c r="F154">
        <v>1</v>
      </c>
      <c r="G154">
        <v>1</v>
      </c>
      <c r="K154" s="15"/>
      <c r="L154" s="15">
        <v>1</v>
      </c>
      <c r="M154" s="15">
        <v>1</v>
      </c>
      <c r="N154" s="15"/>
      <c r="O154" s="15"/>
      <c r="R154">
        <f t="shared" si="8"/>
        <v>0</v>
      </c>
      <c r="S154">
        <f t="shared" si="9"/>
        <v>1</v>
      </c>
      <c r="T154">
        <f t="shared" si="10"/>
        <v>1</v>
      </c>
      <c r="U154">
        <f t="shared" si="11"/>
        <v>0</v>
      </c>
    </row>
    <row r="155" spans="1:21" ht="51" x14ac:dyDescent="0.2">
      <c r="A155">
        <v>154</v>
      </c>
      <c r="B155">
        <v>75</v>
      </c>
      <c r="C155" s="1" t="s">
        <v>813</v>
      </c>
      <c r="D155" t="s">
        <v>117</v>
      </c>
      <c r="K155" s="15">
        <v>1</v>
      </c>
      <c r="L155" s="15"/>
      <c r="M155" s="15"/>
      <c r="N155" s="15"/>
      <c r="O155" s="15"/>
      <c r="R155" t="str">
        <f t="shared" si="8"/>
        <v>Disagree</v>
      </c>
      <c r="S155">
        <f t="shared" si="9"/>
        <v>0</v>
      </c>
      <c r="T155">
        <f t="shared" si="10"/>
        <v>0</v>
      </c>
      <c r="U155">
        <f t="shared" si="11"/>
        <v>0</v>
      </c>
    </row>
    <row r="156" spans="1:21" ht="51" x14ac:dyDescent="0.2">
      <c r="A156">
        <v>155</v>
      </c>
      <c r="B156">
        <v>39</v>
      </c>
      <c r="C156" s="1" t="s">
        <v>817</v>
      </c>
      <c r="D156" t="s">
        <v>117</v>
      </c>
      <c r="K156" s="15"/>
      <c r="L156" s="15">
        <v>1</v>
      </c>
      <c r="M156" s="15"/>
      <c r="N156" s="15"/>
      <c r="O156" s="15"/>
      <c r="R156">
        <f t="shared" si="8"/>
        <v>0</v>
      </c>
      <c r="S156" t="str">
        <f t="shared" si="9"/>
        <v>Disagree</v>
      </c>
      <c r="T156">
        <f t="shared" si="10"/>
        <v>0</v>
      </c>
      <c r="U156">
        <f t="shared" si="11"/>
        <v>0</v>
      </c>
    </row>
    <row r="157" spans="1:21" ht="68" x14ac:dyDescent="0.2">
      <c r="A157">
        <v>156</v>
      </c>
      <c r="B157">
        <v>0</v>
      </c>
      <c r="C157" s="1" t="s">
        <v>822</v>
      </c>
      <c r="D157" t="s">
        <v>128</v>
      </c>
      <c r="G157">
        <v>1</v>
      </c>
      <c r="K157" s="15"/>
      <c r="L157" s="15"/>
      <c r="M157" s="15">
        <v>1</v>
      </c>
      <c r="N157" s="15"/>
      <c r="O157" s="15"/>
      <c r="R157">
        <f t="shared" si="8"/>
        <v>0</v>
      </c>
      <c r="S157">
        <f t="shared" si="9"/>
        <v>0</v>
      </c>
      <c r="T157">
        <f t="shared" si="10"/>
        <v>1</v>
      </c>
      <c r="U157">
        <f t="shared" si="11"/>
        <v>0</v>
      </c>
    </row>
    <row r="158" spans="1:21" ht="119" x14ac:dyDescent="0.2">
      <c r="A158">
        <v>157</v>
      </c>
      <c r="B158">
        <v>27</v>
      </c>
      <c r="C158" s="1" t="s">
        <v>827</v>
      </c>
      <c r="D158" t="s">
        <v>117</v>
      </c>
      <c r="K158" s="15"/>
      <c r="L158" s="15"/>
      <c r="M158" s="15"/>
      <c r="N158" s="15"/>
      <c r="O158" s="15"/>
      <c r="R158">
        <f t="shared" si="8"/>
        <v>0</v>
      </c>
      <c r="S158">
        <f t="shared" si="9"/>
        <v>0</v>
      </c>
      <c r="T158">
        <f t="shared" si="10"/>
        <v>0</v>
      </c>
      <c r="U158">
        <f t="shared" si="11"/>
        <v>0</v>
      </c>
    </row>
    <row r="159" spans="1:21" ht="51" x14ac:dyDescent="0.2">
      <c r="A159">
        <v>158</v>
      </c>
      <c r="B159">
        <v>60</v>
      </c>
      <c r="C159" s="1" t="s">
        <v>835</v>
      </c>
      <c r="D159" t="s">
        <v>117</v>
      </c>
      <c r="E159">
        <v>1</v>
      </c>
      <c r="G159">
        <v>1</v>
      </c>
      <c r="K159" s="15">
        <v>1</v>
      </c>
      <c r="L159" s="15"/>
      <c r="M159" s="15">
        <v>1</v>
      </c>
      <c r="N159" s="15"/>
      <c r="O159" s="15"/>
      <c r="R159">
        <f t="shared" si="8"/>
        <v>1</v>
      </c>
      <c r="S159">
        <f t="shared" si="9"/>
        <v>0</v>
      </c>
      <c r="T159">
        <f t="shared" si="10"/>
        <v>1</v>
      </c>
      <c r="U159">
        <f t="shared" si="11"/>
        <v>0</v>
      </c>
    </row>
    <row r="160" spans="1:21" ht="34" x14ac:dyDescent="0.2">
      <c r="A160">
        <v>159</v>
      </c>
      <c r="B160">
        <v>40</v>
      </c>
      <c r="C160" s="1" t="s">
        <v>839</v>
      </c>
      <c r="D160" t="s">
        <v>135</v>
      </c>
      <c r="F160">
        <v>1</v>
      </c>
      <c r="G160">
        <v>1</v>
      </c>
      <c r="K160" s="15"/>
      <c r="L160" s="15">
        <v>1</v>
      </c>
      <c r="M160" s="15">
        <v>1</v>
      </c>
      <c r="N160" s="15"/>
      <c r="O160" s="15"/>
      <c r="R160">
        <f t="shared" si="8"/>
        <v>0</v>
      </c>
      <c r="S160">
        <f t="shared" si="9"/>
        <v>1</v>
      </c>
      <c r="T160">
        <f t="shared" si="10"/>
        <v>1</v>
      </c>
      <c r="U160">
        <f t="shared" si="11"/>
        <v>0</v>
      </c>
    </row>
    <row r="161" spans="1:21" ht="51" x14ac:dyDescent="0.2">
      <c r="A161">
        <v>160</v>
      </c>
      <c r="B161">
        <v>100</v>
      </c>
      <c r="C161" s="1" t="s">
        <v>844</v>
      </c>
      <c r="D161" t="s">
        <v>128</v>
      </c>
      <c r="E161">
        <v>1</v>
      </c>
      <c r="K161" s="15">
        <v>1</v>
      </c>
      <c r="L161" s="15"/>
      <c r="M161" s="15"/>
      <c r="N161" s="15"/>
      <c r="O161" s="15"/>
      <c r="R161">
        <f t="shared" si="8"/>
        <v>1</v>
      </c>
      <c r="S161">
        <f t="shared" si="9"/>
        <v>0</v>
      </c>
      <c r="T161">
        <f t="shared" si="10"/>
        <v>0</v>
      </c>
      <c r="U161">
        <f t="shared" si="11"/>
        <v>0</v>
      </c>
    </row>
    <row r="162" spans="1:21" ht="51" x14ac:dyDescent="0.2">
      <c r="A162">
        <v>161</v>
      </c>
      <c r="B162">
        <v>1</v>
      </c>
      <c r="C162" s="1" t="s">
        <v>849</v>
      </c>
      <c r="D162" t="s">
        <v>123</v>
      </c>
      <c r="F162">
        <v>1</v>
      </c>
      <c r="G162">
        <v>1</v>
      </c>
      <c r="I162">
        <v>1</v>
      </c>
      <c r="K162" s="15"/>
      <c r="L162" s="15">
        <v>1</v>
      </c>
      <c r="M162" s="15"/>
      <c r="N162" s="15"/>
      <c r="O162" s="15">
        <v>1</v>
      </c>
      <c r="R162">
        <f t="shared" si="8"/>
        <v>0</v>
      </c>
      <c r="S162">
        <f t="shared" si="9"/>
        <v>1</v>
      </c>
      <c r="T162" t="str">
        <f t="shared" si="10"/>
        <v>Disagree</v>
      </c>
      <c r="U162">
        <f t="shared" si="11"/>
        <v>0</v>
      </c>
    </row>
    <row r="163" spans="1:21" ht="17" x14ac:dyDescent="0.2">
      <c r="A163">
        <v>162</v>
      </c>
      <c r="B163">
        <v>100</v>
      </c>
      <c r="C163" s="1" t="s">
        <v>853</v>
      </c>
      <c r="D163" t="s">
        <v>123</v>
      </c>
      <c r="E163">
        <v>1</v>
      </c>
      <c r="K163" s="15">
        <v>1</v>
      </c>
      <c r="L163" s="15"/>
      <c r="M163" s="15"/>
      <c r="N163" s="15"/>
      <c r="O163" s="15"/>
      <c r="R163">
        <f t="shared" si="8"/>
        <v>1</v>
      </c>
      <c r="S163">
        <f t="shared" si="9"/>
        <v>0</v>
      </c>
      <c r="T163">
        <f t="shared" si="10"/>
        <v>0</v>
      </c>
      <c r="U163">
        <f t="shared" si="11"/>
        <v>0</v>
      </c>
    </row>
    <row r="164" spans="1:21" ht="17" x14ac:dyDescent="0.2">
      <c r="A164">
        <v>163</v>
      </c>
      <c r="B164">
        <v>0</v>
      </c>
      <c r="C164" s="1" t="s">
        <v>858</v>
      </c>
      <c r="D164" t="s">
        <v>123</v>
      </c>
      <c r="F164">
        <v>1</v>
      </c>
      <c r="K164" s="15"/>
      <c r="L164" s="15">
        <v>1</v>
      </c>
      <c r="M164" s="15"/>
      <c r="N164" s="15"/>
      <c r="O164" s="15"/>
      <c r="R164">
        <f t="shared" si="8"/>
        <v>0</v>
      </c>
      <c r="S164">
        <f t="shared" si="9"/>
        <v>1</v>
      </c>
      <c r="T164">
        <f t="shared" si="10"/>
        <v>0</v>
      </c>
      <c r="U164">
        <f t="shared" si="11"/>
        <v>0</v>
      </c>
    </row>
    <row r="165" spans="1:21" ht="51" x14ac:dyDescent="0.2">
      <c r="A165">
        <v>164</v>
      </c>
      <c r="B165">
        <v>9</v>
      </c>
      <c r="C165" s="1" t="s">
        <v>862</v>
      </c>
      <c r="D165" t="s">
        <v>135</v>
      </c>
      <c r="F165">
        <v>1</v>
      </c>
      <c r="G165">
        <v>1</v>
      </c>
      <c r="K165" s="15"/>
      <c r="L165" s="15">
        <v>1</v>
      </c>
      <c r="M165" s="15">
        <v>1</v>
      </c>
      <c r="N165" s="15"/>
      <c r="O165" s="15"/>
      <c r="R165">
        <f t="shared" si="8"/>
        <v>0</v>
      </c>
      <c r="S165">
        <f t="shared" si="9"/>
        <v>1</v>
      </c>
      <c r="T165">
        <f t="shared" si="10"/>
        <v>1</v>
      </c>
      <c r="U165">
        <f t="shared" si="11"/>
        <v>0</v>
      </c>
    </row>
    <row r="166" spans="1:21" ht="34" x14ac:dyDescent="0.2">
      <c r="A166">
        <v>165</v>
      </c>
      <c r="B166">
        <v>100</v>
      </c>
      <c r="C166" s="1" t="s">
        <v>866</v>
      </c>
      <c r="D166" t="s">
        <v>117</v>
      </c>
      <c r="E166">
        <v>1</v>
      </c>
      <c r="K166" s="15">
        <v>1</v>
      </c>
      <c r="L166" s="15"/>
      <c r="M166" s="15"/>
      <c r="N166" s="15"/>
      <c r="O166" s="15"/>
      <c r="R166">
        <f t="shared" si="8"/>
        <v>1</v>
      </c>
      <c r="S166">
        <f t="shared" si="9"/>
        <v>0</v>
      </c>
      <c r="T166">
        <f t="shared" si="10"/>
        <v>0</v>
      </c>
      <c r="U166">
        <f t="shared" si="11"/>
        <v>0</v>
      </c>
    </row>
    <row r="167" spans="1:21" ht="34" x14ac:dyDescent="0.2">
      <c r="A167">
        <v>166</v>
      </c>
      <c r="B167">
        <v>20</v>
      </c>
      <c r="C167" s="1" t="s">
        <v>870</v>
      </c>
      <c r="D167" t="s">
        <v>128</v>
      </c>
      <c r="G167">
        <v>1</v>
      </c>
      <c r="K167" s="15"/>
      <c r="L167" s="15"/>
      <c r="M167" s="15">
        <v>1</v>
      </c>
      <c r="N167" s="15"/>
      <c r="O167" s="15"/>
      <c r="R167">
        <f t="shared" si="8"/>
        <v>0</v>
      </c>
      <c r="S167">
        <f t="shared" si="9"/>
        <v>0</v>
      </c>
      <c r="T167">
        <f t="shared" si="10"/>
        <v>1</v>
      </c>
      <c r="U167">
        <f t="shared" si="11"/>
        <v>0</v>
      </c>
    </row>
    <row r="168" spans="1:21" ht="51" x14ac:dyDescent="0.2">
      <c r="A168">
        <v>167</v>
      </c>
      <c r="B168">
        <v>34</v>
      </c>
      <c r="C168" s="1" t="s">
        <v>874</v>
      </c>
      <c r="D168" t="s">
        <v>128</v>
      </c>
      <c r="I168">
        <v>1</v>
      </c>
      <c r="K168" s="15"/>
      <c r="L168" s="15"/>
      <c r="M168" s="15"/>
      <c r="N168" s="15"/>
      <c r="O168" s="15">
        <v>1</v>
      </c>
      <c r="R168">
        <f t="shared" si="8"/>
        <v>0</v>
      </c>
      <c r="S168">
        <f t="shared" si="9"/>
        <v>0</v>
      </c>
      <c r="T168">
        <f t="shared" si="10"/>
        <v>0</v>
      </c>
      <c r="U168">
        <f t="shared" si="11"/>
        <v>0</v>
      </c>
    </row>
    <row r="169" spans="1:21" ht="34" x14ac:dyDescent="0.2">
      <c r="A169">
        <v>168</v>
      </c>
      <c r="B169">
        <v>29</v>
      </c>
      <c r="C169" s="1" t="s">
        <v>878</v>
      </c>
      <c r="D169" t="s">
        <v>123</v>
      </c>
      <c r="G169">
        <v>1</v>
      </c>
      <c r="K169" s="15"/>
      <c r="L169" s="15">
        <v>1</v>
      </c>
      <c r="M169" s="15">
        <v>1</v>
      </c>
      <c r="N169" s="15"/>
      <c r="O169" s="15"/>
      <c r="R169">
        <f t="shared" si="8"/>
        <v>0</v>
      </c>
      <c r="S169" t="str">
        <f t="shared" si="9"/>
        <v>Disagree</v>
      </c>
      <c r="T169">
        <f t="shared" si="10"/>
        <v>1</v>
      </c>
      <c r="U169">
        <f t="shared" si="11"/>
        <v>0</v>
      </c>
    </row>
    <row r="170" spans="1:21" ht="51" x14ac:dyDescent="0.2">
      <c r="A170">
        <v>169</v>
      </c>
      <c r="B170">
        <v>45</v>
      </c>
      <c r="C170" s="1" t="s">
        <v>882</v>
      </c>
      <c r="D170" t="s">
        <v>135</v>
      </c>
      <c r="G170">
        <v>1</v>
      </c>
      <c r="K170" s="15"/>
      <c r="L170" s="15"/>
      <c r="M170" s="15"/>
      <c r="N170" s="15"/>
      <c r="O170" s="15"/>
      <c r="R170">
        <f t="shared" si="8"/>
        <v>0</v>
      </c>
      <c r="S170">
        <f t="shared" si="9"/>
        <v>0</v>
      </c>
      <c r="T170" t="str">
        <f t="shared" si="10"/>
        <v>Disagree</v>
      </c>
      <c r="U170">
        <f t="shared" si="11"/>
        <v>0</v>
      </c>
    </row>
    <row r="171" spans="1:21" ht="68" x14ac:dyDescent="0.2">
      <c r="A171">
        <v>170</v>
      </c>
      <c r="B171">
        <v>29</v>
      </c>
      <c r="C171" s="1" t="s">
        <v>886</v>
      </c>
      <c r="D171" t="s">
        <v>117</v>
      </c>
      <c r="G171">
        <v>1</v>
      </c>
      <c r="K171" s="15"/>
      <c r="L171" s="15"/>
      <c r="M171" s="15">
        <v>1</v>
      </c>
      <c r="N171" s="15"/>
      <c r="O171" s="15"/>
      <c r="R171">
        <f t="shared" si="8"/>
        <v>0</v>
      </c>
      <c r="S171">
        <f t="shared" si="9"/>
        <v>0</v>
      </c>
      <c r="T171">
        <f t="shared" si="10"/>
        <v>1</v>
      </c>
      <c r="U171">
        <f t="shared" si="11"/>
        <v>0</v>
      </c>
    </row>
    <row r="172" spans="1:21" ht="85" x14ac:dyDescent="0.2">
      <c r="A172">
        <v>171</v>
      </c>
      <c r="B172">
        <v>50</v>
      </c>
      <c r="C172" s="1" t="s">
        <v>890</v>
      </c>
      <c r="D172" t="s">
        <v>123</v>
      </c>
      <c r="F172">
        <v>1</v>
      </c>
      <c r="I172">
        <v>1</v>
      </c>
      <c r="K172" s="15"/>
      <c r="L172" s="15">
        <v>1</v>
      </c>
      <c r="M172" s="15"/>
      <c r="N172" s="15"/>
      <c r="O172" s="15">
        <v>1</v>
      </c>
      <c r="R172">
        <f t="shared" si="8"/>
        <v>0</v>
      </c>
      <c r="S172">
        <f t="shared" si="9"/>
        <v>1</v>
      </c>
      <c r="T172">
        <f t="shared" si="10"/>
        <v>0</v>
      </c>
      <c r="U172">
        <f t="shared" si="11"/>
        <v>0</v>
      </c>
    </row>
    <row r="173" spans="1:21" ht="34" x14ac:dyDescent="0.2">
      <c r="A173">
        <v>172</v>
      </c>
      <c r="B173">
        <v>0</v>
      </c>
      <c r="C173" s="1" t="s">
        <v>895</v>
      </c>
      <c r="D173" t="s">
        <v>135</v>
      </c>
      <c r="F173">
        <v>1</v>
      </c>
      <c r="G173">
        <v>1</v>
      </c>
      <c r="K173" s="15"/>
      <c r="L173" s="15">
        <v>1</v>
      </c>
      <c r="M173" s="15">
        <v>1</v>
      </c>
      <c r="N173" s="15"/>
      <c r="O173" s="15"/>
      <c r="R173">
        <f t="shared" si="8"/>
        <v>0</v>
      </c>
      <c r="S173">
        <f t="shared" si="9"/>
        <v>1</v>
      </c>
      <c r="T173">
        <f t="shared" si="10"/>
        <v>1</v>
      </c>
      <c r="U173">
        <f t="shared" si="11"/>
        <v>0</v>
      </c>
    </row>
    <row r="174" spans="1:21" ht="51" x14ac:dyDescent="0.2">
      <c r="A174">
        <v>173</v>
      </c>
      <c r="B174">
        <v>50</v>
      </c>
      <c r="C174" s="1" t="s">
        <v>899</v>
      </c>
      <c r="D174" t="s">
        <v>117</v>
      </c>
      <c r="G174">
        <v>1</v>
      </c>
      <c r="I174">
        <v>1</v>
      </c>
      <c r="K174" s="15">
        <v>1</v>
      </c>
      <c r="L174" s="15"/>
      <c r="M174" s="15">
        <v>1</v>
      </c>
      <c r="N174" s="15"/>
      <c r="O174" s="15">
        <v>1</v>
      </c>
      <c r="R174" t="str">
        <f t="shared" si="8"/>
        <v>Disagree</v>
      </c>
      <c r="S174">
        <f t="shared" si="9"/>
        <v>0</v>
      </c>
      <c r="T174">
        <f t="shared" si="10"/>
        <v>1</v>
      </c>
      <c r="U174">
        <f t="shared" si="11"/>
        <v>0</v>
      </c>
    </row>
    <row r="175" spans="1:21" ht="34" x14ac:dyDescent="0.2">
      <c r="A175">
        <v>174</v>
      </c>
      <c r="B175">
        <v>61</v>
      </c>
      <c r="C175" s="1" t="s">
        <v>904</v>
      </c>
      <c r="D175" t="s">
        <v>117</v>
      </c>
      <c r="K175" s="15">
        <v>1</v>
      </c>
      <c r="L175" s="15"/>
      <c r="M175" s="15"/>
      <c r="N175" s="15"/>
      <c r="O175" s="15"/>
      <c r="R175" t="str">
        <f t="shared" si="8"/>
        <v>Disagree</v>
      </c>
      <c r="S175">
        <f t="shared" si="9"/>
        <v>0</v>
      </c>
      <c r="T175">
        <f t="shared" si="10"/>
        <v>0</v>
      </c>
      <c r="U175">
        <f t="shared" si="11"/>
        <v>0</v>
      </c>
    </row>
    <row r="176" spans="1:21" ht="272" x14ac:dyDescent="0.2">
      <c r="A176">
        <v>175</v>
      </c>
      <c r="B176">
        <v>0</v>
      </c>
      <c r="C176" s="1" t="s">
        <v>908</v>
      </c>
      <c r="D176" t="s">
        <v>135</v>
      </c>
      <c r="G176">
        <v>1</v>
      </c>
      <c r="I176">
        <v>1</v>
      </c>
      <c r="K176" s="15"/>
      <c r="L176" s="15"/>
      <c r="M176" s="15">
        <v>1</v>
      </c>
      <c r="N176" s="15"/>
      <c r="O176" s="15">
        <v>1</v>
      </c>
      <c r="R176">
        <f t="shared" si="8"/>
        <v>0</v>
      </c>
      <c r="S176">
        <f t="shared" si="9"/>
        <v>0</v>
      </c>
      <c r="T176">
        <f t="shared" si="10"/>
        <v>1</v>
      </c>
      <c r="U176">
        <f t="shared" si="11"/>
        <v>0</v>
      </c>
    </row>
    <row r="177" spans="1:21" ht="51" x14ac:dyDescent="0.2">
      <c r="A177">
        <v>176</v>
      </c>
      <c r="B177">
        <v>65</v>
      </c>
      <c r="C177" s="1" t="s">
        <v>913</v>
      </c>
      <c r="D177" t="s">
        <v>117</v>
      </c>
      <c r="E177">
        <v>1</v>
      </c>
      <c r="G177">
        <v>1</v>
      </c>
      <c r="K177" s="15">
        <v>1</v>
      </c>
      <c r="L177" s="15"/>
      <c r="M177" s="15">
        <v>1</v>
      </c>
      <c r="N177" s="15"/>
      <c r="O177" s="15"/>
      <c r="R177">
        <f t="shared" si="8"/>
        <v>1</v>
      </c>
      <c r="S177">
        <f t="shared" si="9"/>
        <v>0</v>
      </c>
      <c r="T177">
        <f t="shared" si="10"/>
        <v>1</v>
      </c>
      <c r="U177">
        <f t="shared" si="11"/>
        <v>0</v>
      </c>
    </row>
    <row r="178" spans="1:21" ht="34" x14ac:dyDescent="0.2">
      <c r="A178">
        <v>177</v>
      </c>
      <c r="B178">
        <v>100</v>
      </c>
      <c r="C178" s="1" t="s">
        <v>917</v>
      </c>
      <c r="D178" t="s">
        <v>128</v>
      </c>
      <c r="E178">
        <v>1</v>
      </c>
      <c r="K178" s="15">
        <v>1</v>
      </c>
      <c r="L178" s="15"/>
      <c r="M178" s="15"/>
      <c r="N178" s="15"/>
      <c r="O178" s="15"/>
      <c r="R178">
        <f t="shared" si="8"/>
        <v>1</v>
      </c>
      <c r="S178">
        <f t="shared" si="9"/>
        <v>0</v>
      </c>
      <c r="T178">
        <f t="shared" si="10"/>
        <v>0</v>
      </c>
      <c r="U178">
        <f t="shared" si="11"/>
        <v>0</v>
      </c>
    </row>
    <row r="179" spans="1:21" ht="34" x14ac:dyDescent="0.2">
      <c r="A179">
        <v>178</v>
      </c>
      <c r="B179">
        <v>70</v>
      </c>
      <c r="C179" s="1" t="s">
        <v>923</v>
      </c>
      <c r="D179" t="s">
        <v>117</v>
      </c>
      <c r="K179" s="15">
        <v>1</v>
      </c>
      <c r="L179" s="15"/>
      <c r="M179" s="15"/>
      <c r="N179" s="15"/>
      <c r="O179" s="15"/>
      <c r="R179" t="str">
        <f t="shared" si="8"/>
        <v>Disagree</v>
      </c>
      <c r="S179">
        <f t="shared" si="9"/>
        <v>0</v>
      </c>
      <c r="T179">
        <f t="shared" si="10"/>
        <v>0</v>
      </c>
      <c r="U179">
        <f t="shared" si="11"/>
        <v>0</v>
      </c>
    </row>
    <row r="180" spans="1:21" ht="51" x14ac:dyDescent="0.2">
      <c r="A180">
        <v>179</v>
      </c>
      <c r="B180">
        <v>30</v>
      </c>
      <c r="C180" s="1" t="s">
        <v>927</v>
      </c>
      <c r="D180" t="s">
        <v>117</v>
      </c>
      <c r="G180">
        <v>1</v>
      </c>
      <c r="I180">
        <v>1</v>
      </c>
      <c r="K180" s="15"/>
      <c r="L180" s="15"/>
      <c r="M180" s="15">
        <v>1</v>
      </c>
      <c r="N180" s="15"/>
      <c r="O180" s="15">
        <v>1</v>
      </c>
      <c r="R180">
        <f t="shared" si="8"/>
        <v>0</v>
      </c>
      <c r="S180">
        <f t="shared" si="9"/>
        <v>0</v>
      </c>
      <c r="T180">
        <f t="shared" si="10"/>
        <v>1</v>
      </c>
      <c r="U180">
        <f t="shared" si="11"/>
        <v>0</v>
      </c>
    </row>
    <row r="181" spans="1:21" ht="51" x14ac:dyDescent="0.2">
      <c r="A181">
        <v>180</v>
      </c>
      <c r="B181">
        <v>0</v>
      </c>
      <c r="C181" s="1" t="s">
        <v>931</v>
      </c>
      <c r="D181" t="s">
        <v>123</v>
      </c>
      <c r="G181">
        <v>1</v>
      </c>
      <c r="K181" s="15"/>
      <c r="L181" s="15"/>
      <c r="M181" s="15">
        <v>1</v>
      </c>
      <c r="N181" s="15"/>
      <c r="O181" s="15"/>
      <c r="R181">
        <f t="shared" si="8"/>
        <v>0</v>
      </c>
      <c r="S181">
        <f t="shared" si="9"/>
        <v>0</v>
      </c>
      <c r="T181">
        <f t="shared" si="10"/>
        <v>1</v>
      </c>
      <c r="U181">
        <f t="shared" si="11"/>
        <v>0</v>
      </c>
    </row>
    <row r="182" spans="1:21" ht="17" x14ac:dyDescent="0.2">
      <c r="A182">
        <v>181</v>
      </c>
      <c r="B182">
        <v>71</v>
      </c>
      <c r="C182" s="1" t="s">
        <v>937</v>
      </c>
      <c r="D182" t="s">
        <v>135</v>
      </c>
      <c r="G182">
        <v>1</v>
      </c>
      <c r="K182" s="15">
        <v>1</v>
      </c>
      <c r="L182" s="15"/>
      <c r="M182" s="15">
        <v>1</v>
      </c>
      <c r="N182" s="15"/>
      <c r="O182" s="15"/>
      <c r="R182" t="str">
        <f t="shared" si="8"/>
        <v>Disagree</v>
      </c>
      <c r="S182">
        <f t="shared" si="9"/>
        <v>0</v>
      </c>
      <c r="T182">
        <f t="shared" si="10"/>
        <v>1</v>
      </c>
      <c r="U182">
        <f t="shared" si="11"/>
        <v>0</v>
      </c>
    </row>
    <row r="183" spans="1:21" ht="51" x14ac:dyDescent="0.2">
      <c r="A183">
        <v>182</v>
      </c>
      <c r="B183">
        <v>0</v>
      </c>
      <c r="C183" s="1" t="s">
        <v>941</v>
      </c>
      <c r="D183" t="s">
        <v>135</v>
      </c>
      <c r="K183" s="15"/>
      <c r="L183" s="15"/>
      <c r="M183" s="15">
        <v>1</v>
      </c>
      <c r="N183" s="15"/>
      <c r="O183" s="15"/>
      <c r="R183">
        <f t="shared" si="8"/>
        <v>0</v>
      </c>
      <c r="S183">
        <f t="shared" si="9"/>
        <v>0</v>
      </c>
      <c r="T183" t="str">
        <f t="shared" si="10"/>
        <v>Disagree</v>
      </c>
      <c r="U183">
        <f t="shared" si="11"/>
        <v>0</v>
      </c>
    </row>
    <row r="184" spans="1:21" ht="17" x14ac:dyDescent="0.2">
      <c r="A184">
        <v>183</v>
      </c>
      <c r="B184">
        <v>1</v>
      </c>
      <c r="C184" s="1" t="s">
        <v>945</v>
      </c>
      <c r="D184" t="s">
        <v>117</v>
      </c>
      <c r="G184">
        <v>1</v>
      </c>
      <c r="K184" s="15"/>
      <c r="L184" s="15"/>
      <c r="M184" s="15">
        <v>1</v>
      </c>
      <c r="N184" s="15"/>
      <c r="O184" s="15"/>
      <c r="R184">
        <f t="shared" si="8"/>
        <v>0</v>
      </c>
      <c r="S184">
        <f t="shared" si="9"/>
        <v>0</v>
      </c>
      <c r="T184">
        <f t="shared" si="10"/>
        <v>1</v>
      </c>
      <c r="U184">
        <f t="shared" si="11"/>
        <v>0</v>
      </c>
    </row>
    <row r="185" spans="1:21" ht="34" x14ac:dyDescent="0.2">
      <c r="A185">
        <v>184</v>
      </c>
      <c r="B185">
        <v>72</v>
      </c>
      <c r="C185" s="1" t="s">
        <v>949</v>
      </c>
      <c r="D185" t="s">
        <v>135</v>
      </c>
      <c r="K185" s="15">
        <v>1</v>
      </c>
      <c r="L185" s="15"/>
      <c r="M185" s="15"/>
      <c r="N185" s="15"/>
      <c r="O185" s="15"/>
      <c r="R185" t="str">
        <f t="shared" si="8"/>
        <v>Disagree</v>
      </c>
      <c r="S185">
        <f t="shared" si="9"/>
        <v>0</v>
      </c>
      <c r="T185">
        <f t="shared" si="10"/>
        <v>0</v>
      </c>
      <c r="U185">
        <f t="shared" si="11"/>
        <v>0</v>
      </c>
    </row>
    <row r="186" spans="1:21" ht="34" x14ac:dyDescent="0.2">
      <c r="A186">
        <v>185</v>
      </c>
      <c r="B186">
        <v>5</v>
      </c>
      <c r="C186" s="1" t="s">
        <v>954</v>
      </c>
      <c r="D186" t="s">
        <v>135</v>
      </c>
      <c r="F186">
        <v>1</v>
      </c>
      <c r="G186">
        <v>1</v>
      </c>
      <c r="K186" s="15"/>
      <c r="L186" s="15">
        <v>1</v>
      </c>
      <c r="M186" s="15">
        <v>1</v>
      </c>
      <c r="N186" s="15"/>
      <c r="O186" s="15"/>
      <c r="R186">
        <f t="shared" si="8"/>
        <v>0</v>
      </c>
      <c r="S186">
        <f t="shared" si="9"/>
        <v>1</v>
      </c>
      <c r="T186">
        <f t="shared" si="10"/>
        <v>1</v>
      </c>
      <c r="U186">
        <f t="shared" si="11"/>
        <v>0</v>
      </c>
    </row>
    <row r="187" spans="1:21" ht="34" x14ac:dyDescent="0.2">
      <c r="A187">
        <v>186</v>
      </c>
      <c r="B187">
        <v>67</v>
      </c>
      <c r="C187" s="1" t="s">
        <v>958</v>
      </c>
      <c r="D187" t="s">
        <v>128</v>
      </c>
      <c r="E187">
        <v>1</v>
      </c>
      <c r="K187" s="15">
        <v>1</v>
      </c>
      <c r="L187" s="15"/>
      <c r="M187" s="15"/>
      <c r="N187" s="15"/>
      <c r="O187" s="15"/>
      <c r="R187">
        <f t="shared" si="8"/>
        <v>1</v>
      </c>
      <c r="S187">
        <f t="shared" si="9"/>
        <v>0</v>
      </c>
      <c r="T187">
        <f t="shared" si="10"/>
        <v>0</v>
      </c>
      <c r="U187">
        <f t="shared" si="11"/>
        <v>0</v>
      </c>
    </row>
    <row r="188" spans="1:21" ht="17" x14ac:dyDescent="0.2">
      <c r="A188">
        <v>187</v>
      </c>
      <c r="B188">
        <v>5</v>
      </c>
      <c r="C188" s="1" t="s">
        <v>963</v>
      </c>
      <c r="D188" t="s">
        <v>123</v>
      </c>
      <c r="F188">
        <v>1</v>
      </c>
      <c r="K188" s="15"/>
      <c r="L188" s="15">
        <v>1</v>
      </c>
      <c r="M188" s="15"/>
      <c r="N188" s="15"/>
      <c r="O188" s="15"/>
      <c r="R188">
        <f t="shared" si="8"/>
        <v>0</v>
      </c>
      <c r="S188">
        <f t="shared" si="9"/>
        <v>1</v>
      </c>
      <c r="T188">
        <f t="shared" si="10"/>
        <v>0</v>
      </c>
      <c r="U188">
        <f t="shared" si="11"/>
        <v>0</v>
      </c>
    </row>
    <row r="189" spans="1:21" ht="51" x14ac:dyDescent="0.2">
      <c r="A189">
        <v>188</v>
      </c>
      <c r="B189">
        <v>87</v>
      </c>
      <c r="C189" s="1" t="s">
        <v>967</v>
      </c>
      <c r="D189" t="s">
        <v>128</v>
      </c>
      <c r="E189">
        <v>1</v>
      </c>
      <c r="K189" s="15">
        <v>1</v>
      </c>
      <c r="L189" s="15"/>
      <c r="M189" s="15"/>
      <c r="N189" s="15"/>
      <c r="O189" s="15"/>
      <c r="R189">
        <f t="shared" si="8"/>
        <v>1</v>
      </c>
      <c r="S189">
        <f t="shared" si="9"/>
        <v>0</v>
      </c>
      <c r="T189">
        <f t="shared" si="10"/>
        <v>0</v>
      </c>
      <c r="U189">
        <f t="shared" si="11"/>
        <v>0</v>
      </c>
    </row>
    <row r="190" spans="1:21" ht="51" x14ac:dyDescent="0.2">
      <c r="A190">
        <v>189</v>
      </c>
      <c r="B190">
        <v>10</v>
      </c>
      <c r="C190" s="1" t="s">
        <v>971</v>
      </c>
      <c r="D190" t="s">
        <v>117</v>
      </c>
      <c r="F190">
        <v>1</v>
      </c>
      <c r="K190" s="15"/>
      <c r="L190" s="15">
        <v>1</v>
      </c>
      <c r="M190" s="15"/>
      <c r="N190" s="15"/>
      <c r="O190" s="15"/>
      <c r="R190">
        <f t="shared" si="8"/>
        <v>0</v>
      </c>
      <c r="S190">
        <f t="shared" si="9"/>
        <v>1</v>
      </c>
      <c r="T190">
        <f t="shared" si="10"/>
        <v>0</v>
      </c>
      <c r="U190">
        <f t="shared" si="11"/>
        <v>0</v>
      </c>
    </row>
    <row r="191" spans="1:21" ht="17" x14ac:dyDescent="0.2">
      <c r="A191">
        <v>190</v>
      </c>
      <c r="B191">
        <v>2</v>
      </c>
      <c r="C191" s="1" t="s">
        <v>976</v>
      </c>
      <c r="D191" t="s">
        <v>135</v>
      </c>
      <c r="G191">
        <v>1</v>
      </c>
      <c r="K191" s="15"/>
      <c r="L191" s="15"/>
      <c r="M191" s="15">
        <v>1</v>
      </c>
      <c r="N191" s="15"/>
      <c r="O191" s="15"/>
      <c r="R191">
        <f t="shared" si="8"/>
        <v>0</v>
      </c>
      <c r="S191">
        <f t="shared" si="9"/>
        <v>0</v>
      </c>
      <c r="T191">
        <f t="shared" si="10"/>
        <v>1</v>
      </c>
      <c r="U191">
        <f t="shared" si="11"/>
        <v>0</v>
      </c>
    </row>
    <row r="192" spans="1:21" ht="34" x14ac:dyDescent="0.2">
      <c r="A192">
        <v>191</v>
      </c>
      <c r="B192">
        <v>70</v>
      </c>
      <c r="C192" s="1" t="s">
        <v>980</v>
      </c>
      <c r="D192" t="s">
        <v>117</v>
      </c>
      <c r="E192">
        <v>1</v>
      </c>
      <c r="K192" s="15">
        <v>1</v>
      </c>
      <c r="L192" s="15"/>
      <c r="M192" s="15"/>
      <c r="N192" s="15"/>
      <c r="O192" s="15"/>
      <c r="R192">
        <f t="shared" si="8"/>
        <v>1</v>
      </c>
      <c r="S192">
        <f t="shared" si="9"/>
        <v>0</v>
      </c>
      <c r="T192">
        <f t="shared" si="10"/>
        <v>0</v>
      </c>
      <c r="U192">
        <f t="shared" si="11"/>
        <v>0</v>
      </c>
    </row>
    <row r="193" spans="1:21" ht="17" x14ac:dyDescent="0.2">
      <c r="A193">
        <v>192</v>
      </c>
      <c r="B193">
        <v>77</v>
      </c>
      <c r="C193" s="1" t="s">
        <v>990</v>
      </c>
      <c r="D193" t="s">
        <v>128</v>
      </c>
      <c r="E193">
        <v>1</v>
      </c>
      <c r="K193" s="15">
        <v>1</v>
      </c>
      <c r="L193" s="15"/>
      <c r="M193" s="15"/>
      <c r="N193" s="15"/>
      <c r="O193" s="15"/>
      <c r="R193">
        <f t="shared" si="8"/>
        <v>1</v>
      </c>
      <c r="S193">
        <f t="shared" si="9"/>
        <v>0</v>
      </c>
      <c r="T193">
        <f t="shared" si="10"/>
        <v>0</v>
      </c>
      <c r="U193">
        <f t="shared" si="11"/>
        <v>0</v>
      </c>
    </row>
    <row r="194" spans="1:21" ht="34" x14ac:dyDescent="0.2">
      <c r="A194">
        <v>193</v>
      </c>
      <c r="B194">
        <v>8</v>
      </c>
      <c r="C194" s="1" t="s">
        <v>994</v>
      </c>
      <c r="D194" t="s">
        <v>123</v>
      </c>
      <c r="F194">
        <v>1</v>
      </c>
      <c r="G194">
        <v>1</v>
      </c>
      <c r="K194" s="15"/>
      <c r="L194" s="15">
        <v>1</v>
      </c>
      <c r="M194" s="15">
        <v>1</v>
      </c>
      <c r="N194" s="15"/>
      <c r="O194" s="15"/>
      <c r="R194">
        <f t="shared" si="8"/>
        <v>0</v>
      </c>
      <c r="S194">
        <f t="shared" si="9"/>
        <v>1</v>
      </c>
      <c r="T194">
        <f t="shared" si="10"/>
        <v>1</v>
      </c>
      <c r="U194">
        <f t="shared" si="11"/>
        <v>0</v>
      </c>
    </row>
    <row r="195" spans="1:21" ht="51" x14ac:dyDescent="0.2">
      <c r="A195">
        <v>194</v>
      </c>
      <c r="B195">
        <v>55</v>
      </c>
      <c r="C195" s="1" t="s">
        <v>998</v>
      </c>
      <c r="D195" t="s">
        <v>128</v>
      </c>
      <c r="K195" s="15">
        <v>1</v>
      </c>
      <c r="L195" s="15"/>
      <c r="M195" s="15"/>
      <c r="N195" s="15"/>
      <c r="O195" s="15"/>
      <c r="R195" t="str">
        <f t="shared" ref="R195:R258" si="12">IF(E195=K195,E195,"Disagree")</f>
        <v>Disagree</v>
      </c>
      <c r="S195">
        <f t="shared" ref="S195:S258" si="13">IF(F195=L195,F195,"Disagree")</f>
        <v>0</v>
      </c>
      <c r="T195">
        <f t="shared" ref="T195:T258" si="14">IF(G195=M195,G195,"Disagree")</f>
        <v>0</v>
      </c>
      <c r="U195">
        <f t="shared" ref="U195:U258" si="15">IF(H195=N195,H195,"Disagree")</f>
        <v>0</v>
      </c>
    </row>
    <row r="196" spans="1:21" ht="34" x14ac:dyDescent="0.2">
      <c r="A196">
        <v>195</v>
      </c>
      <c r="B196">
        <v>31</v>
      </c>
      <c r="C196" s="1" t="s">
        <v>1003</v>
      </c>
      <c r="D196" t="s">
        <v>123</v>
      </c>
      <c r="F196">
        <v>1</v>
      </c>
      <c r="G196">
        <v>1</v>
      </c>
      <c r="K196" s="15"/>
      <c r="L196" s="15">
        <v>1</v>
      </c>
      <c r="M196" s="15">
        <v>1</v>
      </c>
      <c r="N196" s="15"/>
      <c r="O196" s="15"/>
      <c r="R196">
        <f t="shared" si="12"/>
        <v>0</v>
      </c>
      <c r="S196">
        <f t="shared" si="13"/>
        <v>1</v>
      </c>
      <c r="T196">
        <f t="shared" si="14"/>
        <v>1</v>
      </c>
      <c r="U196">
        <f t="shared" si="15"/>
        <v>0</v>
      </c>
    </row>
    <row r="197" spans="1:21" ht="34" x14ac:dyDescent="0.2">
      <c r="A197">
        <v>196</v>
      </c>
      <c r="B197">
        <v>43</v>
      </c>
      <c r="C197" s="1" t="s">
        <v>1007</v>
      </c>
      <c r="D197" t="s">
        <v>135</v>
      </c>
      <c r="F197">
        <v>1</v>
      </c>
      <c r="K197" s="15"/>
      <c r="L197" s="15">
        <v>1</v>
      </c>
      <c r="M197" s="15"/>
      <c r="N197" s="15"/>
      <c r="O197" s="15"/>
      <c r="R197">
        <f t="shared" si="12"/>
        <v>0</v>
      </c>
      <c r="S197">
        <f t="shared" si="13"/>
        <v>1</v>
      </c>
      <c r="T197">
        <f t="shared" si="14"/>
        <v>0</v>
      </c>
      <c r="U197">
        <f t="shared" si="15"/>
        <v>0</v>
      </c>
    </row>
    <row r="198" spans="1:21" ht="51" x14ac:dyDescent="0.2">
      <c r="A198">
        <v>197</v>
      </c>
      <c r="B198">
        <v>65</v>
      </c>
      <c r="C198" s="1" t="s">
        <v>1011</v>
      </c>
      <c r="D198" t="s">
        <v>135</v>
      </c>
      <c r="E198">
        <v>1</v>
      </c>
      <c r="G198">
        <v>1</v>
      </c>
      <c r="K198" s="15">
        <v>1</v>
      </c>
      <c r="L198" s="15"/>
      <c r="M198" s="15">
        <v>1</v>
      </c>
      <c r="N198" s="15"/>
      <c r="O198" s="15"/>
      <c r="R198">
        <f t="shared" si="12"/>
        <v>1</v>
      </c>
      <c r="S198">
        <f t="shared" si="13"/>
        <v>0</v>
      </c>
      <c r="T198">
        <f t="shared" si="14"/>
        <v>1</v>
      </c>
      <c r="U198">
        <f t="shared" si="15"/>
        <v>0</v>
      </c>
    </row>
    <row r="199" spans="1:21" ht="34" x14ac:dyDescent="0.2">
      <c r="A199">
        <v>198</v>
      </c>
      <c r="B199">
        <v>98</v>
      </c>
      <c r="C199" s="1" t="s">
        <v>1015</v>
      </c>
      <c r="D199" t="s">
        <v>123</v>
      </c>
      <c r="E199">
        <v>1</v>
      </c>
      <c r="K199" s="15">
        <v>1</v>
      </c>
      <c r="L199" s="15"/>
      <c r="M199" s="15"/>
      <c r="N199" s="15"/>
      <c r="O199" s="15"/>
      <c r="R199">
        <f t="shared" si="12"/>
        <v>1</v>
      </c>
      <c r="S199">
        <f t="shared" si="13"/>
        <v>0</v>
      </c>
      <c r="T199">
        <f t="shared" si="14"/>
        <v>0</v>
      </c>
      <c r="U199">
        <f t="shared" si="15"/>
        <v>0</v>
      </c>
    </row>
    <row r="200" spans="1:21" ht="17" x14ac:dyDescent="0.2">
      <c r="A200">
        <v>199</v>
      </c>
      <c r="B200">
        <v>53</v>
      </c>
      <c r="C200" s="1" t="s">
        <v>1025</v>
      </c>
      <c r="D200" t="s">
        <v>117</v>
      </c>
      <c r="K200" s="15"/>
      <c r="L200" s="15">
        <v>1</v>
      </c>
      <c r="M200" s="15"/>
      <c r="N200" s="15"/>
      <c r="O200" s="15"/>
      <c r="R200">
        <f t="shared" si="12"/>
        <v>0</v>
      </c>
      <c r="S200" t="str">
        <f t="shared" si="13"/>
        <v>Disagree</v>
      </c>
      <c r="T200">
        <f t="shared" si="14"/>
        <v>0</v>
      </c>
      <c r="U200">
        <f t="shared" si="15"/>
        <v>0</v>
      </c>
    </row>
    <row r="201" spans="1:21" ht="34" x14ac:dyDescent="0.2">
      <c r="A201">
        <v>200</v>
      </c>
      <c r="B201">
        <v>9</v>
      </c>
      <c r="C201" s="1" t="s">
        <v>1029</v>
      </c>
      <c r="D201" t="s">
        <v>135</v>
      </c>
      <c r="F201">
        <v>1</v>
      </c>
      <c r="G201">
        <v>1</v>
      </c>
      <c r="K201" s="15"/>
      <c r="L201" s="15">
        <v>1</v>
      </c>
      <c r="M201" s="15">
        <v>1</v>
      </c>
      <c r="N201" s="15"/>
      <c r="O201" s="15"/>
      <c r="R201">
        <f t="shared" si="12"/>
        <v>0</v>
      </c>
      <c r="S201">
        <f t="shared" si="13"/>
        <v>1</v>
      </c>
      <c r="T201">
        <f t="shared" si="14"/>
        <v>1</v>
      </c>
      <c r="U201">
        <f t="shared" si="15"/>
        <v>0</v>
      </c>
    </row>
    <row r="202" spans="1:21" ht="17" x14ac:dyDescent="0.2">
      <c r="A202">
        <v>201</v>
      </c>
      <c r="B202">
        <v>80</v>
      </c>
      <c r="C202" s="1" t="s">
        <v>1033</v>
      </c>
      <c r="D202" t="s">
        <v>128</v>
      </c>
      <c r="E202">
        <v>1</v>
      </c>
      <c r="K202" s="15">
        <v>1</v>
      </c>
      <c r="L202" s="15"/>
      <c r="M202" s="15"/>
      <c r="N202" s="15"/>
      <c r="O202" s="15"/>
      <c r="R202">
        <f t="shared" si="12"/>
        <v>1</v>
      </c>
      <c r="S202">
        <f t="shared" si="13"/>
        <v>0</v>
      </c>
      <c r="T202">
        <f t="shared" si="14"/>
        <v>0</v>
      </c>
      <c r="U202">
        <f t="shared" si="15"/>
        <v>0</v>
      </c>
    </row>
    <row r="203" spans="1:21" ht="68" x14ac:dyDescent="0.2">
      <c r="A203">
        <v>202</v>
      </c>
      <c r="B203">
        <v>31</v>
      </c>
      <c r="C203" s="1" t="s">
        <v>1037</v>
      </c>
      <c r="D203" t="s">
        <v>135</v>
      </c>
      <c r="F203">
        <v>1</v>
      </c>
      <c r="G203">
        <v>1</v>
      </c>
      <c r="K203" s="15"/>
      <c r="L203" s="15">
        <v>1</v>
      </c>
      <c r="M203" s="15">
        <v>1</v>
      </c>
      <c r="N203" s="15"/>
      <c r="O203" s="15"/>
      <c r="R203">
        <f t="shared" si="12"/>
        <v>0</v>
      </c>
      <c r="S203">
        <f t="shared" si="13"/>
        <v>1</v>
      </c>
      <c r="T203">
        <f t="shared" si="14"/>
        <v>1</v>
      </c>
      <c r="U203">
        <f t="shared" si="15"/>
        <v>0</v>
      </c>
    </row>
    <row r="204" spans="1:21" ht="34" x14ac:dyDescent="0.2">
      <c r="A204">
        <v>203</v>
      </c>
      <c r="B204">
        <v>60</v>
      </c>
      <c r="C204" s="1" t="s">
        <v>1044</v>
      </c>
      <c r="D204" t="s">
        <v>123</v>
      </c>
      <c r="K204" s="15">
        <v>1</v>
      </c>
      <c r="L204" s="15"/>
      <c r="M204" s="15"/>
      <c r="N204" s="15"/>
      <c r="O204" s="15"/>
      <c r="R204" t="str">
        <f t="shared" si="12"/>
        <v>Disagree</v>
      </c>
      <c r="S204">
        <f t="shared" si="13"/>
        <v>0</v>
      </c>
      <c r="T204">
        <f t="shared" si="14"/>
        <v>0</v>
      </c>
      <c r="U204">
        <f t="shared" si="15"/>
        <v>0</v>
      </c>
    </row>
    <row r="205" spans="1:21" ht="34" x14ac:dyDescent="0.2">
      <c r="A205">
        <v>204</v>
      </c>
      <c r="B205">
        <v>7</v>
      </c>
      <c r="C205" s="1" t="s">
        <v>1049</v>
      </c>
      <c r="D205" t="s">
        <v>123</v>
      </c>
      <c r="F205">
        <v>1</v>
      </c>
      <c r="K205" s="15"/>
      <c r="L205" s="15">
        <v>1</v>
      </c>
      <c r="M205" s="15"/>
      <c r="N205" s="15"/>
      <c r="O205" s="15"/>
      <c r="R205">
        <f t="shared" si="12"/>
        <v>0</v>
      </c>
      <c r="S205">
        <f t="shared" si="13"/>
        <v>1</v>
      </c>
      <c r="T205">
        <f t="shared" si="14"/>
        <v>0</v>
      </c>
      <c r="U205">
        <f t="shared" si="15"/>
        <v>0</v>
      </c>
    </row>
    <row r="206" spans="1:21" ht="17" x14ac:dyDescent="0.2">
      <c r="A206">
        <v>205</v>
      </c>
      <c r="B206">
        <v>81</v>
      </c>
      <c r="C206" s="1" t="s">
        <v>1054</v>
      </c>
      <c r="D206" t="s">
        <v>128</v>
      </c>
      <c r="E206">
        <v>1</v>
      </c>
      <c r="K206" s="15">
        <v>1</v>
      </c>
      <c r="L206" s="15"/>
      <c r="M206" s="15"/>
      <c r="N206" s="15"/>
      <c r="O206" s="15"/>
      <c r="R206">
        <f t="shared" si="12"/>
        <v>1</v>
      </c>
      <c r="S206">
        <f t="shared" si="13"/>
        <v>0</v>
      </c>
      <c r="T206">
        <f t="shared" si="14"/>
        <v>0</v>
      </c>
      <c r="U206">
        <f t="shared" si="15"/>
        <v>0</v>
      </c>
    </row>
    <row r="207" spans="1:21" ht="153" x14ac:dyDescent="0.2">
      <c r="A207">
        <v>206</v>
      </c>
      <c r="B207">
        <v>0</v>
      </c>
      <c r="C207" s="1" t="s">
        <v>1058</v>
      </c>
      <c r="D207" t="s">
        <v>117</v>
      </c>
      <c r="H207">
        <v>1</v>
      </c>
      <c r="I207">
        <v>1</v>
      </c>
      <c r="K207" s="15"/>
      <c r="L207" s="15"/>
      <c r="M207" s="15"/>
      <c r="N207" s="15">
        <v>1</v>
      </c>
      <c r="O207" s="15">
        <v>1</v>
      </c>
      <c r="R207">
        <f t="shared" si="12"/>
        <v>0</v>
      </c>
      <c r="S207">
        <f t="shared" si="13"/>
        <v>0</v>
      </c>
      <c r="T207">
        <f t="shared" si="14"/>
        <v>0</v>
      </c>
      <c r="U207">
        <f t="shared" si="15"/>
        <v>1</v>
      </c>
    </row>
    <row r="208" spans="1:21" ht="17" x14ac:dyDescent="0.2">
      <c r="A208">
        <v>207</v>
      </c>
      <c r="B208">
        <v>100</v>
      </c>
      <c r="C208" s="1" t="s">
        <v>1062</v>
      </c>
      <c r="D208" t="s">
        <v>135</v>
      </c>
      <c r="E208">
        <v>1</v>
      </c>
      <c r="K208" s="15">
        <v>1</v>
      </c>
      <c r="L208" s="15"/>
      <c r="M208" s="15"/>
      <c r="N208" s="15"/>
      <c r="O208" s="15"/>
      <c r="R208">
        <f t="shared" si="12"/>
        <v>1</v>
      </c>
      <c r="S208">
        <f t="shared" si="13"/>
        <v>0</v>
      </c>
      <c r="T208">
        <f t="shared" si="14"/>
        <v>0</v>
      </c>
      <c r="U208">
        <f t="shared" si="15"/>
        <v>0</v>
      </c>
    </row>
    <row r="209" spans="1:21" ht="34" x14ac:dyDescent="0.2">
      <c r="A209">
        <v>208</v>
      </c>
      <c r="B209">
        <v>30</v>
      </c>
      <c r="C209" s="1" t="s">
        <v>1066</v>
      </c>
      <c r="D209" t="s">
        <v>117</v>
      </c>
      <c r="K209" s="15"/>
      <c r="L209" s="15"/>
      <c r="M209" s="15"/>
      <c r="N209" s="15"/>
      <c r="O209" s="15"/>
      <c r="R209">
        <f t="shared" si="12"/>
        <v>0</v>
      </c>
      <c r="S209">
        <f t="shared" si="13"/>
        <v>0</v>
      </c>
      <c r="T209">
        <f t="shared" si="14"/>
        <v>0</v>
      </c>
      <c r="U209">
        <f t="shared" si="15"/>
        <v>0</v>
      </c>
    </row>
    <row r="210" spans="1:21" ht="51" x14ac:dyDescent="0.2">
      <c r="A210">
        <v>209</v>
      </c>
      <c r="B210">
        <v>100</v>
      </c>
      <c r="C210" s="1" t="s">
        <v>1070</v>
      </c>
      <c r="D210" t="s">
        <v>123</v>
      </c>
      <c r="E210">
        <v>1</v>
      </c>
      <c r="K210" s="15">
        <v>1</v>
      </c>
      <c r="L210" s="15"/>
      <c r="M210" s="15"/>
      <c r="N210" s="15"/>
      <c r="O210" s="15"/>
      <c r="R210">
        <f t="shared" si="12"/>
        <v>1</v>
      </c>
      <c r="S210">
        <f t="shared" si="13"/>
        <v>0</v>
      </c>
      <c r="T210">
        <f t="shared" si="14"/>
        <v>0</v>
      </c>
      <c r="U210">
        <f t="shared" si="15"/>
        <v>0</v>
      </c>
    </row>
    <row r="211" spans="1:21" ht="51" x14ac:dyDescent="0.2">
      <c r="A211">
        <v>210</v>
      </c>
      <c r="B211">
        <v>61</v>
      </c>
      <c r="C211" s="1" t="s">
        <v>1075</v>
      </c>
      <c r="D211" t="s">
        <v>117</v>
      </c>
      <c r="E211">
        <v>1</v>
      </c>
      <c r="K211" s="15">
        <v>1</v>
      </c>
      <c r="L211" s="15"/>
      <c r="M211" s="15"/>
      <c r="N211" s="15"/>
      <c r="O211" s="15"/>
      <c r="R211">
        <f t="shared" si="12"/>
        <v>1</v>
      </c>
      <c r="S211">
        <f t="shared" si="13"/>
        <v>0</v>
      </c>
      <c r="T211">
        <f t="shared" si="14"/>
        <v>0</v>
      </c>
      <c r="U211">
        <f t="shared" si="15"/>
        <v>0</v>
      </c>
    </row>
    <row r="212" spans="1:21" ht="119" x14ac:dyDescent="0.2">
      <c r="A212">
        <v>211</v>
      </c>
      <c r="B212">
        <v>0</v>
      </c>
      <c r="C212" s="1" t="s">
        <v>1080</v>
      </c>
      <c r="D212" t="s">
        <v>117</v>
      </c>
      <c r="H212">
        <v>1</v>
      </c>
      <c r="I212">
        <v>1</v>
      </c>
      <c r="K212" s="15"/>
      <c r="L212" s="15"/>
      <c r="M212" s="15"/>
      <c r="N212" s="15">
        <v>1</v>
      </c>
      <c r="O212" s="15">
        <v>1</v>
      </c>
      <c r="R212">
        <f t="shared" si="12"/>
        <v>0</v>
      </c>
      <c r="S212">
        <f t="shared" si="13"/>
        <v>0</v>
      </c>
      <c r="T212">
        <f t="shared" si="14"/>
        <v>0</v>
      </c>
      <c r="U212">
        <f t="shared" si="15"/>
        <v>1</v>
      </c>
    </row>
    <row r="213" spans="1:21" ht="51" x14ac:dyDescent="0.2">
      <c r="A213">
        <v>212</v>
      </c>
      <c r="B213">
        <v>19</v>
      </c>
      <c r="C213" s="1" t="s">
        <v>1084</v>
      </c>
      <c r="D213" t="s">
        <v>123</v>
      </c>
      <c r="K213" s="15"/>
      <c r="L213" s="15"/>
      <c r="M213" s="15"/>
      <c r="N213" s="15"/>
      <c r="O213" s="15"/>
      <c r="R213">
        <f t="shared" si="12"/>
        <v>0</v>
      </c>
      <c r="S213">
        <f t="shared" si="13"/>
        <v>0</v>
      </c>
      <c r="T213">
        <f t="shared" si="14"/>
        <v>0</v>
      </c>
      <c r="U213">
        <f t="shared" si="15"/>
        <v>0</v>
      </c>
    </row>
    <row r="214" spans="1:21" ht="17" x14ac:dyDescent="0.2">
      <c r="A214">
        <v>213</v>
      </c>
      <c r="B214">
        <v>80</v>
      </c>
      <c r="C214" s="1" t="s">
        <v>1088</v>
      </c>
      <c r="D214" t="s">
        <v>117</v>
      </c>
      <c r="E214">
        <v>1</v>
      </c>
      <c r="K214" s="15">
        <v>1</v>
      </c>
      <c r="L214" s="15"/>
      <c r="M214" s="15"/>
      <c r="N214" s="15"/>
      <c r="O214" s="15"/>
      <c r="R214">
        <f t="shared" si="12"/>
        <v>1</v>
      </c>
      <c r="S214">
        <f t="shared" si="13"/>
        <v>0</v>
      </c>
      <c r="T214">
        <f t="shared" si="14"/>
        <v>0</v>
      </c>
      <c r="U214">
        <f t="shared" si="15"/>
        <v>0</v>
      </c>
    </row>
    <row r="215" spans="1:21" ht="34" x14ac:dyDescent="0.2">
      <c r="A215">
        <v>214</v>
      </c>
      <c r="B215">
        <v>91</v>
      </c>
      <c r="C215" s="1" t="s">
        <v>1093</v>
      </c>
      <c r="D215" t="s">
        <v>128</v>
      </c>
      <c r="K215" s="15">
        <v>1</v>
      </c>
      <c r="L215" s="15"/>
      <c r="M215" s="15"/>
      <c r="N215" s="15"/>
      <c r="O215" s="15"/>
      <c r="R215" t="str">
        <f t="shared" si="12"/>
        <v>Disagree</v>
      </c>
      <c r="S215">
        <f t="shared" si="13"/>
        <v>0</v>
      </c>
      <c r="T215">
        <f t="shared" si="14"/>
        <v>0</v>
      </c>
      <c r="U215">
        <f t="shared" si="15"/>
        <v>0</v>
      </c>
    </row>
    <row r="216" spans="1:21" ht="17" x14ac:dyDescent="0.2">
      <c r="A216">
        <v>215</v>
      </c>
      <c r="B216">
        <v>38</v>
      </c>
      <c r="C216" s="1" t="s">
        <v>1099</v>
      </c>
      <c r="D216" t="s">
        <v>135</v>
      </c>
      <c r="G216">
        <v>1</v>
      </c>
      <c r="K216" s="15"/>
      <c r="L216" s="15"/>
      <c r="M216" s="15">
        <v>1</v>
      </c>
      <c r="N216" s="15"/>
      <c r="O216" s="15"/>
      <c r="R216">
        <f t="shared" si="12"/>
        <v>0</v>
      </c>
      <c r="S216">
        <f t="shared" si="13"/>
        <v>0</v>
      </c>
      <c r="T216">
        <f t="shared" si="14"/>
        <v>1</v>
      </c>
      <c r="U216">
        <f t="shared" si="15"/>
        <v>0</v>
      </c>
    </row>
    <row r="217" spans="1:21" ht="51" x14ac:dyDescent="0.2">
      <c r="A217">
        <v>216</v>
      </c>
      <c r="B217">
        <v>22</v>
      </c>
      <c r="C217" s="1" t="s">
        <v>1103</v>
      </c>
      <c r="D217" t="s">
        <v>117</v>
      </c>
      <c r="G217">
        <v>1</v>
      </c>
      <c r="K217" s="15"/>
      <c r="L217" s="15"/>
      <c r="M217" s="15">
        <v>1</v>
      </c>
      <c r="N217" s="15"/>
      <c r="O217" s="15"/>
      <c r="R217">
        <f t="shared" si="12"/>
        <v>0</v>
      </c>
      <c r="S217">
        <f t="shared" si="13"/>
        <v>0</v>
      </c>
      <c r="T217">
        <f t="shared" si="14"/>
        <v>1</v>
      </c>
      <c r="U217">
        <f t="shared" si="15"/>
        <v>0</v>
      </c>
    </row>
    <row r="218" spans="1:21" ht="85" x14ac:dyDescent="0.2">
      <c r="A218">
        <v>217</v>
      </c>
      <c r="B218">
        <v>50</v>
      </c>
      <c r="C218" s="1" t="s">
        <v>1107</v>
      </c>
      <c r="D218" t="s">
        <v>123</v>
      </c>
      <c r="G218">
        <v>1</v>
      </c>
      <c r="K218" s="15">
        <v>1</v>
      </c>
      <c r="L218" s="15"/>
      <c r="M218" s="15">
        <v>1</v>
      </c>
      <c r="N218" s="15"/>
      <c r="O218" s="15"/>
      <c r="R218" t="str">
        <f t="shared" si="12"/>
        <v>Disagree</v>
      </c>
      <c r="S218">
        <f t="shared" si="13"/>
        <v>0</v>
      </c>
      <c r="T218">
        <f t="shared" si="14"/>
        <v>1</v>
      </c>
      <c r="U218">
        <f t="shared" si="15"/>
        <v>0</v>
      </c>
    </row>
    <row r="219" spans="1:21" ht="34" x14ac:dyDescent="0.2">
      <c r="A219">
        <v>218</v>
      </c>
      <c r="B219">
        <v>71</v>
      </c>
      <c r="C219" s="1" t="s">
        <v>1113</v>
      </c>
      <c r="D219" t="s">
        <v>135</v>
      </c>
      <c r="I219">
        <v>1</v>
      </c>
      <c r="K219" s="15">
        <v>1</v>
      </c>
      <c r="L219" s="15"/>
      <c r="M219" s="15"/>
      <c r="N219" s="15"/>
      <c r="O219" s="15">
        <v>1</v>
      </c>
      <c r="R219" t="str">
        <f t="shared" si="12"/>
        <v>Disagree</v>
      </c>
      <c r="S219">
        <f t="shared" si="13"/>
        <v>0</v>
      </c>
      <c r="T219">
        <f t="shared" si="14"/>
        <v>0</v>
      </c>
      <c r="U219">
        <f t="shared" si="15"/>
        <v>0</v>
      </c>
    </row>
    <row r="220" spans="1:21" ht="34" x14ac:dyDescent="0.2">
      <c r="A220">
        <v>219</v>
      </c>
      <c r="B220">
        <v>49</v>
      </c>
      <c r="C220" s="1" t="s">
        <v>1117</v>
      </c>
      <c r="D220" t="s">
        <v>117</v>
      </c>
      <c r="K220" s="15"/>
      <c r="L220" s="15"/>
      <c r="M220" s="15"/>
      <c r="N220" s="15"/>
      <c r="O220" s="15"/>
      <c r="R220">
        <f t="shared" si="12"/>
        <v>0</v>
      </c>
      <c r="S220">
        <f t="shared" si="13"/>
        <v>0</v>
      </c>
      <c r="T220">
        <f t="shared" si="14"/>
        <v>0</v>
      </c>
      <c r="U220">
        <f t="shared" si="15"/>
        <v>0</v>
      </c>
    </row>
    <row r="221" spans="1:21" ht="85" x14ac:dyDescent="0.2">
      <c r="A221">
        <v>220</v>
      </c>
      <c r="B221">
        <v>34</v>
      </c>
      <c r="C221" s="1" t="s">
        <v>1121</v>
      </c>
      <c r="D221" t="s">
        <v>117</v>
      </c>
      <c r="H221">
        <v>1</v>
      </c>
      <c r="K221" s="15"/>
      <c r="L221" s="15"/>
      <c r="M221" s="15">
        <v>1</v>
      </c>
      <c r="N221" s="15"/>
      <c r="O221" s="15"/>
      <c r="R221">
        <f t="shared" si="12"/>
        <v>0</v>
      </c>
      <c r="S221">
        <f t="shared" si="13"/>
        <v>0</v>
      </c>
      <c r="T221" t="str">
        <f t="shared" si="14"/>
        <v>Disagree</v>
      </c>
      <c r="U221" t="str">
        <f t="shared" si="15"/>
        <v>Disagree</v>
      </c>
    </row>
    <row r="222" spans="1:21" ht="34" x14ac:dyDescent="0.2">
      <c r="A222">
        <v>221</v>
      </c>
      <c r="B222">
        <v>21</v>
      </c>
      <c r="C222" s="1" t="s">
        <v>1125</v>
      </c>
      <c r="D222" t="s">
        <v>128</v>
      </c>
      <c r="I222">
        <v>1</v>
      </c>
      <c r="K222" s="15"/>
      <c r="L222" s="15"/>
      <c r="M222" s="15"/>
      <c r="N222" s="15"/>
      <c r="O222" s="15">
        <v>1</v>
      </c>
      <c r="R222">
        <f t="shared" si="12"/>
        <v>0</v>
      </c>
      <c r="S222">
        <f t="shared" si="13"/>
        <v>0</v>
      </c>
      <c r="T222">
        <f t="shared" si="14"/>
        <v>0</v>
      </c>
      <c r="U222">
        <f t="shared" si="15"/>
        <v>0</v>
      </c>
    </row>
    <row r="223" spans="1:21" ht="34" x14ac:dyDescent="0.2">
      <c r="A223">
        <v>222</v>
      </c>
      <c r="B223">
        <v>55</v>
      </c>
      <c r="C223" s="1" t="s">
        <v>1129</v>
      </c>
      <c r="D223" t="s">
        <v>135</v>
      </c>
      <c r="F223">
        <v>1</v>
      </c>
      <c r="K223" s="15">
        <v>1</v>
      </c>
      <c r="L223" s="15"/>
      <c r="M223" s="15"/>
      <c r="N223" s="15"/>
      <c r="O223" s="15"/>
      <c r="R223" t="str">
        <f t="shared" si="12"/>
        <v>Disagree</v>
      </c>
      <c r="S223" t="str">
        <f t="shared" si="13"/>
        <v>Disagree</v>
      </c>
      <c r="T223">
        <f t="shared" si="14"/>
        <v>0</v>
      </c>
      <c r="U223">
        <f t="shared" si="15"/>
        <v>0</v>
      </c>
    </row>
    <row r="224" spans="1:21" ht="51" x14ac:dyDescent="0.2">
      <c r="A224">
        <v>223</v>
      </c>
      <c r="B224">
        <v>0</v>
      </c>
      <c r="C224" s="1" t="s">
        <v>1135</v>
      </c>
      <c r="D224" t="s">
        <v>123</v>
      </c>
      <c r="F224">
        <v>1</v>
      </c>
      <c r="G224">
        <v>1</v>
      </c>
      <c r="K224" s="15"/>
      <c r="L224" s="15">
        <v>1</v>
      </c>
      <c r="M224" s="15">
        <v>1</v>
      </c>
      <c r="N224" s="15"/>
      <c r="O224" s="15"/>
      <c r="R224">
        <f t="shared" si="12"/>
        <v>0</v>
      </c>
      <c r="S224">
        <f t="shared" si="13"/>
        <v>1</v>
      </c>
      <c r="T224">
        <f t="shared" si="14"/>
        <v>1</v>
      </c>
      <c r="U224">
        <f t="shared" si="15"/>
        <v>0</v>
      </c>
    </row>
    <row r="225" spans="1:21" ht="51" x14ac:dyDescent="0.2">
      <c r="A225">
        <v>224</v>
      </c>
      <c r="B225">
        <v>81</v>
      </c>
      <c r="C225" s="1" t="s">
        <v>1139</v>
      </c>
      <c r="D225" t="s">
        <v>128</v>
      </c>
      <c r="E225">
        <v>1</v>
      </c>
      <c r="K225" s="15">
        <v>1</v>
      </c>
      <c r="L225" s="15"/>
      <c r="M225" s="15"/>
      <c r="N225" s="15"/>
      <c r="O225" s="15"/>
      <c r="R225">
        <f t="shared" si="12"/>
        <v>1</v>
      </c>
      <c r="S225">
        <f t="shared" si="13"/>
        <v>0</v>
      </c>
      <c r="T225">
        <f t="shared" si="14"/>
        <v>0</v>
      </c>
      <c r="U225">
        <f t="shared" si="15"/>
        <v>0</v>
      </c>
    </row>
    <row r="226" spans="1:21" ht="51" x14ac:dyDescent="0.2">
      <c r="A226">
        <v>225</v>
      </c>
      <c r="B226">
        <v>60</v>
      </c>
      <c r="C226" s="1" t="s">
        <v>1143</v>
      </c>
      <c r="D226" t="s">
        <v>128</v>
      </c>
      <c r="E226">
        <v>1</v>
      </c>
      <c r="K226" s="15">
        <v>1</v>
      </c>
      <c r="L226" s="15"/>
      <c r="M226" s="15"/>
      <c r="N226" s="15"/>
      <c r="O226" s="15"/>
      <c r="R226">
        <f t="shared" si="12"/>
        <v>1</v>
      </c>
      <c r="S226">
        <f t="shared" si="13"/>
        <v>0</v>
      </c>
      <c r="T226">
        <f t="shared" si="14"/>
        <v>0</v>
      </c>
      <c r="U226">
        <f t="shared" si="15"/>
        <v>0</v>
      </c>
    </row>
    <row r="227" spans="1:21" ht="51" x14ac:dyDescent="0.2">
      <c r="A227">
        <v>226</v>
      </c>
      <c r="B227">
        <v>65</v>
      </c>
      <c r="C227" s="1" t="s">
        <v>1147</v>
      </c>
      <c r="D227" t="s">
        <v>135</v>
      </c>
      <c r="E227">
        <v>1</v>
      </c>
      <c r="G227">
        <v>1</v>
      </c>
      <c r="K227" s="15">
        <v>1</v>
      </c>
      <c r="L227" s="15"/>
      <c r="M227" s="15">
        <v>1</v>
      </c>
      <c r="N227" s="15"/>
      <c r="O227" s="15"/>
      <c r="R227">
        <f t="shared" si="12"/>
        <v>1</v>
      </c>
      <c r="S227">
        <f t="shared" si="13"/>
        <v>0</v>
      </c>
      <c r="T227">
        <f t="shared" si="14"/>
        <v>1</v>
      </c>
      <c r="U227">
        <f t="shared" si="15"/>
        <v>0</v>
      </c>
    </row>
    <row r="228" spans="1:21" ht="17" x14ac:dyDescent="0.2">
      <c r="A228">
        <v>227</v>
      </c>
      <c r="B228">
        <v>65</v>
      </c>
      <c r="C228" s="1" t="s">
        <v>1151</v>
      </c>
      <c r="D228" t="s">
        <v>128</v>
      </c>
      <c r="G228">
        <v>1</v>
      </c>
      <c r="K228" s="15"/>
      <c r="L228" s="15"/>
      <c r="M228" s="15">
        <v>1</v>
      </c>
      <c r="N228" s="15"/>
      <c r="O228" s="15"/>
      <c r="R228">
        <f t="shared" si="12"/>
        <v>0</v>
      </c>
      <c r="S228">
        <f t="shared" si="13"/>
        <v>0</v>
      </c>
      <c r="T228">
        <f t="shared" si="14"/>
        <v>1</v>
      </c>
      <c r="U228">
        <f t="shared" si="15"/>
        <v>0</v>
      </c>
    </row>
    <row r="229" spans="1:21" ht="51" x14ac:dyDescent="0.2">
      <c r="A229">
        <v>228</v>
      </c>
      <c r="B229">
        <v>25</v>
      </c>
      <c r="C229" s="1" t="s">
        <v>1159</v>
      </c>
      <c r="D229" t="s">
        <v>123</v>
      </c>
      <c r="I229">
        <v>1</v>
      </c>
      <c r="K229" s="15">
        <v>1</v>
      </c>
      <c r="L229" s="15"/>
      <c r="M229" s="15"/>
      <c r="N229" s="15"/>
      <c r="O229" s="15">
        <v>1</v>
      </c>
      <c r="R229" t="str">
        <f t="shared" si="12"/>
        <v>Disagree</v>
      </c>
      <c r="S229">
        <f t="shared" si="13"/>
        <v>0</v>
      </c>
      <c r="T229">
        <f t="shared" si="14"/>
        <v>0</v>
      </c>
      <c r="U229">
        <f t="shared" si="15"/>
        <v>0</v>
      </c>
    </row>
    <row r="230" spans="1:21" ht="17" x14ac:dyDescent="0.2">
      <c r="A230">
        <v>229</v>
      </c>
      <c r="B230">
        <v>50</v>
      </c>
      <c r="C230" s="1" t="s">
        <v>1163</v>
      </c>
      <c r="D230" t="s">
        <v>128</v>
      </c>
      <c r="I230">
        <v>1</v>
      </c>
      <c r="K230" s="15"/>
      <c r="L230" s="15"/>
      <c r="M230" s="15"/>
      <c r="N230" s="15"/>
      <c r="O230" s="15">
        <v>1</v>
      </c>
      <c r="R230">
        <f t="shared" si="12"/>
        <v>0</v>
      </c>
      <c r="S230">
        <f t="shared" si="13"/>
        <v>0</v>
      </c>
      <c r="T230">
        <f t="shared" si="14"/>
        <v>0</v>
      </c>
      <c r="U230">
        <f t="shared" si="15"/>
        <v>0</v>
      </c>
    </row>
    <row r="231" spans="1:21" ht="51" x14ac:dyDescent="0.2">
      <c r="A231">
        <v>230</v>
      </c>
      <c r="B231">
        <v>0</v>
      </c>
      <c r="C231" s="1" t="s">
        <v>1169</v>
      </c>
      <c r="D231" t="s">
        <v>123</v>
      </c>
      <c r="F231">
        <v>1</v>
      </c>
      <c r="K231" s="15"/>
      <c r="L231" s="15">
        <v>1</v>
      </c>
      <c r="M231" s="15"/>
      <c r="N231" s="15"/>
      <c r="O231" s="15"/>
      <c r="R231">
        <f t="shared" si="12"/>
        <v>0</v>
      </c>
      <c r="S231">
        <f t="shared" si="13"/>
        <v>1</v>
      </c>
      <c r="T231">
        <f t="shared" si="14"/>
        <v>0</v>
      </c>
      <c r="U231">
        <f t="shared" si="15"/>
        <v>0</v>
      </c>
    </row>
    <row r="232" spans="1:21" ht="34" x14ac:dyDescent="0.2">
      <c r="A232">
        <v>231</v>
      </c>
      <c r="B232">
        <v>49</v>
      </c>
      <c r="C232" s="1" t="s">
        <v>1173</v>
      </c>
      <c r="D232" t="s">
        <v>135</v>
      </c>
      <c r="F232">
        <v>1</v>
      </c>
      <c r="G232">
        <v>1</v>
      </c>
      <c r="K232" s="15"/>
      <c r="L232" s="15">
        <v>1</v>
      </c>
      <c r="M232" s="15">
        <v>1</v>
      </c>
      <c r="N232" s="15"/>
      <c r="O232" s="15"/>
      <c r="R232">
        <f t="shared" si="12"/>
        <v>0</v>
      </c>
      <c r="S232">
        <f t="shared" si="13"/>
        <v>1</v>
      </c>
      <c r="T232">
        <f t="shared" si="14"/>
        <v>1</v>
      </c>
      <c r="U232">
        <f t="shared" si="15"/>
        <v>0</v>
      </c>
    </row>
    <row r="233" spans="1:21" ht="68" x14ac:dyDescent="0.2">
      <c r="A233">
        <v>232</v>
      </c>
      <c r="B233">
        <v>19</v>
      </c>
      <c r="C233" s="1" t="s">
        <v>1178</v>
      </c>
      <c r="D233" t="s">
        <v>123</v>
      </c>
      <c r="F233">
        <v>1</v>
      </c>
      <c r="G233">
        <v>1</v>
      </c>
      <c r="K233" s="15"/>
      <c r="L233" s="15">
        <v>1</v>
      </c>
      <c r="M233" s="15">
        <v>1</v>
      </c>
      <c r="N233" s="15"/>
      <c r="O233" s="15"/>
      <c r="R233">
        <f t="shared" si="12"/>
        <v>0</v>
      </c>
      <c r="S233">
        <f t="shared" si="13"/>
        <v>1</v>
      </c>
      <c r="T233">
        <f t="shared" si="14"/>
        <v>1</v>
      </c>
      <c r="U233">
        <f t="shared" si="15"/>
        <v>0</v>
      </c>
    </row>
    <row r="234" spans="1:21" ht="17" x14ac:dyDescent="0.2">
      <c r="A234">
        <v>233</v>
      </c>
      <c r="B234">
        <v>7</v>
      </c>
      <c r="C234" s="1" t="s">
        <v>1183</v>
      </c>
      <c r="D234" t="s">
        <v>123</v>
      </c>
      <c r="F234">
        <v>1</v>
      </c>
      <c r="K234" s="15"/>
      <c r="L234" s="15">
        <v>1</v>
      </c>
      <c r="M234" s="15"/>
      <c r="N234" s="15"/>
      <c r="O234" s="15"/>
      <c r="R234">
        <f t="shared" si="12"/>
        <v>0</v>
      </c>
      <c r="S234">
        <f t="shared" si="13"/>
        <v>1</v>
      </c>
      <c r="T234">
        <f t="shared" si="14"/>
        <v>0</v>
      </c>
      <c r="U234">
        <f t="shared" si="15"/>
        <v>0</v>
      </c>
    </row>
    <row r="235" spans="1:21" ht="34" x14ac:dyDescent="0.2">
      <c r="A235">
        <v>234</v>
      </c>
      <c r="B235">
        <v>10</v>
      </c>
      <c r="C235" s="1" t="s">
        <v>1187</v>
      </c>
      <c r="D235" t="s">
        <v>123</v>
      </c>
      <c r="F235">
        <v>1</v>
      </c>
      <c r="G235">
        <v>1</v>
      </c>
      <c r="K235" s="15"/>
      <c r="L235" s="15">
        <v>1</v>
      </c>
      <c r="M235" s="15">
        <v>1</v>
      </c>
      <c r="N235" s="15"/>
      <c r="O235" s="15"/>
      <c r="R235">
        <f t="shared" si="12"/>
        <v>0</v>
      </c>
      <c r="S235">
        <f t="shared" si="13"/>
        <v>1</v>
      </c>
      <c r="T235">
        <f t="shared" si="14"/>
        <v>1</v>
      </c>
      <c r="U235">
        <f t="shared" si="15"/>
        <v>0</v>
      </c>
    </row>
    <row r="236" spans="1:21" ht="17" x14ac:dyDescent="0.2">
      <c r="A236">
        <v>235</v>
      </c>
      <c r="B236">
        <v>60</v>
      </c>
      <c r="C236" s="1" t="s">
        <v>1191</v>
      </c>
      <c r="D236" t="s">
        <v>123</v>
      </c>
      <c r="K236" s="15">
        <v>1</v>
      </c>
      <c r="L236" s="15"/>
      <c r="M236" s="15"/>
      <c r="N236" s="15"/>
      <c r="O236" s="15"/>
      <c r="R236" t="str">
        <f t="shared" si="12"/>
        <v>Disagree</v>
      </c>
      <c r="S236">
        <f t="shared" si="13"/>
        <v>0</v>
      </c>
      <c r="T236">
        <f t="shared" si="14"/>
        <v>0</v>
      </c>
      <c r="U236">
        <f t="shared" si="15"/>
        <v>0</v>
      </c>
    </row>
    <row r="237" spans="1:21" ht="51" x14ac:dyDescent="0.2">
      <c r="A237">
        <v>236</v>
      </c>
      <c r="B237">
        <v>50</v>
      </c>
      <c r="C237" s="1" t="s">
        <v>1195</v>
      </c>
      <c r="D237" t="s">
        <v>117</v>
      </c>
      <c r="G237">
        <v>1</v>
      </c>
      <c r="I237">
        <v>1</v>
      </c>
      <c r="K237" s="15"/>
      <c r="L237" s="15"/>
      <c r="M237" s="15">
        <v>1</v>
      </c>
      <c r="N237" s="15"/>
      <c r="O237" s="15"/>
      <c r="R237">
        <f t="shared" si="12"/>
        <v>0</v>
      </c>
      <c r="S237">
        <f t="shared" si="13"/>
        <v>0</v>
      </c>
      <c r="T237">
        <f t="shared" si="14"/>
        <v>1</v>
      </c>
      <c r="U237">
        <f t="shared" si="15"/>
        <v>0</v>
      </c>
    </row>
    <row r="238" spans="1:21" ht="17" x14ac:dyDescent="0.2">
      <c r="A238">
        <v>237</v>
      </c>
      <c r="B238">
        <v>100</v>
      </c>
      <c r="C238" s="1" t="s">
        <v>1199</v>
      </c>
      <c r="D238" t="s">
        <v>123</v>
      </c>
      <c r="E238">
        <v>1</v>
      </c>
      <c r="K238" s="15">
        <v>1</v>
      </c>
      <c r="L238" s="15"/>
      <c r="M238" s="15"/>
      <c r="N238" s="15"/>
      <c r="O238" s="15"/>
      <c r="R238">
        <f t="shared" si="12"/>
        <v>1</v>
      </c>
      <c r="S238">
        <f t="shared" si="13"/>
        <v>0</v>
      </c>
      <c r="T238">
        <f t="shared" si="14"/>
        <v>0</v>
      </c>
      <c r="U238">
        <f t="shared" si="15"/>
        <v>0</v>
      </c>
    </row>
    <row r="239" spans="1:21" ht="51" x14ac:dyDescent="0.2">
      <c r="A239">
        <v>238</v>
      </c>
      <c r="B239">
        <v>22</v>
      </c>
      <c r="C239" s="1" t="s">
        <v>1203</v>
      </c>
      <c r="D239" t="s">
        <v>117</v>
      </c>
      <c r="G239">
        <v>1</v>
      </c>
      <c r="K239" s="15"/>
      <c r="L239" s="15"/>
      <c r="M239" s="15">
        <v>1</v>
      </c>
      <c r="N239" s="15"/>
      <c r="O239" s="15"/>
      <c r="R239">
        <f t="shared" si="12"/>
        <v>0</v>
      </c>
      <c r="S239">
        <f t="shared" si="13"/>
        <v>0</v>
      </c>
      <c r="T239">
        <f t="shared" si="14"/>
        <v>1</v>
      </c>
      <c r="U239">
        <f t="shared" si="15"/>
        <v>0</v>
      </c>
    </row>
    <row r="240" spans="1:21" ht="34" x14ac:dyDescent="0.2">
      <c r="A240">
        <v>239</v>
      </c>
      <c r="B240">
        <v>10</v>
      </c>
      <c r="C240" s="1" t="s">
        <v>1207</v>
      </c>
      <c r="D240" t="s">
        <v>135</v>
      </c>
      <c r="F240">
        <v>1</v>
      </c>
      <c r="K240" s="15"/>
      <c r="L240" s="15">
        <v>1</v>
      </c>
      <c r="M240" s="15"/>
      <c r="N240" s="15"/>
      <c r="O240" s="15"/>
      <c r="R240">
        <f t="shared" si="12"/>
        <v>0</v>
      </c>
      <c r="S240">
        <f t="shared" si="13"/>
        <v>1</v>
      </c>
      <c r="T240">
        <f t="shared" si="14"/>
        <v>0</v>
      </c>
      <c r="U240">
        <f t="shared" si="15"/>
        <v>0</v>
      </c>
    </row>
    <row r="241" spans="1:21" ht="51" x14ac:dyDescent="0.2">
      <c r="A241">
        <v>240</v>
      </c>
      <c r="B241">
        <v>0</v>
      </c>
      <c r="C241" s="1" t="s">
        <v>1211</v>
      </c>
      <c r="D241" t="s">
        <v>123</v>
      </c>
      <c r="I241">
        <v>1</v>
      </c>
      <c r="K241" s="15"/>
      <c r="L241" s="15"/>
      <c r="M241" s="15"/>
      <c r="N241" s="15"/>
      <c r="O241" s="15">
        <v>1</v>
      </c>
      <c r="R241">
        <f t="shared" si="12"/>
        <v>0</v>
      </c>
      <c r="S241">
        <f t="shared" si="13"/>
        <v>0</v>
      </c>
      <c r="T241">
        <f t="shared" si="14"/>
        <v>0</v>
      </c>
      <c r="U241">
        <f t="shared" si="15"/>
        <v>0</v>
      </c>
    </row>
    <row r="242" spans="1:21" ht="68" x14ac:dyDescent="0.2">
      <c r="A242">
        <v>241</v>
      </c>
      <c r="B242">
        <v>55</v>
      </c>
      <c r="C242" s="1" t="s">
        <v>1215</v>
      </c>
      <c r="D242" t="s">
        <v>123</v>
      </c>
      <c r="E242">
        <v>1</v>
      </c>
      <c r="K242" s="15">
        <v>1</v>
      </c>
      <c r="L242" s="15"/>
      <c r="M242" s="15"/>
      <c r="N242" s="15"/>
      <c r="O242" s="15"/>
      <c r="R242">
        <f t="shared" si="12"/>
        <v>1</v>
      </c>
      <c r="S242">
        <f t="shared" si="13"/>
        <v>0</v>
      </c>
      <c r="T242">
        <f t="shared" si="14"/>
        <v>0</v>
      </c>
      <c r="U242">
        <f t="shared" si="15"/>
        <v>0</v>
      </c>
    </row>
    <row r="243" spans="1:21" ht="17" x14ac:dyDescent="0.2">
      <c r="A243">
        <v>242</v>
      </c>
      <c r="B243">
        <v>100</v>
      </c>
      <c r="C243" s="1" t="s">
        <v>1219</v>
      </c>
      <c r="D243" t="s">
        <v>123</v>
      </c>
      <c r="K243" s="15">
        <v>1</v>
      </c>
      <c r="L243" s="15"/>
      <c r="M243" s="15"/>
      <c r="N243" s="15"/>
      <c r="O243" s="15"/>
      <c r="R243" t="str">
        <f t="shared" si="12"/>
        <v>Disagree</v>
      </c>
      <c r="S243">
        <f t="shared" si="13"/>
        <v>0</v>
      </c>
      <c r="T243">
        <f t="shared" si="14"/>
        <v>0</v>
      </c>
      <c r="U243">
        <f t="shared" si="15"/>
        <v>0</v>
      </c>
    </row>
    <row r="244" spans="1:21" ht="68" x14ac:dyDescent="0.2">
      <c r="A244">
        <v>243</v>
      </c>
      <c r="B244">
        <v>15</v>
      </c>
      <c r="C244" s="1" t="s">
        <v>1223</v>
      </c>
      <c r="D244" t="s">
        <v>128</v>
      </c>
      <c r="G244">
        <v>1</v>
      </c>
      <c r="I244">
        <v>1</v>
      </c>
      <c r="K244" s="15"/>
      <c r="L244" s="15"/>
      <c r="M244" s="15">
        <v>1</v>
      </c>
      <c r="N244" s="15"/>
      <c r="O244" s="15">
        <v>1</v>
      </c>
      <c r="R244">
        <f t="shared" si="12"/>
        <v>0</v>
      </c>
      <c r="S244">
        <f t="shared" si="13"/>
        <v>0</v>
      </c>
      <c r="T244">
        <f t="shared" si="14"/>
        <v>1</v>
      </c>
      <c r="U244">
        <f t="shared" si="15"/>
        <v>0</v>
      </c>
    </row>
    <row r="245" spans="1:21" ht="34" x14ac:dyDescent="0.2">
      <c r="A245">
        <v>244</v>
      </c>
      <c r="B245">
        <v>2</v>
      </c>
      <c r="C245" s="1" t="s">
        <v>1227</v>
      </c>
      <c r="D245" t="s">
        <v>135</v>
      </c>
      <c r="F245">
        <v>1</v>
      </c>
      <c r="G245">
        <v>1</v>
      </c>
      <c r="K245" s="15"/>
      <c r="L245" s="15">
        <v>1</v>
      </c>
      <c r="M245" s="15">
        <v>1</v>
      </c>
      <c r="N245" s="15"/>
      <c r="O245" s="15"/>
      <c r="R245">
        <f t="shared" si="12"/>
        <v>0</v>
      </c>
      <c r="S245">
        <f t="shared" si="13"/>
        <v>1</v>
      </c>
      <c r="T245">
        <f t="shared" si="14"/>
        <v>1</v>
      </c>
      <c r="U245">
        <f t="shared" si="15"/>
        <v>0</v>
      </c>
    </row>
    <row r="246" spans="1:21" ht="17" x14ac:dyDescent="0.2">
      <c r="A246">
        <v>245</v>
      </c>
      <c r="B246">
        <v>60</v>
      </c>
      <c r="C246" s="1" t="s">
        <v>1231</v>
      </c>
      <c r="D246" t="s">
        <v>123</v>
      </c>
      <c r="K246" s="15"/>
      <c r="L246" s="15"/>
      <c r="M246" s="15"/>
      <c r="N246" s="15"/>
      <c r="O246" s="15"/>
      <c r="R246">
        <f t="shared" si="12"/>
        <v>0</v>
      </c>
      <c r="S246">
        <f t="shared" si="13"/>
        <v>0</v>
      </c>
      <c r="T246">
        <f t="shared" si="14"/>
        <v>0</v>
      </c>
      <c r="U246">
        <f t="shared" si="15"/>
        <v>0</v>
      </c>
    </row>
    <row r="247" spans="1:21" ht="68" x14ac:dyDescent="0.2">
      <c r="A247">
        <v>246</v>
      </c>
      <c r="B247">
        <v>98</v>
      </c>
      <c r="C247" s="1" t="s">
        <v>1236</v>
      </c>
      <c r="D247" t="s">
        <v>123</v>
      </c>
      <c r="E247">
        <v>1</v>
      </c>
      <c r="K247" s="15">
        <v>1</v>
      </c>
      <c r="L247" s="15"/>
      <c r="M247" s="15"/>
      <c r="N247" s="15"/>
      <c r="O247" s="15"/>
      <c r="R247">
        <f t="shared" si="12"/>
        <v>1</v>
      </c>
      <c r="S247">
        <f t="shared" si="13"/>
        <v>0</v>
      </c>
      <c r="T247">
        <f t="shared" si="14"/>
        <v>0</v>
      </c>
      <c r="U247">
        <f t="shared" si="15"/>
        <v>0</v>
      </c>
    </row>
    <row r="248" spans="1:21" ht="17" x14ac:dyDescent="0.2">
      <c r="A248">
        <v>247</v>
      </c>
      <c r="B248">
        <v>22</v>
      </c>
      <c r="C248" s="1" t="s">
        <v>1241</v>
      </c>
      <c r="D248" t="s">
        <v>135</v>
      </c>
      <c r="F248">
        <v>1</v>
      </c>
      <c r="G248">
        <v>1</v>
      </c>
      <c r="K248" s="15"/>
      <c r="L248" s="15">
        <v>1</v>
      </c>
      <c r="M248" s="15">
        <v>1</v>
      </c>
      <c r="N248" s="15"/>
      <c r="O248" s="15"/>
      <c r="R248">
        <f t="shared" si="12"/>
        <v>0</v>
      </c>
      <c r="S248">
        <f t="shared" si="13"/>
        <v>1</v>
      </c>
      <c r="T248">
        <f t="shared" si="14"/>
        <v>1</v>
      </c>
      <c r="U248">
        <f t="shared" si="15"/>
        <v>0</v>
      </c>
    </row>
    <row r="249" spans="1:21" ht="34" x14ac:dyDescent="0.2">
      <c r="A249">
        <v>248</v>
      </c>
      <c r="B249">
        <v>8</v>
      </c>
      <c r="C249" s="1" t="s">
        <v>1245</v>
      </c>
      <c r="D249" t="s">
        <v>135</v>
      </c>
      <c r="F249">
        <v>1</v>
      </c>
      <c r="G249">
        <v>1</v>
      </c>
      <c r="K249" s="15"/>
      <c r="L249" s="15">
        <v>1</v>
      </c>
      <c r="M249" s="15">
        <v>1</v>
      </c>
      <c r="N249" s="15"/>
      <c r="O249" s="15"/>
      <c r="R249">
        <f t="shared" si="12"/>
        <v>0</v>
      </c>
      <c r="S249">
        <f t="shared" si="13"/>
        <v>1</v>
      </c>
      <c r="T249">
        <f t="shared" si="14"/>
        <v>1</v>
      </c>
      <c r="U249">
        <f t="shared" si="15"/>
        <v>0</v>
      </c>
    </row>
    <row r="250" spans="1:21" ht="34" x14ac:dyDescent="0.2">
      <c r="A250">
        <v>249</v>
      </c>
      <c r="B250">
        <v>89</v>
      </c>
      <c r="C250" s="1" t="s">
        <v>1250</v>
      </c>
      <c r="D250" t="s">
        <v>117</v>
      </c>
      <c r="E250">
        <v>1</v>
      </c>
      <c r="K250" s="15">
        <v>1</v>
      </c>
      <c r="L250" s="15"/>
      <c r="M250" s="15"/>
      <c r="N250" s="15"/>
      <c r="O250" s="15"/>
      <c r="R250">
        <f t="shared" si="12"/>
        <v>1</v>
      </c>
      <c r="S250">
        <f t="shared" si="13"/>
        <v>0</v>
      </c>
      <c r="T250">
        <f t="shared" si="14"/>
        <v>0</v>
      </c>
      <c r="U250">
        <f t="shared" si="15"/>
        <v>0</v>
      </c>
    </row>
    <row r="251" spans="1:21" ht="68" x14ac:dyDescent="0.2">
      <c r="A251">
        <v>250</v>
      </c>
      <c r="B251">
        <v>66</v>
      </c>
      <c r="C251" s="1" t="s">
        <v>1254</v>
      </c>
      <c r="D251" t="s">
        <v>128</v>
      </c>
      <c r="E251">
        <v>1</v>
      </c>
      <c r="K251" s="15">
        <v>1</v>
      </c>
      <c r="L251" s="15"/>
      <c r="M251" s="15"/>
      <c r="N251" s="15"/>
      <c r="O251" s="15"/>
      <c r="R251">
        <f t="shared" si="12"/>
        <v>1</v>
      </c>
      <c r="S251">
        <f t="shared" si="13"/>
        <v>0</v>
      </c>
      <c r="T251">
        <f t="shared" si="14"/>
        <v>0</v>
      </c>
      <c r="U251">
        <f t="shared" si="15"/>
        <v>0</v>
      </c>
    </row>
    <row r="252" spans="1:21" ht="34" x14ac:dyDescent="0.2">
      <c r="A252">
        <v>251</v>
      </c>
      <c r="B252">
        <v>0</v>
      </c>
      <c r="C252" s="1" t="s">
        <v>1258</v>
      </c>
      <c r="D252" t="s">
        <v>123</v>
      </c>
      <c r="F252">
        <v>1</v>
      </c>
      <c r="G252">
        <v>1</v>
      </c>
      <c r="K252" s="15"/>
      <c r="L252" s="15">
        <v>1</v>
      </c>
      <c r="M252" s="15">
        <v>1</v>
      </c>
      <c r="N252" s="15"/>
      <c r="O252" s="15"/>
      <c r="R252">
        <f t="shared" si="12"/>
        <v>0</v>
      </c>
      <c r="S252">
        <f t="shared" si="13"/>
        <v>1</v>
      </c>
      <c r="T252">
        <f t="shared" si="14"/>
        <v>1</v>
      </c>
      <c r="U252">
        <f t="shared" si="15"/>
        <v>0</v>
      </c>
    </row>
    <row r="253" spans="1:21" ht="17" x14ac:dyDescent="0.2">
      <c r="A253">
        <v>252</v>
      </c>
      <c r="B253">
        <v>0</v>
      </c>
      <c r="C253" s="1" t="s">
        <v>1262</v>
      </c>
      <c r="D253" t="s">
        <v>123</v>
      </c>
      <c r="K253" s="15"/>
      <c r="L253" s="15">
        <v>1</v>
      </c>
      <c r="M253" s="15"/>
      <c r="N253" s="15"/>
      <c r="O253" s="15"/>
      <c r="R253">
        <f t="shared" si="12"/>
        <v>0</v>
      </c>
      <c r="S253" t="str">
        <f t="shared" si="13"/>
        <v>Disagree</v>
      </c>
      <c r="T253">
        <f t="shared" si="14"/>
        <v>0</v>
      </c>
      <c r="U253">
        <f t="shared" si="15"/>
        <v>0</v>
      </c>
    </row>
    <row r="254" spans="1:21" ht="17" x14ac:dyDescent="0.2">
      <c r="A254">
        <v>253</v>
      </c>
      <c r="B254">
        <v>56</v>
      </c>
      <c r="C254" s="1" t="s">
        <v>1266</v>
      </c>
      <c r="D254" t="s">
        <v>128</v>
      </c>
      <c r="K254" s="15">
        <v>1</v>
      </c>
      <c r="L254" s="15"/>
      <c r="M254" s="15"/>
      <c r="N254" s="15"/>
      <c r="O254" s="15"/>
      <c r="R254" t="str">
        <f t="shared" si="12"/>
        <v>Disagree</v>
      </c>
      <c r="S254">
        <f t="shared" si="13"/>
        <v>0</v>
      </c>
      <c r="T254">
        <f t="shared" si="14"/>
        <v>0</v>
      </c>
      <c r="U254">
        <f t="shared" si="15"/>
        <v>0</v>
      </c>
    </row>
    <row r="255" spans="1:21" ht="51" x14ac:dyDescent="0.2">
      <c r="A255">
        <v>254</v>
      </c>
      <c r="B255">
        <v>15</v>
      </c>
      <c r="C255" s="1" t="s">
        <v>1270</v>
      </c>
      <c r="D255" t="s">
        <v>123</v>
      </c>
      <c r="F255">
        <v>1</v>
      </c>
      <c r="K255" s="15"/>
      <c r="L255" s="15">
        <v>1</v>
      </c>
      <c r="M255" s="15"/>
      <c r="N255" s="15"/>
      <c r="O255" s="15"/>
      <c r="R255">
        <f t="shared" si="12"/>
        <v>0</v>
      </c>
      <c r="S255">
        <f t="shared" si="13"/>
        <v>1</v>
      </c>
      <c r="T255">
        <f t="shared" si="14"/>
        <v>0</v>
      </c>
      <c r="U255">
        <f t="shared" si="15"/>
        <v>0</v>
      </c>
    </row>
    <row r="256" spans="1:21" ht="68" x14ac:dyDescent="0.2">
      <c r="A256">
        <v>255</v>
      </c>
      <c r="B256">
        <v>60</v>
      </c>
      <c r="C256" s="1" t="s">
        <v>1274</v>
      </c>
      <c r="D256" t="s">
        <v>117</v>
      </c>
      <c r="G256">
        <v>1</v>
      </c>
      <c r="K256" s="15"/>
      <c r="L256" s="15"/>
      <c r="M256" s="15">
        <v>1</v>
      </c>
      <c r="N256" s="15"/>
      <c r="O256" s="15"/>
      <c r="R256">
        <f t="shared" si="12"/>
        <v>0</v>
      </c>
      <c r="S256">
        <f t="shared" si="13"/>
        <v>0</v>
      </c>
      <c r="T256">
        <f t="shared" si="14"/>
        <v>1</v>
      </c>
      <c r="U256">
        <f t="shared" si="15"/>
        <v>0</v>
      </c>
    </row>
    <row r="257" spans="1:21" ht="34" x14ac:dyDescent="0.2">
      <c r="A257">
        <v>256</v>
      </c>
      <c r="B257">
        <v>3</v>
      </c>
      <c r="C257" s="1" t="s">
        <v>1279</v>
      </c>
      <c r="D257" t="s">
        <v>123</v>
      </c>
      <c r="F257">
        <v>1</v>
      </c>
      <c r="G257">
        <v>1</v>
      </c>
      <c r="K257" s="15"/>
      <c r="L257" s="15">
        <v>1</v>
      </c>
      <c r="M257" s="15">
        <v>1</v>
      </c>
      <c r="N257" s="15"/>
      <c r="O257" s="15"/>
      <c r="R257">
        <f t="shared" si="12"/>
        <v>0</v>
      </c>
      <c r="S257">
        <f t="shared" si="13"/>
        <v>1</v>
      </c>
      <c r="T257">
        <f t="shared" si="14"/>
        <v>1</v>
      </c>
      <c r="U257">
        <f t="shared" si="15"/>
        <v>0</v>
      </c>
    </row>
    <row r="258" spans="1:21" ht="34" x14ac:dyDescent="0.2">
      <c r="A258">
        <v>257</v>
      </c>
      <c r="B258">
        <v>50</v>
      </c>
      <c r="C258" s="1" t="s">
        <v>1283</v>
      </c>
      <c r="D258" t="s">
        <v>117</v>
      </c>
      <c r="G258">
        <v>1</v>
      </c>
      <c r="K258" s="15">
        <v>1</v>
      </c>
      <c r="L258" s="15"/>
      <c r="M258" s="15"/>
      <c r="N258" s="15"/>
      <c r="O258" s="15"/>
      <c r="R258" t="str">
        <f t="shared" si="12"/>
        <v>Disagree</v>
      </c>
      <c r="S258">
        <f t="shared" si="13"/>
        <v>0</v>
      </c>
      <c r="T258" t="str">
        <f t="shared" si="14"/>
        <v>Disagree</v>
      </c>
      <c r="U258">
        <f t="shared" si="15"/>
        <v>0</v>
      </c>
    </row>
    <row r="259" spans="1:21" ht="34" x14ac:dyDescent="0.2">
      <c r="A259">
        <v>258</v>
      </c>
      <c r="B259">
        <v>68</v>
      </c>
      <c r="C259" s="1" t="s">
        <v>1287</v>
      </c>
      <c r="D259" t="s">
        <v>135</v>
      </c>
      <c r="F259">
        <v>1</v>
      </c>
      <c r="G259">
        <v>1</v>
      </c>
      <c r="K259" s="15"/>
      <c r="L259" s="15">
        <v>1</v>
      </c>
      <c r="M259" s="15">
        <v>1</v>
      </c>
      <c r="N259" s="15"/>
      <c r="O259" s="15"/>
      <c r="R259">
        <f t="shared" ref="R259:R322" si="16">IF(E259=K259,E259,"Disagree")</f>
        <v>0</v>
      </c>
      <c r="S259">
        <f t="shared" ref="S259:S322" si="17">IF(F259=L259,F259,"Disagree")</f>
        <v>1</v>
      </c>
      <c r="T259">
        <f t="shared" ref="T259:T322" si="18">IF(G259=M259,G259,"Disagree")</f>
        <v>1</v>
      </c>
      <c r="U259">
        <f t="shared" ref="U259:U322" si="19">IF(H259=N259,H259,"Disagree")</f>
        <v>0</v>
      </c>
    </row>
    <row r="260" spans="1:21" ht="17" x14ac:dyDescent="0.2">
      <c r="A260">
        <v>259</v>
      </c>
      <c r="B260">
        <v>85</v>
      </c>
      <c r="C260" s="1" t="s">
        <v>1293</v>
      </c>
      <c r="D260" t="s">
        <v>135</v>
      </c>
      <c r="K260" s="15">
        <v>1</v>
      </c>
      <c r="L260" s="15"/>
      <c r="M260" s="15"/>
      <c r="N260" s="15"/>
      <c r="O260" s="15"/>
      <c r="R260" t="str">
        <f t="shared" si="16"/>
        <v>Disagree</v>
      </c>
      <c r="S260">
        <f t="shared" si="17"/>
        <v>0</v>
      </c>
      <c r="T260">
        <f t="shared" si="18"/>
        <v>0</v>
      </c>
      <c r="U260">
        <f t="shared" si="19"/>
        <v>0</v>
      </c>
    </row>
    <row r="261" spans="1:21" ht="17" x14ac:dyDescent="0.2">
      <c r="A261">
        <v>260</v>
      </c>
      <c r="B261">
        <v>100</v>
      </c>
      <c r="C261" s="1" t="s">
        <v>1297</v>
      </c>
      <c r="D261" t="s">
        <v>128</v>
      </c>
      <c r="E261">
        <v>1</v>
      </c>
      <c r="K261" s="15">
        <v>1</v>
      </c>
      <c r="L261" s="15"/>
      <c r="M261" s="15"/>
      <c r="N261" s="15"/>
      <c r="O261" s="15"/>
      <c r="R261">
        <f t="shared" si="16"/>
        <v>1</v>
      </c>
      <c r="S261">
        <f t="shared" si="17"/>
        <v>0</v>
      </c>
      <c r="T261">
        <f t="shared" si="18"/>
        <v>0</v>
      </c>
      <c r="U261">
        <f t="shared" si="19"/>
        <v>0</v>
      </c>
    </row>
    <row r="262" spans="1:21" ht="34" x14ac:dyDescent="0.2">
      <c r="A262">
        <v>261</v>
      </c>
      <c r="B262">
        <v>50</v>
      </c>
      <c r="C262" s="1" t="s">
        <v>1301</v>
      </c>
      <c r="D262" t="s">
        <v>123</v>
      </c>
      <c r="I262">
        <v>1</v>
      </c>
      <c r="K262" s="15"/>
      <c r="L262" s="15"/>
      <c r="M262" s="15"/>
      <c r="N262" s="15"/>
      <c r="O262" s="15">
        <v>1</v>
      </c>
      <c r="R262">
        <f t="shared" si="16"/>
        <v>0</v>
      </c>
      <c r="S262">
        <f t="shared" si="17"/>
        <v>0</v>
      </c>
      <c r="T262">
        <f t="shared" si="18"/>
        <v>0</v>
      </c>
      <c r="U262">
        <f t="shared" si="19"/>
        <v>0</v>
      </c>
    </row>
    <row r="263" spans="1:21" ht="68" x14ac:dyDescent="0.2">
      <c r="A263">
        <v>262</v>
      </c>
      <c r="B263">
        <v>50</v>
      </c>
      <c r="C263" s="1" t="s">
        <v>1305</v>
      </c>
      <c r="D263" t="s">
        <v>128</v>
      </c>
      <c r="G263">
        <v>1</v>
      </c>
      <c r="K263" s="15">
        <v>1</v>
      </c>
      <c r="L263" s="15"/>
      <c r="M263" s="15">
        <v>1</v>
      </c>
      <c r="N263" s="15"/>
      <c r="O263" s="15"/>
      <c r="R263" t="str">
        <f t="shared" si="16"/>
        <v>Disagree</v>
      </c>
      <c r="S263">
        <f t="shared" si="17"/>
        <v>0</v>
      </c>
      <c r="T263">
        <f t="shared" si="18"/>
        <v>1</v>
      </c>
      <c r="U263">
        <f t="shared" si="19"/>
        <v>0</v>
      </c>
    </row>
    <row r="264" spans="1:21" ht="34" x14ac:dyDescent="0.2">
      <c r="A264">
        <v>263</v>
      </c>
      <c r="B264">
        <v>60</v>
      </c>
      <c r="C264" s="1" t="s">
        <v>1309</v>
      </c>
      <c r="D264" t="s">
        <v>128</v>
      </c>
      <c r="K264" s="15">
        <v>1</v>
      </c>
      <c r="L264" s="15"/>
      <c r="M264" s="15"/>
      <c r="N264" s="15"/>
      <c r="O264" s="15"/>
      <c r="R264" t="str">
        <f t="shared" si="16"/>
        <v>Disagree</v>
      </c>
      <c r="S264">
        <f t="shared" si="17"/>
        <v>0</v>
      </c>
      <c r="T264">
        <f t="shared" si="18"/>
        <v>0</v>
      </c>
      <c r="U264">
        <f t="shared" si="19"/>
        <v>0</v>
      </c>
    </row>
    <row r="265" spans="1:21" ht="17" x14ac:dyDescent="0.2">
      <c r="A265">
        <v>264</v>
      </c>
      <c r="B265">
        <v>19</v>
      </c>
      <c r="C265" s="1" t="s">
        <v>1314</v>
      </c>
      <c r="D265" t="s">
        <v>117</v>
      </c>
      <c r="K265" s="15"/>
      <c r="L265" s="15"/>
      <c r="M265" s="15"/>
      <c r="N265" s="15"/>
      <c r="O265" s="15"/>
      <c r="R265">
        <f t="shared" si="16"/>
        <v>0</v>
      </c>
      <c r="S265">
        <f t="shared" si="17"/>
        <v>0</v>
      </c>
      <c r="T265">
        <f t="shared" si="18"/>
        <v>0</v>
      </c>
      <c r="U265">
        <f t="shared" si="19"/>
        <v>0</v>
      </c>
    </row>
    <row r="266" spans="1:21" ht="51" x14ac:dyDescent="0.2">
      <c r="A266">
        <v>265</v>
      </c>
      <c r="B266">
        <v>15</v>
      </c>
      <c r="C266" s="1" t="s">
        <v>1319</v>
      </c>
      <c r="D266" t="s">
        <v>135</v>
      </c>
      <c r="F266">
        <v>1</v>
      </c>
      <c r="G266">
        <v>1</v>
      </c>
      <c r="K266" s="15"/>
      <c r="L266" s="15">
        <v>1</v>
      </c>
      <c r="M266" s="15">
        <v>1</v>
      </c>
      <c r="N266" s="15"/>
      <c r="O266" s="15"/>
      <c r="R266">
        <f t="shared" si="16"/>
        <v>0</v>
      </c>
      <c r="S266">
        <f t="shared" si="17"/>
        <v>1</v>
      </c>
      <c r="T266">
        <f t="shared" si="18"/>
        <v>1</v>
      </c>
      <c r="U266">
        <f t="shared" si="19"/>
        <v>0</v>
      </c>
    </row>
    <row r="267" spans="1:21" ht="34" x14ac:dyDescent="0.2">
      <c r="A267">
        <v>266</v>
      </c>
      <c r="B267">
        <v>60</v>
      </c>
      <c r="C267" s="1" t="s">
        <v>1323</v>
      </c>
      <c r="D267" t="s">
        <v>128</v>
      </c>
      <c r="I267">
        <v>1</v>
      </c>
      <c r="K267" s="15"/>
      <c r="L267" s="15"/>
      <c r="M267" s="15"/>
      <c r="N267" s="15"/>
      <c r="O267" s="15">
        <v>1</v>
      </c>
      <c r="R267">
        <f t="shared" si="16"/>
        <v>0</v>
      </c>
      <c r="S267">
        <f t="shared" si="17"/>
        <v>0</v>
      </c>
      <c r="T267">
        <f t="shared" si="18"/>
        <v>0</v>
      </c>
      <c r="U267">
        <f t="shared" si="19"/>
        <v>0</v>
      </c>
    </row>
    <row r="268" spans="1:21" ht="34" x14ac:dyDescent="0.2">
      <c r="A268">
        <v>267</v>
      </c>
      <c r="B268">
        <v>66</v>
      </c>
      <c r="C268" s="1" t="s">
        <v>1327</v>
      </c>
      <c r="D268" t="s">
        <v>117</v>
      </c>
      <c r="K268" s="15">
        <v>1</v>
      </c>
      <c r="L268" s="15"/>
      <c r="M268" s="15"/>
      <c r="N268" s="15"/>
      <c r="O268" s="15"/>
      <c r="R268" t="str">
        <f t="shared" si="16"/>
        <v>Disagree</v>
      </c>
      <c r="S268">
        <f t="shared" si="17"/>
        <v>0</v>
      </c>
      <c r="T268">
        <f t="shared" si="18"/>
        <v>0</v>
      </c>
      <c r="U268">
        <f t="shared" si="19"/>
        <v>0</v>
      </c>
    </row>
    <row r="269" spans="1:21" ht="34" x14ac:dyDescent="0.2">
      <c r="A269">
        <v>268</v>
      </c>
      <c r="B269">
        <v>40</v>
      </c>
      <c r="C269" s="1" t="s">
        <v>1332</v>
      </c>
      <c r="D269" t="s">
        <v>123</v>
      </c>
      <c r="I269">
        <v>1</v>
      </c>
      <c r="K269" s="15"/>
      <c r="L269" s="15"/>
      <c r="M269" s="15"/>
      <c r="N269" s="15"/>
      <c r="O269" s="15">
        <v>1</v>
      </c>
      <c r="R269">
        <f t="shared" si="16"/>
        <v>0</v>
      </c>
      <c r="S269">
        <f t="shared" si="17"/>
        <v>0</v>
      </c>
      <c r="T269">
        <f t="shared" si="18"/>
        <v>0</v>
      </c>
      <c r="U269">
        <f t="shared" si="19"/>
        <v>0</v>
      </c>
    </row>
    <row r="270" spans="1:21" ht="68" x14ac:dyDescent="0.2">
      <c r="A270">
        <v>269</v>
      </c>
      <c r="B270">
        <v>70</v>
      </c>
      <c r="C270" s="1" t="s">
        <v>1336</v>
      </c>
      <c r="D270" t="s">
        <v>117</v>
      </c>
      <c r="E270">
        <v>1</v>
      </c>
      <c r="K270" s="15">
        <v>1</v>
      </c>
      <c r="L270" s="15"/>
      <c r="M270" s="15"/>
      <c r="N270" s="15"/>
      <c r="O270" s="15"/>
      <c r="R270">
        <f t="shared" si="16"/>
        <v>1</v>
      </c>
      <c r="S270">
        <f t="shared" si="17"/>
        <v>0</v>
      </c>
      <c r="T270">
        <f t="shared" si="18"/>
        <v>0</v>
      </c>
      <c r="U270">
        <f t="shared" si="19"/>
        <v>0</v>
      </c>
    </row>
    <row r="271" spans="1:21" ht="51" x14ac:dyDescent="0.2">
      <c r="A271">
        <v>270</v>
      </c>
      <c r="B271">
        <v>70</v>
      </c>
      <c r="C271" s="1" t="s">
        <v>1341</v>
      </c>
      <c r="D271" t="s">
        <v>117</v>
      </c>
      <c r="K271" s="15">
        <v>1</v>
      </c>
      <c r="L271" s="15"/>
      <c r="M271" s="15"/>
      <c r="N271" s="15"/>
      <c r="O271" s="15"/>
      <c r="R271" t="str">
        <f t="shared" si="16"/>
        <v>Disagree</v>
      </c>
      <c r="S271">
        <f t="shared" si="17"/>
        <v>0</v>
      </c>
      <c r="T271">
        <f t="shared" si="18"/>
        <v>0</v>
      </c>
      <c r="U271">
        <f t="shared" si="19"/>
        <v>0</v>
      </c>
    </row>
    <row r="272" spans="1:21" ht="17" x14ac:dyDescent="0.2">
      <c r="A272">
        <v>271</v>
      </c>
      <c r="B272">
        <v>0</v>
      </c>
      <c r="C272" s="1" t="s">
        <v>1345</v>
      </c>
      <c r="D272" t="s">
        <v>128</v>
      </c>
      <c r="K272" s="15"/>
      <c r="L272" s="15"/>
      <c r="M272" s="15"/>
      <c r="N272" s="15"/>
      <c r="O272" s="15"/>
      <c r="R272">
        <f t="shared" si="16"/>
        <v>0</v>
      </c>
      <c r="S272">
        <f t="shared" si="17"/>
        <v>0</v>
      </c>
      <c r="T272">
        <f t="shared" si="18"/>
        <v>0</v>
      </c>
      <c r="U272">
        <f t="shared" si="19"/>
        <v>0</v>
      </c>
    </row>
    <row r="273" spans="1:21" ht="34" x14ac:dyDescent="0.2">
      <c r="A273">
        <v>272</v>
      </c>
      <c r="B273">
        <v>81</v>
      </c>
      <c r="C273" s="1" t="s">
        <v>1349</v>
      </c>
      <c r="D273" t="s">
        <v>117</v>
      </c>
      <c r="E273">
        <v>1</v>
      </c>
      <c r="K273" s="15">
        <v>1</v>
      </c>
      <c r="L273" s="15"/>
      <c r="M273" s="15"/>
      <c r="N273" s="15"/>
      <c r="O273" s="15"/>
      <c r="R273">
        <f t="shared" si="16"/>
        <v>1</v>
      </c>
      <c r="S273">
        <f t="shared" si="17"/>
        <v>0</v>
      </c>
      <c r="T273">
        <f t="shared" si="18"/>
        <v>0</v>
      </c>
      <c r="U273">
        <f t="shared" si="19"/>
        <v>0</v>
      </c>
    </row>
    <row r="274" spans="1:21" ht="17" x14ac:dyDescent="0.2">
      <c r="A274">
        <v>273</v>
      </c>
      <c r="B274">
        <v>57</v>
      </c>
      <c r="C274" s="1" t="s">
        <v>1353</v>
      </c>
      <c r="D274" t="s">
        <v>135</v>
      </c>
      <c r="G274">
        <v>1</v>
      </c>
      <c r="K274" s="15"/>
      <c r="L274" s="15"/>
      <c r="M274" s="15">
        <v>1</v>
      </c>
      <c r="N274" s="15"/>
      <c r="O274" s="15"/>
      <c r="R274">
        <f t="shared" si="16"/>
        <v>0</v>
      </c>
      <c r="S274">
        <f t="shared" si="17"/>
        <v>0</v>
      </c>
      <c r="T274">
        <f t="shared" si="18"/>
        <v>1</v>
      </c>
      <c r="U274">
        <f t="shared" si="19"/>
        <v>0</v>
      </c>
    </row>
    <row r="275" spans="1:21" ht="51" x14ac:dyDescent="0.2">
      <c r="A275">
        <v>274</v>
      </c>
      <c r="B275">
        <v>85</v>
      </c>
      <c r="C275" s="1" t="s">
        <v>1357</v>
      </c>
      <c r="D275" t="s">
        <v>117</v>
      </c>
      <c r="E275">
        <v>1</v>
      </c>
      <c r="K275" s="15">
        <v>1</v>
      </c>
      <c r="L275" s="15"/>
      <c r="M275" s="15"/>
      <c r="N275" s="15"/>
      <c r="O275" s="15"/>
      <c r="R275">
        <f t="shared" si="16"/>
        <v>1</v>
      </c>
      <c r="S275">
        <f t="shared" si="17"/>
        <v>0</v>
      </c>
      <c r="T275">
        <f t="shared" si="18"/>
        <v>0</v>
      </c>
      <c r="U275">
        <f t="shared" si="19"/>
        <v>0</v>
      </c>
    </row>
    <row r="276" spans="1:21" ht="17" x14ac:dyDescent="0.2">
      <c r="A276">
        <v>275</v>
      </c>
      <c r="B276">
        <v>84</v>
      </c>
      <c r="C276" s="1" t="s">
        <v>1361</v>
      </c>
      <c r="D276" t="s">
        <v>123</v>
      </c>
      <c r="E276">
        <v>1</v>
      </c>
      <c r="K276" s="15">
        <v>1</v>
      </c>
      <c r="L276" s="15"/>
      <c r="M276" s="15"/>
      <c r="N276" s="15"/>
      <c r="O276" s="15"/>
      <c r="R276">
        <f t="shared" si="16"/>
        <v>1</v>
      </c>
      <c r="S276">
        <f t="shared" si="17"/>
        <v>0</v>
      </c>
      <c r="T276">
        <f t="shared" si="18"/>
        <v>0</v>
      </c>
      <c r="U276">
        <f t="shared" si="19"/>
        <v>0</v>
      </c>
    </row>
    <row r="277" spans="1:21" ht="34" x14ac:dyDescent="0.2">
      <c r="A277">
        <v>276</v>
      </c>
      <c r="B277">
        <v>50</v>
      </c>
      <c r="C277" s="1" t="s">
        <v>1365</v>
      </c>
      <c r="D277" t="s">
        <v>117</v>
      </c>
      <c r="I277">
        <v>1</v>
      </c>
      <c r="K277" s="15"/>
      <c r="L277" s="15"/>
      <c r="M277" s="15"/>
      <c r="N277" s="15"/>
      <c r="O277" s="15"/>
      <c r="R277">
        <f t="shared" si="16"/>
        <v>0</v>
      </c>
      <c r="S277">
        <f t="shared" si="17"/>
        <v>0</v>
      </c>
      <c r="T277">
        <f t="shared" si="18"/>
        <v>0</v>
      </c>
      <c r="U277">
        <f t="shared" si="19"/>
        <v>0</v>
      </c>
    </row>
    <row r="278" spans="1:21" ht="51" x14ac:dyDescent="0.2">
      <c r="A278">
        <v>277</v>
      </c>
      <c r="B278">
        <v>9</v>
      </c>
      <c r="C278" s="1" t="s">
        <v>1371</v>
      </c>
      <c r="D278" t="s">
        <v>135</v>
      </c>
      <c r="F278">
        <v>1</v>
      </c>
      <c r="G278">
        <v>1</v>
      </c>
      <c r="K278" s="15"/>
      <c r="L278" s="15">
        <v>1</v>
      </c>
      <c r="M278" s="15">
        <v>1</v>
      </c>
      <c r="N278" s="15"/>
      <c r="O278" s="15"/>
      <c r="R278">
        <f t="shared" si="16"/>
        <v>0</v>
      </c>
      <c r="S278">
        <f t="shared" si="17"/>
        <v>1</v>
      </c>
      <c r="T278">
        <f t="shared" si="18"/>
        <v>1</v>
      </c>
      <c r="U278">
        <f t="shared" si="19"/>
        <v>0</v>
      </c>
    </row>
    <row r="279" spans="1:21" ht="85" x14ac:dyDescent="0.2">
      <c r="A279">
        <v>278</v>
      </c>
      <c r="B279">
        <v>91</v>
      </c>
      <c r="C279" s="1" t="s">
        <v>1376</v>
      </c>
      <c r="D279" t="s">
        <v>117</v>
      </c>
      <c r="E279">
        <v>1</v>
      </c>
      <c r="K279" s="15">
        <v>1</v>
      </c>
      <c r="L279" s="15"/>
      <c r="M279" s="15"/>
      <c r="N279" s="15"/>
      <c r="O279" s="15"/>
      <c r="R279">
        <f t="shared" si="16"/>
        <v>1</v>
      </c>
      <c r="S279">
        <f t="shared" si="17"/>
        <v>0</v>
      </c>
      <c r="T279">
        <f t="shared" si="18"/>
        <v>0</v>
      </c>
      <c r="U279">
        <f t="shared" si="19"/>
        <v>0</v>
      </c>
    </row>
    <row r="280" spans="1:21" ht="17" x14ac:dyDescent="0.2">
      <c r="A280">
        <v>279</v>
      </c>
      <c r="B280">
        <v>70</v>
      </c>
      <c r="C280" s="1" t="s">
        <v>1380</v>
      </c>
      <c r="D280" t="s">
        <v>128</v>
      </c>
      <c r="E280">
        <v>1</v>
      </c>
      <c r="K280" s="15">
        <v>1</v>
      </c>
      <c r="L280" s="15"/>
      <c r="M280" s="15"/>
      <c r="N280" s="15"/>
      <c r="O280" s="15"/>
      <c r="R280">
        <f t="shared" si="16"/>
        <v>1</v>
      </c>
      <c r="S280">
        <f t="shared" si="17"/>
        <v>0</v>
      </c>
      <c r="T280">
        <f t="shared" si="18"/>
        <v>0</v>
      </c>
      <c r="U280">
        <f t="shared" si="19"/>
        <v>0</v>
      </c>
    </row>
    <row r="281" spans="1:21" ht="34" x14ac:dyDescent="0.2">
      <c r="A281">
        <v>280</v>
      </c>
      <c r="B281">
        <v>30</v>
      </c>
      <c r="C281" s="1" t="s">
        <v>1384</v>
      </c>
      <c r="D281" t="s">
        <v>135</v>
      </c>
      <c r="G281">
        <v>1</v>
      </c>
      <c r="K281" s="15">
        <v>1</v>
      </c>
      <c r="L281" s="15"/>
      <c r="M281" s="15">
        <v>1</v>
      </c>
      <c r="N281" s="15"/>
      <c r="O281" s="15"/>
      <c r="R281" t="str">
        <f t="shared" si="16"/>
        <v>Disagree</v>
      </c>
      <c r="S281">
        <f t="shared" si="17"/>
        <v>0</v>
      </c>
      <c r="T281">
        <f t="shared" si="18"/>
        <v>1</v>
      </c>
      <c r="U281">
        <f t="shared" si="19"/>
        <v>0</v>
      </c>
    </row>
    <row r="282" spans="1:21" ht="51" x14ac:dyDescent="0.2">
      <c r="A282">
        <v>281</v>
      </c>
      <c r="B282">
        <v>29</v>
      </c>
      <c r="C282" s="1" t="s">
        <v>1391</v>
      </c>
      <c r="D282" t="s">
        <v>117</v>
      </c>
      <c r="G282">
        <v>1</v>
      </c>
      <c r="I282">
        <v>1</v>
      </c>
      <c r="K282" s="15"/>
      <c r="L282" s="15">
        <v>1</v>
      </c>
      <c r="M282" s="15">
        <v>1</v>
      </c>
      <c r="N282" s="15"/>
      <c r="O282" s="15"/>
      <c r="R282">
        <f t="shared" si="16"/>
        <v>0</v>
      </c>
      <c r="S282" t="str">
        <f t="shared" si="17"/>
        <v>Disagree</v>
      </c>
      <c r="T282">
        <f t="shared" si="18"/>
        <v>1</v>
      </c>
      <c r="U282">
        <f t="shared" si="19"/>
        <v>0</v>
      </c>
    </row>
    <row r="283" spans="1:21" ht="68" x14ac:dyDescent="0.2">
      <c r="A283">
        <v>282</v>
      </c>
      <c r="B283">
        <v>60</v>
      </c>
      <c r="C283" s="1" t="s">
        <v>1395</v>
      </c>
      <c r="D283" t="s">
        <v>135</v>
      </c>
      <c r="F283">
        <v>1</v>
      </c>
      <c r="I283">
        <v>1</v>
      </c>
      <c r="K283" s="15"/>
      <c r="L283" s="15">
        <v>1</v>
      </c>
      <c r="M283" s="15"/>
      <c r="N283" s="15"/>
      <c r="O283" s="15">
        <v>1</v>
      </c>
      <c r="R283">
        <f t="shared" si="16"/>
        <v>0</v>
      </c>
      <c r="S283">
        <f t="shared" si="17"/>
        <v>1</v>
      </c>
      <c r="T283">
        <f t="shared" si="18"/>
        <v>0</v>
      </c>
      <c r="U283">
        <f t="shared" si="19"/>
        <v>0</v>
      </c>
    </row>
    <row r="284" spans="1:21" ht="17" x14ac:dyDescent="0.2">
      <c r="A284">
        <v>283</v>
      </c>
      <c r="B284">
        <v>28</v>
      </c>
      <c r="C284" s="1" t="s">
        <v>1400</v>
      </c>
      <c r="D284" t="s">
        <v>128</v>
      </c>
      <c r="G284">
        <v>1</v>
      </c>
      <c r="K284" s="15"/>
      <c r="L284" s="15"/>
      <c r="M284" s="15">
        <v>1</v>
      </c>
      <c r="N284" s="15"/>
      <c r="O284" s="15"/>
      <c r="R284">
        <f t="shared" si="16"/>
        <v>0</v>
      </c>
      <c r="S284">
        <f t="shared" si="17"/>
        <v>0</v>
      </c>
      <c r="T284">
        <f t="shared" si="18"/>
        <v>1</v>
      </c>
      <c r="U284">
        <f t="shared" si="19"/>
        <v>0</v>
      </c>
    </row>
    <row r="285" spans="1:21" ht="68" x14ac:dyDescent="0.2">
      <c r="A285">
        <v>284</v>
      </c>
      <c r="B285">
        <v>90</v>
      </c>
      <c r="C285" s="1" t="s">
        <v>1405</v>
      </c>
      <c r="D285" t="s">
        <v>117</v>
      </c>
      <c r="E285">
        <v>1</v>
      </c>
      <c r="K285" s="15">
        <v>1</v>
      </c>
      <c r="L285" s="15"/>
      <c r="M285" s="15"/>
      <c r="N285" s="15"/>
      <c r="O285" s="15"/>
      <c r="R285">
        <f t="shared" si="16"/>
        <v>1</v>
      </c>
      <c r="S285">
        <f t="shared" si="17"/>
        <v>0</v>
      </c>
      <c r="T285">
        <f t="shared" si="18"/>
        <v>0</v>
      </c>
      <c r="U285">
        <f t="shared" si="19"/>
        <v>0</v>
      </c>
    </row>
    <row r="286" spans="1:21" ht="34" x14ac:dyDescent="0.2">
      <c r="A286">
        <v>285</v>
      </c>
      <c r="B286">
        <v>58</v>
      </c>
      <c r="C286" s="1" t="s">
        <v>1409</v>
      </c>
      <c r="D286" t="s">
        <v>123</v>
      </c>
      <c r="G286">
        <v>1</v>
      </c>
      <c r="K286" s="15">
        <v>1</v>
      </c>
      <c r="L286" s="15"/>
      <c r="M286" s="15">
        <v>1</v>
      </c>
      <c r="N286" s="15"/>
      <c r="O286" s="15"/>
      <c r="R286" t="str">
        <f t="shared" si="16"/>
        <v>Disagree</v>
      </c>
      <c r="S286">
        <f t="shared" si="17"/>
        <v>0</v>
      </c>
      <c r="T286">
        <f t="shared" si="18"/>
        <v>1</v>
      </c>
      <c r="U286">
        <f t="shared" si="19"/>
        <v>0</v>
      </c>
    </row>
    <row r="287" spans="1:21" ht="34" x14ac:dyDescent="0.2">
      <c r="A287">
        <v>286</v>
      </c>
      <c r="B287">
        <v>19</v>
      </c>
      <c r="C287" s="1" t="s">
        <v>1413</v>
      </c>
      <c r="D287" t="s">
        <v>128</v>
      </c>
      <c r="K287" s="15"/>
      <c r="L287" s="15"/>
      <c r="M287" s="15"/>
      <c r="N287" s="15"/>
      <c r="O287" s="15"/>
      <c r="R287">
        <f t="shared" si="16"/>
        <v>0</v>
      </c>
      <c r="S287">
        <f t="shared" si="17"/>
        <v>0</v>
      </c>
      <c r="T287">
        <f t="shared" si="18"/>
        <v>0</v>
      </c>
      <c r="U287">
        <f t="shared" si="19"/>
        <v>0</v>
      </c>
    </row>
    <row r="288" spans="1:21" ht="34" x14ac:dyDescent="0.2">
      <c r="A288">
        <v>287</v>
      </c>
      <c r="B288">
        <v>50</v>
      </c>
      <c r="C288" s="1" t="s">
        <v>1418</v>
      </c>
      <c r="D288" t="s">
        <v>123</v>
      </c>
      <c r="E288">
        <v>1</v>
      </c>
      <c r="K288" s="15">
        <v>1</v>
      </c>
      <c r="L288" s="15"/>
      <c r="M288" s="15"/>
      <c r="N288" s="15"/>
      <c r="O288" s="15"/>
      <c r="R288">
        <f t="shared" si="16"/>
        <v>1</v>
      </c>
      <c r="S288">
        <f t="shared" si="17"/>
        <v>0</v>
      </c>
      <c r="T288">
        <f t="shared" si="18"/>
        <v>0</v>
      </c>
      <c r="U288">
        <f t="shared" si="19"/>
        <v>0</v>
      </c>
    </row>
    <row r="289" spans="1:21" ht="51" x14ac:dyDescent="0.2">
      <c r="A289">
        <v>288</v>
      </c>
      <c r="B289">
        <v>10</v>
      </c>
      <c r="C289" s="1" t="s">
        <v>1422</v>
      </c>
      <c r="D289" t="s">
        <v>135</v>
      </c>
      <c r="G289">
        <v>1</v>
      </c>
      <c r="K289" s="15"/>
      <c r="L289" s="15"/>
      <c r="M289" s="15">
        <v>1</v>
      </c>
      <c r="N289" s="15"/>
      <c r="O289" s="15"/>
      <c r="R289">
        <f t="shared" si="16"/>
        <v>0</v>
      </c>
      <c r="S289">
        <f t="shared" si="17"/>
        <v>0</v>
      </c>
      <c r="T289">
        <f t="shared" si="18"/>
        <v>1</v>
      </c>
      <c r="U289">
        <f t="shared" si="19"/>
        <v>0</v>
      </c>
    </row>
    <row r="290" spans="1:21" ht="17" x14ac:dyDescent="0.2">
      <c r="A290">
        <v>289</v>
      </c>
      <c r="B290">
        <v>40</v>
      </c>
      <c r="C290" s="1" t="s">
        <v>1426</v>
      </c>
      <c r="D290" t="s">
        <v>123</v>
      </c>
      <c r="F290">
        <v>1</v>
      </c>
      <c r="G290">
        <v>1</v>
      </c>
      <c r="K290" s="15"/>
      <c r="L290" s="15">
        <v>1</v>
      </c>
      <c r="M290" s="15">
        <v>1</v>
      </c>
      <c r="N290" s="15"/>
      <c r="O290" s="15"/>
      <c r="R290">
        <f t="shared" si="16"/>
        <v>0</v>
      </c>
      <c r="S290">
        <f t="shared" si="17"/>
        <v>1</v>
      </c>
      <c r="T290">
        <f t="shared" si="18"/>
        <v>1</v>
      </c>
      <c r="U290">
        <f t="shared" si="19"/>
        <v>0</v>
      </c>
    </row>
    <row r="291" spans="1:21" ht="17" x14ac:dyDescent="0.2">
      <c r="A291">
        <v>290</v>
      </c>
      <c r="B291">
        <v>0</v>
      </c>
      <c r="C291" s="1" t="s">
        <v>1430</v>
      </c>
      <c r="D291" t="s">
        <v>135</v>
      </c>
      <c r="F291">
        <v>1</v>
      </c>
      <c r="G291">
        <v>1</v>
      </c>
      <c r="K291" s="15"/>
      <c r="L291" s="15">
        <v>1</v>
      </c>
      <c r="M291" s="15">
        <v>1</v>
      </c>
      <c r="N291" s="15"/>
      <c r="O291" s="15"/>
      <c r="R291">
        <f t="shared" si="16"/>
        <v>0</v>
      </c>
      <c r="S291">
        <f t="shared" si="17"/>
        <v>1</v>
      </c>
      <c r="T291">
        <f t="shared" si="18"/>
        <v>1</v>
      </c>
      <c r="U291">
        <f t="shared" si="19"/>
        <v>0</v>
      </c>
    </row>
    <row r="292" spans="1:21" ht="34" x14ac:dyDescent="0.2">
      <c r="A292">
        <v>291</v>
      </c>
      <c r="B292">
        <v>50</v>
      </c>
      <c r="C292" s="1" t="s">
        <v>1435</v>
      </c>
      <c r="D292" t="s">
        <v>117</v>
      </c>
      <c r="I292">
        <v>1</v>
      </c>
      <c r="K292" s="15"/>
      <c r="L292" s="15"/>
      <c r="M292" s="15"/>
      <c r="N292" s="15"/>
      <c r="O292" s="15">
        <v>1</v>
      </c>
      <c r="R292">
        <f t="shared" si="16"/>
        <v>0</v>
      </c>
      <c r="S292">
        <f t="shared" si="17"/>
        <v>0</v>
      </c>
      <c r="T292">
        <f t="shared" si="18"/>
        <v>0</v>
      </c>
      <c r="U292">
        <f t="shared" si="19"/>
        <v>0</v>
      </c>
    </row>
    <row r="293" spans="1:21" ht="17" x14ac:dyDescent="0.2">
      <c r="A293">
        <v>292</v>
      </c>
      <c r="B293">
        <v>74</v>
      </c>
      <c r="C293" s="1" t="s">
        <v>1439</v>
      </c>
      <c r="D293" t="s">
        <v>135</v>
      </c>
      <c r="K293" s="15"/>
      <c r="L293" s="15"/>
      <c r="M293" s="15"/>
      <c r="N293" s="15"/>
      <c r="O293" s="15"/>
      <c r="R293">
        <f t="shared" si="16"/>
        <v>0</v>
      </c>
      <c r="S293">
        <f t="shared" si="17"/>
        <v>0</v>
      </c>
      <c r="T293">
        <f t="shared" si="18"/>
        <v>0</v>
      </c>
      <c r="U293">
        <f t="shared" si="19"/>
        <v>0</v>
      </c>
    </row>
    <row r="294" spans="1:21" ht="68" x14ac:dyDescent="0.2">
      <c r="A294">
        <v>293</v>
      </c>
      <c r="B294">
        <v>80</v>
      </c>
      <c r="C294" s="1" t="s">
        <v>1443</v>
      </c>
      <c r="D294" t="s">
        <v>128</v>
      </c>
      <c r="I294">
        <v>1</v>
      </c>
      <c r="K294" s="15"/>
      <c r="L294" s="15"/>
      <c r="M294" s="15"/>
      <c r="N294" s="15"/>
      <c r="O294" s="15">
        <v>1</v>
      </c>
      <c r="R294">
        <f t="shared" si="16"/>
        <v>0</v>
      </c>
      <c r="S294">
        <f t="shared" si="17"/>
        <v>0</v>
      </c>
      <c r="T294">
        <f t="shared" si="18"/>
        <v>0</v>
      </c>
      <c r="U294">
        <f t="shared" si="19"/>
        <v>0</v>
      </c>
    </row>
    <row r="295" spans="1:21" ht="68" x14ac:dyDescent="0.2">
      <c r="A295">
        <v>294</v>
      </c>
      <c r="B295">
        <v>74</v>
      </c>
      <c r="C295" s="1" t="s">
        <v>1449</v>
      </c>
      <c r="D295" t="s">
        <v>123</v>
      </c>
      <c r="K295" s="15">
        <v>1</v>
      </c>
      <c r="L295" s="15"/>
      <c r="M295" s="15"/>
      <c r="N295" s="15"/>
      <c r="O295" s="15"/>
      <c r="R295" t="str">
        <f t="shared" si="16"/>
        <v>Disagree</v>
      </c>
      <c r="S295">
        <f t="shared" si="17"/>
        <v>0</v>
      </c>
      <c r="T295">
        <f t="shared" si="18"/>
        <v>0</v>
      </c>
      <c r="U295">
        <f t="shared" si="19"/>
        <v>0</v>
      </c>
    </row>
    <row r="296" spans="1:21" ht="17" x14ac:dyDescent="0.2">
      <c r="A296">
        <v>295</v>
      </c>
      <c r="B296">
        <v>15</v>
      </c>
      <c r="C296" s="1" t="s">
        <v>1453</v>
      </c>
      <c r="D296" t="s">
        <v>135</v>
      </c>
      <c r="F296">
        <v>1</v>
      </c>
      <c r="G296">
        <v>1</v>
      </c>
      <c r="K296" s="15"/>
      <c r="L296" s="15">
        <v>1</v>
      </c>
      <c r="M296" s="15">
        <v>1</v>
      </c>
      <c r="N296" s="15"/>
      <c r="O296" s="15"/>
      <c r="R296">
        <f t="shared" si="16"/>
        <v>0</v>
      </c>
      <c r="S296">
        <f t="shared" si="17"/>
        <v>1</v>
      </c>
      <c r="T296">
        <f t="shared" si="18"/>
        <v>1</v>
      </c>
      <c r="U296">
        <f t="shared" si="19"/>
        <v>0</v>
      </c>
    </row>
    <row r="297" spans="1:21" ht="34" x14ac:dyDescent="0.2">
      <c r="A297">
        <v>296</v>
      </c>
      <c r="B297">
        <v>4</v>
      </c>
      <c r="C297" s="1" t="s">
        <v>1458</v>
      </c>
      <c r="D297" t="s">
        <v>123</v>
      </c>
      <c r="F297">
        <v>1</v>
      </c>
      <c r="G297">
        <v>1</v>
      </c>
      <c r="K297" s="15"/>
      <c r="L297" s="15">
        <v>1</v>
      </c>
      <c r="M297" s="15">
        <v>1</v>
      </c>
      <c r="N297" s="15"/>
      <c r="O297" s="15"/>
      <c r="R297">
        <f t="shared" si="16"/>
        <v>0</v>
      </c>
      <c r="S297">
        <f t="shared" si="17"/>
        <v>1</v>
      </c>
      <c r="T297">
        <f t="shared" si="18"/>
        <v>1</v>
      </c>
      <c r="U297">
        <f t="shared" si="19"/>
        <v>0</v>
      </c>
    </row>
    <row r="298" spans="1:21" ht="51" x14ac:dyDescent="0.2">
      <c r="A298">
        <v>297</v>
      </c>
      <c r="B298">
        <v>90</v>
      </c>
      <c r="C298" s="1" t="s">
        <v>1463</v>
      </c>
      <c r="D298" t="s">
        <v>128</v>
      </c>
      <c r="E298">
        <v>1</v>
      </c>
      <c r="K298" s="15">
        <v>1</v>
      </c>
      <c r="L298" s="15"/>
      <c r="M298" s="15"/>
      <c r="N298" s="15"/>
      <c r="O298" s="15"/>
      <c r="R298">
        <f t="shared" si="16"/>
        <v>1</v>
      </c>
      <c r="S298">
        <f t="shared" si="17"/>
        <v>0</v>
      </c>
      <c r="T298">
        <f t="shared" si="18"/>
        <v>0</v>
      </c>
      <c r="U298">
        <f t="shared" si="19"/>
        <v>0</v>
      </c>
    </row>
    <row r="299" spans="1:21" ht="34" x14ac:dyDescent="0.2">
      <c r="A299">
        <v>298</v>
      </c>
      <c r="B299">
        <v>75</v>
      </c>
      <c r="C299" s="1" t="s">
        <v>1467</v>
      </c>
      <c r="D299" t="s">
        <v>128</v>
      </c>
      <c r="K299" s="15">
        <v>1</v>
      </c>
      <c r="L299" s="15"/>
      <c r="M299" s="15"/>
      <c r="N299" s="15"/>
      <c r="O299" s="15"/>
      <c r="R299" t="str">
        <f t="shared" si="16"/>
        <v>Disagree</v>
      </c>
      <c r="S299">
        <f t="shared" si="17"/>
        <v>0</v>
      </c>
      <c r="T299">
        <f t="shared" si="18"/>
        <v>0</v>
      </c>
      <c r="U299">
        <f t="shared" si="19"/>
        <v>0</v>
      </c>
    </row>
    <row r="300" spans="1:21" ht="17" x14ac:dyDescent="0.2">
      <c r="A300">
        <v>299</v>
      </c>
      <c r="B300">
        <v>76</v>
      </c>
      <c r="C300" s="1" t="s">
        <v>1471</v>
      </c>
      <c r="D300" t="s">
        <v>117</v>
      </c>
      <c r="K300" s="15"/>
      <c r="L300" s="15"/>
      <c r="M300" s="15"/>
      <c r="N300" s="15"/>
      <c r="O300" s="15"/>
      <c r="R300">
        <f t="shared" si="16"/>
        <v>0</v>
      </c>
      <c r="S300">
        <f t="shared" si="17"/>
        <v>0</v>
      </c>
      <c r="T300">
        <f t="shared" si="18"/>
        <v>0</v>
      </c>
      <c r="U300">
        <f t="shared" si="19"/>
        <v>0</v>
      </c>
    </row>
    <row r="301" spans="1:21" ht="34" x14ac:dyDescent="0.2">
      <c r="A301">
        <v>300</v>
      </c>
      <c r="B301">
        <v>61</v>
      </c>
      <c r="C301" s="1" t="s">
        <v>1475</v>
      </c>
      <c r="D301" t="s">
        <v>128</v>
      </c>
      <c r="F301">
        <v>1</v>
      </c>
      <c r="G301">
        <v>1</v>
      </c>
      <c r="K301" s="15"/>
      <c r="L301" s="15">
        <v>1</v>
      </c>
      <c r="M301" s="15"/>
      <c r="N301" s="15"/>
      <c r="O301" s="15"/>
      <c r="R301">
        <f t="shared" si="16"/>
        <v>0</v>
      </c>
      <c r="S301">
        <f t="shared" si="17"/>
        <v>1</v>
      </c>
      <c r="T301" t="str">
        <f t="shared" si="18"/>
        <v>Disagree</v>
      </c>
      <c r="U301">
        <f t="shared" si="19"/>
        <v>0</v>
      </c>
    </row>
    <row r="302" spans="1:21" ht="34" x14ac:dyDescent="0.2">
      <c r="A302">
        <v>301</v>
      </c>
      <c r="B302">
        <v>10</v>
      </c>
      <c r="C302" s="1" t="s">
        <v>1480</v>
      </c>
      <c r="D302" t="s">
        <v>117</v>
      </c>
      <c r="F302">
        <v>1</v>
      </c>
      <c r="G302">
        <v>1</v>
      </c>
      <c r="K302" s="15"/>
      <c r="L302" s="15">
        <v>1</v>
      </c>
      <c r="M302" s="15">
        <v>1</v>
      </c>
      <c r="N302" s="15"/>
      <c r="O302" s="15"/>
      <c r="R302">
        <f t="shared" si="16"/>
        <v>0</v>
      </c>
      <c r="S302">
        <f t="shared" si="17"/>
        <v>1</v>
      </c>
      <c r="T302">
        <f t="shared" si="18"/>
        <v>1</v>
      </c>
      <c r="U302">
        <f t="shared" si="19"/>
        <v>0</v>
      </c>
    </row>
    <row r="303" spans="1:21" ht="34" x14ac:dyDescent="0.2">
      <c r="A303">
        <v>302</v>
      </c>
      <c r="B303">
        <v>0</v>
      </c>
      <c r="C303" s="1" t="s">
        <v>1484</v>
      </c>
      <c r="D303" t="s">
        <v>123</v>
      </c>
      <c r="F303">
        <v>1</v>
      </c>
      <c r="G303">
        <v>1</v>
      </c>
      <c r="K303" s="15"/>
      <c r="L303" s="15">
        <v>1</v>
      </c>
      <c r="M303" s="15">
        <v>1</v>
      </c>
      <c r="N303" s="15"/>
      <c r="O303" s="15"/>
      <c r="R303">
        <f t="shared" si="16"/>
        <v>0</v>
      </c>
      <c r="S303">
        <f t="shared" si="17"/>
        <v>1</v>
      </c>
      <c r="T303">
        <f t="shared" si="18"/>
        <v>1</v>
      </c>
      <c r="U303">
        <f t="shared" si="19"/>
        <v>0</v>
      </c>
    </row>
    <row r="304" spans="1:21" ht="34" x14ac:dyDescent="0.2">
      <c r="A304">
        <v>303</v>
      </c>
      <c r="B304">
        <v>0</v>
      </c>
      <c r="C304" s="1" t="s">
        <v>1489</v>
      </c>
      <c r="D304" t="s">
        <v>123</v>
      </c>
      <c r="F304">
        <v>1</v>
      </c>
      <c r="K304" s="15"/>
      <c r="L304" s="15">
        <v>1</v>
      </c>
      <c r="M304" s="15"/>
      <c r="N304" s="15"/>
      <c r="O304" s="15"/>
      <c r="R304">
        <f t="shared" si="16"/>
        <v>0</v>
      </c>
      <c r="S304">
        <f t="shared" si="17"/>
        <v>1</v>
      </c>
      <c r="T304">
        <f t="shared" si="18"/>
        <v>0</v>
      </c>
      <c r="U304">
        <f t="shared" si="19"/>
        <v>0</v>
      </c>
    </row>
    <row r="305" spans="1:21" ht="17" x14ac:dyDescent="0.2">
      <c r="A305">
        <v>304</v>
      </c>
      <c r="B305">
        <v>86</v>
      </c>
      <c r="C305" s="1" t="s">
        <v>1493</v>
      </c>
      <c r="D305" t="s">
        <v>117</v>
      </c>
      <c r="G305">
        <v>1</v>
      </c>
      <c r="K305" s="15"/>
      <c r="L305" s="15"/>
      <c r="M305" s="15">
        <v>1</v>
      </c>
      <c r="N305" s="15"/>
      <c r="O305" s="15"/>
      <c r="R305">
        <f t="shared" si="16"/>
        <v>0</v>
      </c>
      <c r="S305">
        <f t="shared" si="17"/>
        <v>0</v>
      </c>
      <c r="T305">
        <f t="shared" si="18"/>
        <v>1</v>
      </c>
      <c r="U305">
        <f t="shared" si="19"/>
        <v>0</v>
      </c>
    </row>
    <row r="306" spans="1:21" ht="51" x14ac:dyDescent="0.2">
      <c r="A306">
        <v>305</v>
      </c>
      <c r="B306">
        <v>75</v>
      </c>
      <c r="C306" s="1" t="s">
        <v>1498</v>
      </c>
      <c r="D306" t="s">
        <v>128</v>
      </c>
      <c r="K306" s="15">
        <v>1</v>
      </c>
      <c r="L306" s="15"/>
      <c r="M306" s="15"/>
      <c r="N306" s="15"/>
      <c r="O306" s="15"/>
      <c r="R306" t="str">
        <f t="shared" si="16"/>
        <v>Disagree</v>
      </c>
      <c r="S306">
        <f t="shared" si="17"/>
        <v>0</v>
      </c>
      <c r="T306">
        <f t="shared" si="18"/>
        <v>0</v>
      </c>
      <c r="U306">
        <f t="shared" si="19"/>
        <v>0</v>
      </c>
    </row>
    <row r="307" spans="1:21" ht="34" x14ac:dyDescent="0.2">
      <c r="A307">
        <v>306</v>
      </c>
      <c r="B307">
        <v>71</v>
      </c>
      <c r="C307" s="1" t="s">
        <v>1502</v>
      </c>
      <c r="D307" t="s">
        <v>117</v>
      </c>
      <c r="E307">
        <v>1</v>
      </c>
      <c r="G307">
        <v>1</v>
      </c>
      <c r="K307" s="15">
        <v>1</v>
      </c>
      <c r="L307" s="15"/>
      <c r="M307" s="15">
        <v>1</v>
      </c>
      <c r="N307" s="15"/>
      <c r="O307" s="15"/>
      <c r="R307">
        <f t="shared" si="16"/>
        <v>1</v>
      </c>
      <c r="S307">
        <f t="shared" si="17"/>
        <v>0</v>
      </c>
      <c r="T307">
        <f t="shared" si="18"/>
        <v>1</v>
      </c>
      <c r="U307">
        <f t="shared" si="19"/>
        <v>0</v>
      </c>
    </row>
    <row r="308" spans="1:21" ht="68" x14ac:dyDescent="0.2">
      <c r="A308">
        <v>307</v>
      </c>
      <c r="B308">
        <v>0</v>
      </c>
      <c r="C308" s="1" t="s">
        <v>1507</v>
      </c>
      <c r="D308" t="s">
        <v>123</v>
      </c>
      <c r="F308">
        <v>1</v>
      </c>
      <c r="G308">
        <v>1</v>
      </c>
      <c r="I308">
        <v>1</v>
      </c>
      <c r="K308" s="15"/>
      <c r="L308" s="15">
        <v>1</v>
      </c>
      <c r="M308" s="15">
        <v>1</v>
      </c>
      <c r="N308" s="15"/>
      <c r="O308" s="15">
        <v>1</v>
      </c>
      <c r="R308">
        <f t="shared" si="16"/>
        <v>0</v>
      </c>
      <c r="S308">
        <f t="shared" si="17"/>
        <v>1</v>
      </c>
      <c r="T308">
        <f t="shared" si="18"/>
        <v>1</v>
      </c>
      <c r="U308">
        <f t="shared" si="19"/>
        <v>0</v>
      </c>
    </row>
    <row r="309" spans="1:21" ht="51" x14ac:dyDescent="0.2">
      <c r="A309">
        <v>308</v>
      </c>
      <c r="B309">
        <v>91</v>
      </c>
      <c r="C309" s="1" t="s">
        <v>1511</v>
      </c>
      <c r="D309" t="s">
        <v>128</v>
      </c>
      <c r="E309">
        <v>1</v>
      </c>
      <c r="K309" s="15">
        <v>1</v>
      </c>
      <c r="L309" s="15"/>
      <c r="M309" s="15"/>
      <c r="N309" s="15"/>
      <c r="O309" s="15"/>
      <c r="R309">
        <f t="shared" si="16"/>
        <v>1</v>
      </c>
      <c r="S309">
        <f t="shared" si="17"/>
        <v>0</v>
      </c>
      <c r="T309">
        <f t="shared" si="18"/>
        <v>0</v>
      </c>
      <c r="U309">
        <f t="shared" si="19"/>
        <v>0</v>
      </c>
    </row>
    <row r="310" spans="1:21" ht="17" x14ac:dyDescent="0.2">
      <c r="A310">
        <v>309</v>
      </c>
      <c r="B310">
        <v>75</v>
      </c>
      <c r="C310" s="1" t="s">
        <v>1515</v>
      </c>
      <c r="D310" t="s">
        <v>128</v>
      </c>
      <c r="E310">
        <v>1</v>
      </c>
      <c r="K310" s="15">
        <v>1</v>
      </c>
      <c r="L310" s="15"/>
      <c r="M310" s="15"/>
      <c r="N310" s="15"/>
      <c r="O310" s="15"/>
      <c r="R310">
        <f t="shared" si="16"/>
        <v>1</v>
      </c>
      <c r="S310">
        <f t="shared" si="17"/>
        <v>0</v>
      </c>
      <c r="T310">
        <f t="shared" si="18"/>
        <v>0</v>
      </c>
      <c r="U310">
        <f t="shared" si="19"/>
        <v>0</v>
      </c>
    </row>
    <row r="311" spans="1:21" ht="68" x14ac:dyDescent="0.2">
      <c r="A311">
        <v>310</v>
      </c>
      <c r="B311">
        <v>29</v>
      </c>
      <c r="C311" s="1" t="s">
        <v>1521</v>
      </c>
      <c r="D311" t="s">
        <v>135</v>
      </c>
      <c r="G311">
        <v>1</v>
      </c>
      <c r="K311" s="15"/>
      <c r="L311" s="15">
        <v>1</v>
      </c>
      <c r="M311" s="15">
        <v>1</v>
      </c>
      <c r="N311" s="15"/>
      <c r="O311" s="15"/>
      <c r="R311">
        <f t="shared" si="16"/>
        <v>0</v>
      </c>
      <c r="S311" t="str">
        <f t="shared" si="17"/>
        <v>Disagree</v>
      </c>
      <c r="T311">
        <f t="shared" si="18"/>
        <v>1</v>
      </c>
      <c r="U311">
        <f t="shared" si="19"/>
        <v>0</v>
      </c>
    </row>
    <row r="312" spans="1:21" ht="34" x14ac:dyDescent="0.2">
      <c r="A312">
        <v>311</v>
      </c>
      <c r="B312">
        <v>71</v>
      </c>
      <c r="C312" s="1" t="s">
        <v>1526</v>
      </c>
      <c r="D312" t="s">
        <v>117</v>
      </c>
      <c r="E312">
        <v>1</v>
      </c>
      <c r="K312" s="15">
        <v>1</v>
      </c>
      <c r="L312" s="15"/>
      <c r="M312" s="15"/>
      <c r="N312" s="15"/>
      <c r="O312" s="15"/>
      <c r="R312">
        <f t="shared" si="16"/>
        <v>1</v>
      </c>
      <c r="S312">
        <f t="shared" si="17"/>
        <v>0</v>
      </c>
      <c r="T312">
        <f t="shared" si="18"/>
        <v>0</v>
      </c>
      <c r="U312">
        <f t="shared" si="19"/>
        <v>0</v>
      </c>
    </row>
    <row r="313" spans="1:21" ht="85" x14ac:dyDescent="0.2">
      <c r="A313">
        <v>312</v>
      </c>
      <c r="B313">
        <v>80</v>
      </c>
      <c r="C313" s="1" t="s">
        <v>1530</v>
      </c>
      <c r="D313" t="s">
        <v>135</v>
      </c>
      <c r="E313">
        <v>1</v>
      </c>
      <c r="K313" s="15">
        <v>1</v>
      </c>
      <c r="L313" s="15"/>
      <c r="M313" s="15">
        <v>1</v>
      </c>
      <c r="N313" s="15"/>
      <c r="O313" s="15"/>
      <c r="R313">
        <f t="shared" si="16"/>
        <v>1</v>
      </c>
      <c r="S313">
        <f t="shared" si="17"/>
        <v>0</v>
      </c>
      <c r="T313" t="str">
        <f t="shared" si="18"/>
        <v>Disagree</v>
      </c>
      <c r="U313">
        <f t="shared" si="19"/>
        <v>0</v>
      </c>
    </row>
    <row r="314" spans="1:21" ht="17" x14ac:dyDescent="0.2">
      <c r="A314">
        <v>313</v>
      </c>
      <c r="B314">
        <v>68</v>
      </c>
      <c r="C314" s="1" t="s">
        <v>1534</v>
      </c>
      <c r="D314" t="s">
        <v>117</v>
      </c>
      <c r="K314" s="15">
        <v>1</v>
      </c>
      <c r="L314" s="15"/>
      <c r="M314" s="15"/>
      <c r="N314" s="15"/>
      <c r="O314" s="15"/>
      <c r="R314" t="str">
        <f t="shared" si="16"/>
        <v>Disagree</v>
      </c>
      <c r="S314">
        <f t="shared" si="17"/>
        <v>0</v>
      </c>
      <c r="T314">
        <f t="shared" si="18"/>
        <v>0</v>
      </c>
      <c r="U314">
        <f t="shared" si="19"/>
        <v>0</v>
      </c>
    </row>
    <row r="315" spans="1:21" ht="85" x14ac:dyDescent="0.2">
      <c r="A315">
        <v>314</v>
      </c>
      <c r="B315">
        <v>8</v>
      </c>
      <c r="C315" s="1" t="s">
        <v>1539</v>
      </c>
      <c r="D315" t="s">
        <v>128</v>
      </c>
      <c r="G315">
        <v>1</v>
      </c>
      <c r="K315" s="15"/>
      <c r="L315" s="15"/>
      <c r="M315" s="15">
        <v>1</v>
      </c>
      <c r="N315" s="15"/>
      <c r="O315" s="15"/>
      <c r="R315">
        <f t="shared" si="16"/>
        <v>0</v>
      </c>
      <c r="S315">
        <f t="shared" si="17"/>
        <v>0</v>
      </c>
      <c r="T315">
        <f t="shared" si="18"/>
        <v>1</v>
      </c>
      <c r="U315">
        <f t="shared" si="19"/>
        <v>0</v>
      </c>
    </row>
    <row r="316" spans="1:21" ht="34" x14ac:dyDescent="0.2">
      <c r="A316">
        <v>315</v>
      </c>
      <c r="B316">
        <v>70</v>
      </c>
      <c r="C316" s="1" t="s">
        <v>1544</v>
      </c>
      <c r="D316" t="s">
        <v>135</v>
      </c>
      <c r="E316">
        <v>1</v>
      </c>
      <c r="K316" s="15">
        <v>1</v>
      </c>
      <c r="L316" s="15"/>
      <c r="M316" s="15"/>
      <c r="N316" s="15"/>
      <c r="O316" s="15"/>
      <c r="R316">
        <f t="shared" si="16"/>
        <v>1</v>
      </c>
      <c r="S316">
        <f t="shared" si="17"/>
        <v>0</v>
      </c>
      <c r="T316">
        <f t="shared" si="18"/>
        <v>0</v>
      </c>
      <c r="U316">
        <f t="shared" si="19"/>
        <v>0</v>
      </c>
    </row>
    <row r="317" spans="1:21" ht="34" x14ac:dyDescent="0.2">
      <c r="A317">
        <v>316</v>
      </c>
      <c r="B317">
        <v>11</v>
      </c>
      <c r="C317" s="1" t="s">
        <v>1548</v>
      </c>
      <c r="D317" t="s">
        <v>135</v>
      </c>
      <c r="F317">
        <v>1</v>
      </c>
      <c r="G317">
        <v>1</v>
      </c>
      <c r="K317" s="15"/>
      <c r="L317" s="15">
        <v>1</v>
      </c>
      <c r="M317" s="15">
        <v>1</v>
      </c>
      <c r="N317" s="15"/>
      <c r="O317" s="15"/>
      <c r="R317">
        <f t="shared" si="16"/>
        <v>0</v>
      </c>
      <c r="S317">
        <f t="shared" si="17"/>
        <v>1</v>
      </c>
      <c r="T317">
        <f t="shared" si="18"/>
        <v>1</v>
      </c>
      <c r="U317">
        <f t="shared" si="19"/>
        <v>0</v>
      </c>
    </row>
    <row r="318" spans="1:21" ht="68" x14ac:dyDescent="0.2">
      <c r="A318">
        <v>317</v>
      </c>
      <c r="B318">
        <v>90</v>
      </c>
      <c r="C318" s="1" t="s">
        <v>1552</v>
      </c>
      <c r="D318" t="s">
        <v>128</v>
      </c>
      <c r="E318">
        <v>1</v>
      </c>
      <c r="K318" s="15">
        <v>1</v>
      </c>
      <c r="L318" s="15"/>
      <c r="M318" s="15"/>
      <c r="N318" s="15"/>
      <c r="O318" s="15"/>
      <c r="R318">
        <f t="shared" si="16"/>
        <v>1</v>
      </c>
      <c r="S318">
        <f t="shared" si="17"/>
        <v>0</v>
      </c>
      <c r="T318">
        <f t="shared" si="18"/>
        <v>0</v>
      </c>
      <c r="U318">
        <f t="shared" si="19"/>
        <v>0</v>
      </c>
    </row>
    <row r="319" spans="1:21" ht="17" x14ac:dyDescent="0.2">
      <c r="A319">
        <v>318</v>
      </c>
      <c r="B319">
        <v>99</v>
      </c>
      <c r="C319" s="1" t="s">
        <v>1557</v>
      </c>
      <c r="D319" t="s">
        <v>123</v>
      </c>
      <c r="E319">
        <v>1</v>
      </c>
      <c r="K319" s="15">
        <v>1</v>
      </c>
      <c r="L319" s="15"/>
      <c r="M319" s="15"/>
      <c r="N319" s="15"/>
      <c r="O319" s="15"/>
      <c r="R319">
        <f t="shared" si="16"/>
        <v>1</v>
      </c>
      <c r="S319">
        <f t="shared" si="17"/>
        <v>0</v>
      </c>
      <c r="T319">
        <f t="shared" si="18"/>
        <v>0</v>
      </c>
      <c r="U319">
        <f t="shared" si="19"/>
        <v>0</v>
      </c>
    </row>
    <row r="320" spans="1:21" ht="34" x14ac:dyDescent="0.2">
      <c r="A320">
        <v>319</v>
      </c>
      <c r="B320">
        <v>0</v>
      </c>
      <c r="C320" s="1" t="s">
        <v>1561</v>
      </c>
      <c r="D320" t="s">
        <v>123</v>
      </c>
      <c r="K320" s="15"/>
      <c r="L320" s="15"/>
      <c r="M320" s="15"/>
      <c r="N320" s="15"/>
      <c r="O320" s="15"/>
      <c r="R320">
        <f t="shared" si="16"/>
        <v>0</v>
      </c>
      <c r="S320">
        <f t="shared" si="17"/>
        <v>0</v>
      </c>
      <c r="T320">
        <f t="shared" si="18"/>
        <v>0</v>
      </c>
      <c r="U320">
        <f t="shared" si="19"/>
        <v>0</v>
      </c>
    </row>
    <row r="321" spans="1:21" ht="68" x14ac:dyDescent="0.2">
      <c r="A321">
        <v>320</v>
      </c>
      <c r="B321">
        <v>74</v>
      </c>
      <c r="C321" s="1" t="s">
        <v>1565</v>
      </c>
      <c r="D321" t="s">
        <v>128</v>
      </c>
      <c r="E321">
        <v>1</v>
      </c>
      <c r="I321">
        <v>1</v>
      </c>
      <c r="K321" s="15">
        <v>1</v>
      </c>
      <c r="L321" s="15"/>
      <c r="M321" s="15"/>
      <c r="N321" s="15"/>
      <c r="O321" s="15">
        <v>1</v>
      </c>
      <c r="R321">
        <f t="shared" si="16"/>
        <v>1</v>
      </c>
      <c r="S321">
        <f t="shared" si="17"/>
        <v>0</v>
      </c>
      <c r="T321">
        <f t="shared" si="18"/>
        <v>0</v>
      </c>
      <c r="U321">
        <f t="shared" si="19"/>
        <v>0</v>
      </c>
    </row>
    <row r="322" spans="1:21" ht="85" x14ac:dyDescent="0.2">
      <c r="A322">
        <v>321</v>
      </c>
      <c r="B322">
        <v>60</v>
      </c>
      <c r="C322" s="1" t="s">
        <v>1570</v>
      </c>
      <c r="D322" t="s">
        <v>128</v>
      </c>
      <c r="G322">
        <v>1</v>
      </c>
      <c r="I322">
        <v>1</v>
      </c>
      <c r="K322" s="15"/>
      <c r="L322" s="15"/>
      <c r="M322" s="15">
        <v>1</v>
      </c>
      <c r="N322" s="15"/>
      <c r="O322" s="15">
        <v>1</v>
      </c>
      <c r="R322">
        <f t="shared" si="16"/>
        <v>0</v>
      </c>
      <c r="S322">
        <f t="shared" si="17"/>
        <v>0</v>
      </c>
      <c r="T322">
        <f t="shared" si="18"/>
        <v>1</v>
      </c>
      <c r="U322">
        <f t="shared" si="19"/>
        <v>0</v>
      </c>
    </row>
    <row r="323" spans="1:21" ht="34" x14ac:dyDescent="0.2">
      <c r="A323">
        <v>322</v>
      </c>
      <c r="B323">
        <v>62</v>
      </c>
      <c r="C323" s="1" t="s">
        <v>1577</v>
      </c>
      <c r="D323" t="s">
        <v>123</v>
      </c>
      <c r="K323" s="15">
        <v>1</v>
      </c>
      <c r="L323" s="15"/>
      <c r="M323" s="15">
        <v>1</v>
      </c>
      <c r="N323" s="15"/>
      <c r="O323" s="15"/>
      <c r="R323" t="str">
        <f t="shared" ref="R323:R386" si="20">IF(E323=K323,E323,"Disagree")</f>
        <v>Disagree</v>
      </c>
      <c r="S323">
        <f t="shared" ref="S323:S386" si="21">IF(F323=L323,F323,"Disagree")</f>
        <v>0</v>
      </c>
      <c r="T323" t="str">
        <f t="shared" ref="T323:T386" si="22">IF(G323=M323,G323,"Disagree")</f>
        <v>Disagree</v>
      </c>
      <c r="U323">
        <f t="shared" ref="U323:U386" si="23">IF(H323=N323,H323,"Disagree")</f>
        <v>0</v>
      </c>
    </row>
    <row r="324" spans="1:21" ht="34" x14ac:dyDescent="0.2">
      <c r="A324">
        <v>323</v>
      </c>
      <c r="B324">
        <v>59</v>
      </c>
      <c r="C324" s="1" t="s">
        <v>1584</v>
      </c>
      <c r="D324" t="s">
        <v>117</v>
      </c>
      <c r="E324">
        <v>1</v>
      </c>
      <c r="K324" s="15">
        <v>1</v>
      </c>
      <c r="L324" s="15"/>
      <c r="M324" s="15"/>
      <c r="N324" s="15"/>
      <c r="O324" s="15"/>
      <c r="R324">
        <f t="shared" si="20"/>
        <v>1</v>
      </c>
      <c r="S324">
        <f t="shared" si="21"/>
        <v>0</v>
      </c>
      <c r="T324">
        <f t="shared" si="22"/>
        <v>0</v>
      </c>
      <c r="U324">
        <f t="shared" si="23"/>
        <v>0</v>
      </c>
    </row>
    <row r="325" spans="1:21" ht="34" x14ac:dyDescent="0.2">
      <c r="A325">
        <v>324</v>
      </c>
      <c r="B325">
        <v>19</v>
      </c>
      <c r="C325" s="1" t="s">
        <v>1589</v>
      </c>
      <c r="D325" t="s">
        <v>128</v>
      </c>
      <c r="G325">
        <v>1</v>
      </c>
      <c r="I325">
        <v>1</v>
      </c>
      <c r="K325" s="15"/>
      <c r="L325" s="15"/>
      <c r="M325" s="15">
        <v>1</v>
      </c>
      <c r="N325" s="15"/>
      <c r="O325" s="15">
        <v>1</v>
      </c>
      <c r="R325">
        <f t="shared" si="20"/>
        <v>0</v>
      </c>
      <c r="S325">
        <f t="shared" si="21"/>
        <v>0</v>
      </c>
      <c r="T325">
        <f t="shared" si="22"/>
        <v>1</v>
      </c>
      <c r="U325">
        <f t="shared" si="23"/>
        <v>0</v>
      </c>
    </row>
    <row r="326" spans="1:21" ht="34" x14ac:dyDescent="0.2">
      <c r="A326">
        <v>325</v>
      </c>
      <c r="B326">
        <v>60</v>
      </c>
      <c r="C326" s="1" t="s">
        <v>1594</v>
      </c>
      <c r="D326" t="s">
        <v>135</v>
      </c>
      <c r="K326" s="15"/>
      <c r="L326" s="15"/>
      <c r="M326" s="15"/>
      <c r="N326" s="15"/>
      <c r="O326" s="15"/>
      <c r="R326">
        <f t="shared" si="20"/>
        <v>0</v>
      </c>
      <c r="S326">
        <f t="shared" si="21"/>
        <v>0</v>
      </c>
      <c r="T326">
        <f t="shared" si="22"/>
        <v>0</v>
      </c>
      <c r="U326">
        <f t="shared" si="23"/>
        <v>0</v>
      </c>
    </row>
    <row r="327" spans="1:21" ht="68" x14ac:dyDescent="0.2">
      <c r="A327">
        <v>326</v>
      </c>
      <c r="B327">
        <v>100</v>
      </c>
      <c r="C327" s="1" t="s">
        <v>1599</v>
      </c>
      <c r="D327" t="s">
        <v>117</v>
      </c>
      <c r="E327">
        <v>1</v>
      </c>
      <c r="K327" s="15">
        <v>1</v>
      </c>
      <c r="L327" s="15"/>
      <c r="M327" s="15"/>
      <c r="N327" s="15"/>
      <c r="O327" s="15"/>
      <c r="R327">
        <f t="shared" si="20"/>
        <v>1</v>
      </c>
      <c r="S327">
        <f t="shared" si="21"/>
        <v>0</v>
      </c>
      <c r="T327">
        <f t="shared" si="22"/>
        <v>0</v>
      </c>
      <c r="U327">
        <f t="shared" si="23"/>
        <v>0</v>
      </c>
    </row>
    <row r="328" spans="1:21" ht="34" x14ac:dyDescent="0.2">
      <c r="A328">
        <v>327</v>
      </c>
      <c r="B328">
        <v>19</v>
      </c>
      <c r="C328" s="1" t="s">
        <v>1603</v>
      </c>
      <c r="D328" t="s">
        <v>135</v>
      </c>
      <c r="F328">
        <v>1</v>
      </c>
      <c r="G328">
        <v>1</v>
      </c>
      <c r="K328" s="15"/>
      <c r="L328" s="15">
        <v>1</v>
      </c>
      <c r="M328" s="15">
        <v>1</v>
      </c>
      <c r="N328" s="15"/>
      <c r="O328" s="15"/>
      <c r="R328">
        <f t="shared" si="20"/>
        <v>0</v>
      </c>
      <c r="S328">
        <f t="shared" si="21"/>
        <v>1</v>
      </c>
      <c r="T328">
        <f t="shared" si="22"/>
        <v>1</v>
      </c>
      <c r="U328">
        <f t="shared" si="23"/>
        <v>0</v>
      </c>
    </row>
    <row r="329" spans="1:21" ht="51" x14ac:dyDescent="0.2">
      <c r="A329">
        <v>328</v>
      </c>
      <c r="B329">
        <v>36</v>
      </c>
      <c r="C329" s="1" t="s">
        <v>1607</v>
      </c>
      <c r="D329" t="s">
        <v>128</v>
      </c>
      <c r="G329">
        <v>1</v>
      </c>
      <c r="K329" s="15"/>
      <c r="L329" s="15"/>
      <c r="M329" s="15">
        <v>1</v>
      </c>
      <c r="N329" s="15"/>
      <c r="O329" s="15"/>
      <c r="R329">
        <f t="shared" si="20"/>
        <v>0</v>
      </c>
      <c r="S329">
        <f t="shared" si="21"/>
        <v>0</v>
      </c>
      <c r="T329">
        <f t="shared" si="22"/>
        <v>1</v>
      </c>
      <c r="U329">
        <f t="shared" si="23"/>
        <v>0</v>
      </c>
    </row>
    <row r="330" spans="1:21" ht="51" x14ac:dyDescent="0.2">
      <c r="A330">
        <v>329</v>
      </c>
      <c r="B330">
        <v>66</v>
      </c>
      <c r="C330" s="1" t="s">
        <v>1611</v>
      </c>
      <c r="D330" t="s">
        <v>135</v>
      </c>
      <c r="E330">
        <v>1</v>
      </c>
      <c r="G330">
        <v>1</v>
      </c>
      <c r="K330" s="15">
        <v>1</v>
      </c>
      <c r="L330" s="15"/>
      <c r="M330" s="15">
        <v>1</v>
      </c>
      <c r="N330" s="15"/>
      <c r="O330" s="15"/>
      <c r="R330">
        <f t="shared" si="20"/>
        <v>1</v>
      </c>
      <c r="S330">
        <f t="shared" si="21"/>
        <v>0</v>
      </c>
      <c r="T330">
        <f t="shared" si="22"/>
        <v>1</v>
      </c>
      <c r="U330">
        <f t="shared" si="23"/>
        <v>0</v>
      </c>
    </row>
    <row r="331" spans="1:21" ht="68" x14ac:dyDescent="0.2">
      <c r="A331">
        <v>330</v>
      </c>
      <c r="B331">
        <v>5</v>
      </c>
      <c r="C331" s="1" t="s">
        <v>1617</v>
      </c>
      <c r="D331" t="s">
        <v>117</v>
      </c>
      <c r="I331">
        <v>1</v>
      </c>
      <c r="K331" s="15"/>
      <c r="L331" s="15"/>
      <c r="M331" s="15"/>
      <c r="N331" s="15"/>
      <c r="O331" s="15">
        <v>1</v>
      </c>
      <c r="R331">
        <f t="shared" si="20"/>
        <v>0</v>
      </c>
      <c r="S331">
        <f t="shared" si="21"/>
        <v>0</v>
      </c>
      <c r="T331">
        <f t="shared" si="22"/>
        <v>0</v>
      </c>
      <c r="U331">
        <f t="shared" si="23"/>
        <v>0</v>
      </c>
    </row>
    <row r="332" spans="1:21" ht="34" x14ac:dyDescent="0.2">
      <c r="A332">
        <v>331</v>
      </c>
      <c r="B332">
        <v>5</v>
      </c>
      <c r="C332" s="1" t="s">
        <v>1621</v>
      </c>
      <c r="D332" t="s">
        <v>135</v>
      </c>
      <c r="F332">
        <v>1</v>
      </c>
      <c r="K332" s="15"/>
      <c r="L332" s="15">
        <v>1</v>
      </c>
      <c r="M332" s="15"/>
      <c r="N332" s="15"/>
      <c r="O332" s="15"/>
      <c r="R332">
        <f t="shared" si="20"/>
        <v>0</v>
      </c>
      <c r="S332">
        <f t="shared" si="21"/>
        <v>1</v>
      </c>
      <c r="T332">
        <f t="shared" si="22"/>
        <v>0</v>
      </c>
      <c r="U332">
        <f t="shared" si="23"/>
        <v>0</v>
      </c>
    </row>
    <row r="333" spans="1:21" ht="34" x14ac:dyDescent="0.2">
      <c r="A333">
        <v>332</v>
      </c>
      <c r="B333">
        <v>7</v>
      </c>
      <c r="C333" s="1" t="s">
        <v>1626</v>
      </c>
      <c r="D333" t="s">
        <v>117</v>
      </c>
      <c r="E333">
        <v>1</v>
      </c>
      <c r="K333" s="15">
        <v>1</v>
      </c>
      <c r="L333" s="15"/>
      <c r="M333" s="15"/>
      <c r="N333" s="15"/>
      <c r="O333" s="15"/>
      <c r="R333">
        <f t="shared" si="20"/>
        <v>1</v>
      </c>
      <c r="S333">
        <f t="shared" si="21"/>
        <v>0</v>
      </c>
      <c r="T333">
        <f t="shared" si="22"/>
        <v>0</v>
      </c>
      <c r="U333">
        <f t="shared" si="23"/>
        <v>0</v>
      </c>
    </row>
    <row r="334" spans="1:21" ht="34" x14ac:dyDescent="0.2">
      <c r="A334">
        <v>333</v>
      </c>
      <c r="B334">
        <v>80</v>
      </c>
      <c r="C334" s="1" t="s">
        <v>1632</v>
      </c>
      <c r="D334" t="s">
        <v>117</v>
      </c>
      <c r="E334">
        <v>1</v>
      </c>
      <c r="K334" s="15">
        <v>1</v>
      </c>
      <c r="L334" s="15"/>
      <c r="M334" s="15"/>
      <c r="N334" s="15"/>
      <c r="O334" s="15"/>
      <c r="R334">
        <f t="shared" si="20"/>
        <v>1</v>
      </c>
      <c r="S334">
        <f t="shared" si="21"/>
        <v>0</v>
      </c>
      <c r="T334">
        <f t="shared" si="22"/>
        <v>0</v>
      </c>
      <c r="U334">
        <f t="shared" si="23"/>
        <v>0</v>
      </c>
    </row>
    <row r="335" spans="1:21" ht="51" x14ac:dyDescent="0.2">
      <c r="A335">
        <v>334</v>
      </c>
      <c r="B335">
        <v>20</v>
      </c>
      <c r="C335" s="1" t="s">
        <v>1636</v>
      </c>
      <c r="D335" t="s">
        <v>117</v>
      </c>
      <c r="G335">
        <v>1</v>
      </c>
      <c r="H335">
        <v>1</v>
      </c>
      <c r="I335">
        <v>1</v>
      </c>
      <c r="K335" s="15"/>
      <c r="L335" s="15">
        <v>1</v>
      </c>
      <c r="M335" s="15">
        <v>1</v>
      </c>
      <c r="N335" s="15"/>
      <c r="O335" s="15"/>
      <c r="R335">
        <f t="shared" si="20"/>
        <v>0</v>
      </c>
      <c r="S335" t="str">
        <f t="shared" si="21"/>
        <v>Disagree</v>
      </c>
      <c r="T335">
        <f t="shared" si="22"/>
        <v>1</v>
      </c>
      <c r="U335" t="str">
        <f t="shared" si="23"/>
        <v>Disagree</v>
      </c>
    </row>
    <row r="336" spans="1:21" ht="51" x14ac:dyDescent="0.2">
      <c r="A336">
        <v>335</v>
      </c>
      <c r="B336">
        <v>0</v>
      </c>
      <c r="C336" s="1" t="s">
        <v>1640</v>
      </c>
      <c r="D336" t="s">
        <v>123</v>
      </c>
      <c r="F336">
        <v>1</v>
      </c>
      <c r="G336">
        <v>1</v>
      </c>
      <c r="K336" s="15"/>
      <c r="L336" s="15">
        <v>1</v>
      </c>
      <c r="M336" s="15">
        <v>1</v>
      </c>
      <c r="N336" s="15"/>
      <c r="O336" s="15"/>
      <c r="R336">
        <f t="shared" si="20"/>
        <v>0</v>
      </c>
      <c r="S336">
        <f t="shared" si="21"/>
        <v>1</v>
      </c>
      <c r="T336">
        <f t="shared" si="22"/>
        <v>1</v>
      </c>
      <c r="U336">
        <f t="shared" si="23"/>
        <v>0</v>
      </c>
    </row>
    <row r="337" spans="1:21" ht="51" x14ac:dyDescent="0.2">
      <c r="A337">
        <v>336</v>
      </c>
      <c r="B337">
        <v>65</v>
      </c>
      <c r="C337" s="1" t="s">
        <v>1644</v>
      </c>
      <c r="D337" t="s">
        <v>123</v>
      </c>
      <c r="K337" s="15"/>
      <c r="L337" s="15"/>
      <c r="M337" s="15"/>
      <c r="N337" s="15"/>
      <c r="O337" s="15"/>
      <c r="R337">
        <f t="shared" si="20"/>
        <v>0</v>
      </c>
      <c r="S337">
        <f t="shared" si="21"/>
        <v>0</v>
      </c>
      <c r="T337">
        <f t="shared" si="22"/>
        <v>0</v>
      </c>
      <c r="U337">
        <f t="shared" si="23"/>
        <v>0</v>
      </c>
    </row>
    <row r="338" spans="1:21" ht="34" x14ac:dyDescent="0.2">
      <c r="A338">
        <v>337</v>
      </c>
      <c r="B338">
        <v>62</v>
      </c>
      <c r="C338" s="1" t="s">
        <v>1648</v>
      </c>
      <c r="D338" t="s">
        <v>117</v>
      </c>
      <c r="I338">
        <v>1</v>
      </c>
      <c r="K338" s="15">
        <v>1</v>
      </c>
      <c r="L338" s="15"/>
      <c r="M338" s="15"/>
      <c r="N338" s="15"/>
      <c r="O338" s="15"/>
      <c r="R338" t="str">
        <f t="shared" si="20"/>
        <v>Disagree</v>
      </c>
      <c r="S338">
        <f t="shared" si="21"/>
        <v>0</v>
      </c>
      <c r="T338">
        <f t="shared" si="22"/>
        <v>0</v>
      </c>
      <c r="U338">
        <f t="shared" si="23"/>
        <v>0</v>
      </c>
    </row>
    <row r="339" spans="1:21" ht="68" x14ac:dyDescent="0.2">
      <c r="A339">
        <v>338</v>
      </c>
      <c r="B339">
        <v>0</v>
      </c>
      <c r="C339" s="1" t="s">
        <v>1652</v>
      </c>
      <c r="D339" t="s">
        <v>128</v>
      </c>
      <c r="K339" s="15"/>
      <c r="L339" s="15"/>
      <c r="M339" s="15"/>
      <c r="N339" s="15"/>
      <c r="O339" s="15"/>
      <c r="R339">
        <f t="shared" si="20"/>
        <v>0</v>
      </c>
      <c r="S339">
        <f t="shared" si="21"/>
        <v>0</v>
      </c>
      <c r="T339">
        <f t="shared" si="22"/>
        <v>0</v>
      </c>
      <c r="U339">
        <f t="shared" si="23"/>
        <v>0</v>
      </c>
    </row>
    <row r="340" spans="1:21" ht="34" x14ac:dyDescent="0.2">
      <c r="A340">
        <v>339</v>
      </c>
      <c r="B340">
        <v>91</v>
      </c>
      <c r="C340" s="1" t="s">
        <v>1658</v>
      </c>
      <c r="D340" t="s">
        <v>128</v>
      </c>
      <c r="E340">
        <v>1</v>
      </c>
      <c r="K340" s="15">
        <v>1</v>
      </c>
      <c r="L340" s="15"/>
      <c r="M340" s="15"/>
      <c r="N340" s="15"/>
      <c r="O340" s="15"/>
      <c r="R340">
        <f t="shared" si="20"/>
        <v>1</v>
      </c>
      <c r="S340">
        <f t="shared" si="21"/>
        <v>0</v>
      </c>
      <c r="T340">
        <f t="shared" si="22"/>
        <v>0</v>
      </c>
      <c r="U340">
        <f t="shared" si="23"/>
        <v>0</v>
      </c>
    </row>
    <row r="341" spans="1:21" ht="17" x14ac:dyDescent="0.2">
      <c r="A341">
        <v>340</v>
      </c>
      <c r="B341">
        <v>84</v>
      </c>
      <c r="C341" s="1" t="s">
        <v>1662</v>
      </c>
      <c r="D341" t="s">
        <v>117</v>
      </c>
      <c r="E341">
        <v>1</v>
      </c>
      <c r="K341" s="15">
        <v>1</v>
      </c>
      <c r="L341" s="15"/>
      <c r="M341" s="15"/>
      <c r="N341" s="15"/>
      <c r="O341" s="15"/>
      <c r="R341">
        <f t="shared" si="20"/>
        <v>1</v>
      </c>
      <c r="S341">
        <f t="shared" si="21"/>
        <v>0</v>
      </c>
      <c r="T341">
        <f t="shared" si="22"/>
        <v>0</v>
      </c>
      <c r="U341">
        <f t="shared" si="23"/>
        <v>0</v>
      </c>
    </row>
    <row r="342" spans="1:21" ht="51" x14ac:dyDescent="0.2">
      <c r="A342">
        <v>341</v>
      </c>
      <c r="B342">
        <v>20</v>
      </c>
      <c r="C342" s="1" t="s">
        <v>1666</v>
      </c>
      <c r="D342" t="s">
        <v>135</v>
      </c>
      <c r="F342">
        <v>1</v>
      </c>
      <c r="I342">
        <v>1</v>
      </c>
      <c r="K342" s="15"/>
      <c r="L342" s="15">
        <v>1</v>
      </c>
      <c r="M342" s="15"/>
      <c r="N342" s="15"/>
      <c r="O342" s="15">
        <v>1</v>
      </c>
      <c r="R342">
        <f t="shared" si="20"/>
        <v>0</v>
      </c>
      <c r="S342">
        <f t="shared" si="21"/>
        <v>1</v>
      </c>
      <c r="T342">
        <f t="shared" si="22"/>
        <v>0</v>
      </c>
      <c r="U342">
        <f t="shared" si="23"/>
        <v>0</v>
      </c>
    </row>
    <row r="343" spans="1:21" ht="34" x14ac:dyDescent="0.2">
      <c r="A343">
        <v>342</v>
      </c>
      <c r="B343">
        <v>80</v>
      </c>
      <c r="C343" s="1" t="s">
        <v>1671</v>
      </c>
      <c r="D343" t="s">
        <v>117</v>
      </c>
      <c r="E343">
        <v>1</v>
      </c>
      <c r="G343">
        <v>1</v>
      </c>
      <c r="K343" s="15">
        <v>1</v>
      </c>
      <c r="L343" s="15"/>
      <c r="M343" s="15"/>
      <c r="N343" s="15"/>
      <c r="O343" s="15"/>
      <c r="R343">
        <f t="shared" si="20"/>
        <v>1</v>
      </c>
      <c r="S343">
        <f t="shared" si="21"/>
        <v>0</v>
      </c>
      <c r="T343" t="str">
        <f t="shared" si="22"/>
        <v>Disagree</v>
      </c>
      <c r="U343">
        <f t="shared" si="23"/>
        <v>0</v>
      </c>
    </row>
    <row r="344" spans="1:21" ht="51" x14ac:dyDescent="0.2">
      <c r="A344">
        <v>343</v>
      </c>
      <c r="B344">
        <v>5</v>
      </c>
      <c r="C344" s="1" t="s">
        <v>1677</v>
      </c>
      <c r="D344" t="s">
        <v>135</v>
      </c>
      <c r="F344">
        <v>1</v>
      </c>
      <c r="K344" s="15"/>
      <c r="L344" s="15">
        <v>1</v>
      </c>
      <c r="M344" s="15"/>
      <c r="N344" s="15"/>
      <c r="O344" s="15"/>
      <c r="R344">
        <f t="shared" si="20"/>
        <v>0</v>
      </c>
      <c r="S344">
        <f t="shared" si="21"/>
        <v>1</v>
      </c>
      <c r="T344">
        <f t="shared" si="22"/>
        <v>0</v>
      </c>
      <c r="U344">
        <f t="shared" si="23"/>
        <v>0</v>
      </c>
    </row>
    <row r="345" spans="1:21" ht="34" x14ac:dyDescent="0.2">
      <c r="A345">
        <v>344</v>
      </c>
      <c r="B345">
        <v>81</v>
      </c>
      <c r="C345" s="1" t="s">
        <v>1681</v>
      </c>
      <c r="D345" t="s">
        <v>117</v>
      </c>
      <c r="E345">
        <v>1</v>
      </c>
      <c r="G345">
        <v>1</v>
      </c>
      <c r="K345" s="15">
        <v>1</v>
      </c>
      <c r="L345" s="15"/>
      <c r="M345" s="15">
        <v>1</v>
      </c>
      <c r="N345" s="15"/>
      <c r="O345" s="15"/>
      <c r="R345">
        <f t="shared" si="20"/>
        <v>1</v>
      </c>
      <c r="S345">
        <f t="shared" si="21"/>
        <v>0</v>
      </c>
      <c r="T345">
        <f t="shared" si="22"/>
        <v>1</v>
      </c>
      <c r="U345">
        <f t="shared" si="23"/>
        <v>0</v>
      </c>
    </row>
    <row r="346" spans="1:21" ht="34" x14ac:dyDescent="0.2">
      <c r="A346">
        <v>345</v>
      </c>
      <c r="B346">
        <v>5</v>
      </c>
      <c r="C346" s="1" t="s">
        <v>1690</v>
      </c>
      <c r="D346" t="s">
        <v>123</v>
      </c>
      <c r="K346" s="15"/>
      <c r="L346" s="15"/>
      <c r="M346" s="15"/>
      <c r="N346" s="15"/>
      <c r="O346" s="15"/>
      <c r="R346">
        <f t="shared" si="20"/>
        <v>0</v>
      </c>
      <c r="S346">
        <f t="shared" si="21"/>
        <v>0</v>
      </c>
      <c r="T346">
        <f t="shared" si="22"/>
        <v>0</v>
      </c>
      <c r="U346">
        <f t="shared" si="23"/>
        <v>0</v>
      </c>
    </row>
    <row r="347" spans="1:21" ht="51" x14ac:dyDescent="0.2">
      <c r="A347">
        <v>346</v>
      </c>
      <c r="B347">
        <v>95</v>
      </c>
      <c r="C347" s="1" t="s">
        <v>1695</v>
      </c>
      <c r="D347" t="s">
        <v>135</v>
      </c>
      <c r="E347">
        <v>1</v>
      </c>
      <c r="K347" s="15">
        <v>1</v>
      </c>
      <c r="L347" s="15"/>
      <c r="M347" s="15"/>
      <c r="N347" s="15"/>
      <c r="O347" s="15"/>
      <c r="R347">
        <f t="shared" si="20"/>
        <v>1</v>
      </c>
      <c r="S347">
        <f t="shared" si="21"/>
        <v>0</v>
      </c>
      <c r="T347">
        <f t="shared" si="22"/>
        <v>0</v>
      </c>
      <c r="U347">
        <f t="shared" si="23"/>
        <v>0</v>
      </c>
    </row>
    <row r="348" spans="1:21" ht="85" x14ac:dyDescent="0.2">
      <c r="A348">
        <v>347</v>
      </c>
      <c r="B348">
        <v>10</v>
      </c>
      <c r="C348" s="1" t="s">
        <v>1699</v>
      </c>
      <c r="D348" t="s">
        <v>123</v>
      </c>
      <c r="F348">
        <v>1</v>
      </c>
      <c r="G348">
        <v>1</v>
      </c>
      <c r="K348" s="15"/>
      <c r="L348" s="15">
        <v>1</v>
      </c>
      <c r="M348" s="15">
        <v>1</v>
      </c>
      <c r="N348" s="15"/>
      <c r="O348" s="15"/>
      <c r="R348">
        <f t="shared" si="20"/>
        <v>0</v>
      </c>
      <c r="S348">
        <f t="shared" si="21"/>
        <v>1</v>
      </c>
      <c r="T348">
        <f t="shared" si="22"/>
        <v>1</v>
      </c>
      <c r="U348">
        <f t="shared" si="23"/>
        <v>0</v>
      </c>
    </row>
    <row r="349" spans="1:21" ht="85" x14ac:dyDescent="0.2">
      <c r="A349">
        <v>348</v>
      </c>
      <c r="B349">
        <v>100</v>
      </c>
      <c r="C349" s="1" t="s">
        <v>1704</v>
      </c>
      <c r="D349" t="s">
        <v>128</v>
      </c>
      <c r="E349">
        <v>1</v>
      </c>
      <c r="K349" s="15">
        <v>1</v>
      </c>
      <c r="L349" s="15"/>
      <c r="M349" s="15"/>
      <c r="N349" s="15"/>
      <c r="O349" s="15"/>
      <c r="R349">
        <f t="shared" si="20"/>
        <v>1</v>
      </c>
      <c r="S349">
        <f t="shared" si="21"/>
        <v>0</v>
      </c>
      <c r="T349">
        <f t="shared" si="22"/>
        <v>0</v>
      </c>
      <c r="U349">
        <f t="shared" si="23"/>
        <v>0</v>
      </c>
    </row>
    <row r="350" spans="1:21" ht="17" x14ac:dyDescent="0.2">
      <c r="A350">
        <v>349</v>
      </c>
      <c r="B350">
        <v>0</v>
      </c>
      <c r="C350" s="1" t="s">
        <v>1710</v>
      </c>
      <c r="D350" t="s">
        <v>123</v>
      </c>
      <c r="F350">
        <v>1</v>
      </c>
      <c r="G350">
        <v>1</v>
      </c>
      <c r="K350" s="15"/>
      <c r="L350" s="15">
        <v>1</v>
      </c>
      <c r="M350" s="15">
        <v>1</v>
      </c>
      <c r="N350" s="15"/>
      <c r="O350" s="15"/>
      <c r="R350">
        <f t="shared" si="20"/>
        <v>0</v>
      </c>
      <c r="S350">
        <f t="shared" si="21"/>
        <v>1</v>
      </c>
      <c r="T350">
        <f t="shared" si="22"/>
        <v>1</v>
      </c>
      <c r="U350">
        <f t="shared" si="23"/>
        <v>0</v>
      </c>
    </row>
    <row r="351" spans="1:21" ht="68" x14ac:dyDescent="0.2">
      <c r="A351">
        <v>350</v>
      </c>
      <c r="B351">
        <v>8</v>
      </c>
      <c r="C351" s="1" t="s">
        <v>1714</v>
      </c>
      <c r="D351" t="s">
        <v>135</v>
      </c>
      <c r="I351">
        <v>1</v>
      </c>
      <c r="K351" s="15"/>
      <c r="L351" s="15"/>
      <c r="M351" s="15"/>
      <c r="N351" s="15"/>
      <c r="O351" s="15">
        <v>1</v>
      </c>
      <c r="R351">
        <f t="shared" si="20"/>
        <v>0</v>
      </c>
      <c r="S351">
        <f t="shared" si="21"/>
        <v>0</v>
      </c>
      <c r="T351">
        <f t="shared" si="22"/>
        <v>0</v>
      </c>
      <c r="U351">
        <f t="shared" si="23"/>
        <v>0</v>
      </c>
    </row>
    <row r="352" spans="1:21" ht="17" x14ac:dyDescent="0.2">
      <c r="A352">
        <v>351</v>
      </c>
      <c r="B352">
        <v>20</v>
      </c>
      <c r="C352" s="1" t="s">
        <v>1718</v>
      </c>
      <c r="D352" t="s">
        <v>123</v>
      </c>
      <c r="F352">
        <v>1</v>
      </c>
      <c r="K352" s="15"/>
      <c r="L352" s="15">
        <v>1</v>
      </c>
      <c r="M352" s="15"/>
      <c r="N352" s="15"/>
      <c r="O352" s="15"/>
      <c r="R352">
        <f t="shared" si="20"/>
        <v>0</v>
      </c>
      <c r="S352">
        <f t="shared" si="21"/>
        <v>1</v>
      </c>
      <c r="T352">
        <f t="shared" si="22"/>
        <v>0</v>
      </c>
      <c r="U352">
        <f t="shared" si="23"/>
        <v>0</v>
      </c>
    </row>
    <row r="353" spans="1:21" ht="68" x14ac:dyDescent="0.2">
      <c r="A353">
        <v>352</v>
      </c>
      <c r="B353">
        <v>75</v>
      </c>
      <c r="C353" s="1" t="s">
        <v>1722</v>
      </c>
      <c r="D353" t="s">
        <v>117</v>
      </c>
      <c r="E353">
        <v>1</v>
      </c>
      <c r="K353" s="15">
        <v>1</v>
      </c>
      <c r="L353" s="15"/>
      <c r="M353" s="15"/>
      <c r="N353" s="15"/>
      <c r="O353" s="15"/>
      <c r="R353">
        <f t="shared" si="20"/>
        <v>1</v>
      </c>
      <c r="S353">
        <f t="shared" si="21"/>
        <v>0</v>
      </c>
      <c r="T353">
        <f t="shared" si="22"/>
        <v>0</v>
      </c>
      <c r="U353">
        <f t="shared" si="23"/>
        <v>0</v>
      </c>
    </row>
    <row r="354" spans="1:21" ht="17" x14ac:dyDescent="0.2">
      <c r="A354">
        <v>353</v>
      </c>
      <c r="B354">
        <v>72</v>
      </c>
      <c r="C354" s="1" t="s">
        <v>1726</v>
      </c>
      <c r="D354" t="s">
        <v>128</v>
      </c>
      <c r="K354" s="15">
        <v>1</v>
      </c>
      <c r="L354" s="15"/>
      <c r="M354" s="15"/>
      <c r="N354" s="15"/>
      <c r="O354" s="15"/>
      <c r="R354" t="str">
        <f t="shared" si="20"/>
        <v>Disagree</v>
      </c>
      <c r="S354">
        <f t="shared" si="21"/>
        <v>0</v>
      </c>
      <c r="T354">
        <f t="shared" si="22"/>
        <v>0</v>
      </c>
      <c r="U354">
        <f t="shared" si="23"/>
        <v>0</v>
      </c>
    </row>
    <row r="355" spans="1:21" ht="34" x14ac:dyDescent="0.2">
      <c r="A355">
        <v>354</v>
      </c>
      <c r="B355">
        <v>31</v>
      </c>
      <c r="C355" s="1" t="s">
        <v>1731</v>
      </c>
      <c r="D355" t="s">
        <v>128</v>
      </c>
      <c r="G355">
        <v>1</v>
      </c>
      <c r="K355" s="15">
        <v>1</v>
      </c>
      <c r="L355" s="15"/>
      <c r="M355" s="15"/>
      <c r="N355" s="15"/>
      <c r="O355" s="15"/>
      <c r="R355" t="str">
        <f t="shared" si="20"/>
        <v>Disagree</v>
      </c>
      <c r="S355">
        <f t="shared" si="21"/>
        <v>0</v>
      </c>
      <c r="T355" t="str">
        <f t="shared" si="22"/>
        <v>Disagree</v>
      </c>
      <c r="U355">
        <f t="shared" si="23"/>
        <v>0</v>
      </c>
    </row>
    <row r="356" spans="1:21" ht="51" x14ac:dyDescent="0.2">
      <c r="A356">
        <v>355</v>
      </c>
      <c r="B356">
        <v>35</v>
      </c>
      <c r="C356" s="1" t="s">
        <v>1738</v>
      </c>
      <c r="D356" t="s">
        <v>123</v>
      </c>
      <c r="G356">
        <v>1</v>
      </c>
      <c r="I356">
        <v>1</v>
      </c>
      <c r="K356" s="15"/>
      <c r="L356" s="15">
        <v>1</v>
      </c>
      <c r="M356" s="15">
        <v>1</v>
      </c>
      <c r="N356" s="15"/>
      <c r="O356" s="15"/>
      <c r="R356">
        <f t="shared" si="20"/>
        <v>0</v>
      </c>
      <c r="S356" t="str">
        <f t="shared" si="21"/>
        <v>Disagree</v>
      </c>
      <c r="T356">
        <f t="shared" si="22"/>
        <v>1</v>
      </c>
      <c r="U356">
        <f t="shared" si="23"/>
        <v>0</v>
      </c>
    </row>
    <row r="357" spans="1:21" ht="17" x14ac:dyDescent="0.2">
      <c r="A357">
        <v>356</v>
      </c>
      <c r="B357">
        <v>51</v>
      </c>
      <c r="C357" s="1" t="s">
        <v>1746</v>
      </c>
      <c r="D357" t="s">
        <v>128</v>
      </c>
      <c r="G357">
        <v>1</v>
      </c>
      <c r="K357" s="15"/>
      <c r="L357" s="15"/>
      <c r="M357" s="15">
        <v>1</v>
      </c>
      <c r="N357" s="15"/>
      <c r="O357" s="15"/>
      <c r="R357">
        <f t="shared" si="20"/>
        <v>0</v>
      </c>
      <c r="S357">
        <f t="shared" si="21"/>
        <v>0</v>
      </c>
      <c r="T357">
        <f t="shared" si="22"/>
        <v>1</v>
      </c>
      <c r="U357">
        <f t="shared" si="23"/>
        <v>0</v>
      </c>
    </row>
    <row r="358" spans="1:21" ht="51" x14ac:dyDescent="0.2">
      <c r="A358">
        <v>357</v>
      </c>
      <c r="B358">
        <v>60</v>
      </c>
      <c r="C358" s="1" t="s">
        <v>1751</v>
      </c>
      <c r="D358" t="s">
        <v>128</v>
      </c>
      <c r="E358">
        <v>1</v>
      </c>
      <c r="K358" s="15">
        <v>1</v>
      </c>
      <c r="L358" s="15"/>
      <c r="M358" s="15"/>
      <c r="N358" s="15"/>
      <c r="O358" s="15"/>
      <c r="R358">
        <f t="shared" si="20"/>
        <v>1</v>
      </c>
      <c r="S358">
        <f t="shared" si="21"/>
        <v>0</v>
      </c>
      <c r="T358">
        <f t="shared" si="22"/>
        <v>0</v>
      </c>
      <c r="U358">
        <f t="shared" si="23"/>
        <v>0</v>
      </c>
    </row>
    <row r="359" spans="1:21" ht="34" x14ac:dyDescent="0.2">
      <c r="A359">
        <v>358</v>
      </c>
      <c r="B359">
        <v>8</v>
      </c>
      <c r="C359" s="1" t="s">
        <v>1755</v>
      </c>
      <c r="D359" t="s">
        <v>135</v>
      </c>
      <c r="F359">
        <v>1</v>
      </c>
      <c r="K359" s="15"/>
      <c r="L359" s="15">
        <v>1</v>
      </c>
      <c r="M359" s="15"/>
      <c r="N359" s="15"/>
      <c r="O359" s="15"/>
      <c r="R359">
        <f t="shared" si="20"/>
        <v>0</v>
      </c>
      <c r="S359">
        <f t="shared" si="21"/>
        <v>1</v>
      </c>
      <c r="T359">
        <f t="shared" si="22"/>
        <v>0</v>
      </c>
      <c r="U359">
        <f t="shared" si="23"/>
        <v>0</v>
      </c>
    </row>
    <row r="360" spans="1:21" ht="51" x14ac:dyDescent="0.2">
      <c r="A360">
        <v>359</v>
      </c>
      <c r="B360">
        <v>0</v>
      </c>
      <c r="C360" s="1" t="s">
        <v>1760</v>
      </c>
      <c r="D360" t="s">
        <v>117</v>
      </c>
      <c r="G360">
        <v>1</v>
      </c>
      <c r="K360" s="15"/>
      <c r="L360" s="15"/>
      <c r="M360" s="15">
        <v>1</v>
      </c>
      <c r="N360" s="15"/>
      <c r="O360" s="15"/>
      <c r="R360">
        <f t="shared" si="20"/>
        <v>0</v>
      </c>
      <c r="S360">
        <f t="shared" si="21"/>
        <v>0</v>
      </c>
      <c r="T360">
        <f t="shared" si="22"/>
        <v>1</v>
      </c>
      <c r="U360">
        <f t="shared" si="23"/>
        <v>0</v>
      </c>
    </row>
    <row r="361" spans="1:21" ht="85" x14ac:dyDescent="0.2">
      <c r="A361">
        <v>360</v>
      </c>
      <c r="B361">
        <v>0</v>
      </c>
      <c r="C361" s="1" t="s">
        <v>1766</v>
      </c>
      <c r="D361" t="s">
        <v>123</v>
      </c>
      <c r="F361">
        <v>1</v>
      </c>
      <c r="K361" s="15"/>
      <c r="L361" s="15">
        <v>1</v>
      </c>
      <c r="M361" s="15"/>
      <c r="N361" s="15"/>
      <c r="O361" s="15"/>
      <c r="R361">
        <f t="shared" si="20"/>
        <v>0</v>
      </c>
      <c r="S361">
        <f t="shared" si="21"/>
        <v>1</v>
      </c>
      <c r="T361">
        <f t="shared" si="22"/>
        <v>0</v>
      </c>
      <c r="U361">
        <f t="shared" si="23"/>
        <v>0</v>
      </c>
    </row>
    <row r="362" spans="1:21" ht="68" x14ac:dyDescent="0.2">
      <c r="A362">
        <v>361</v>
      </c>
      <c r="B362">
        <v>30</v>
      </c>
      <c r="C362" s="1" t="s">
        <v>1772</v>
      </c>
      <c r="D362" t="s">
        <v>135</v>
      </c>
      <c r="F362">
        <v>1</v>
      </c>
      <c r="G362">
        <v>1</v>
      </c>
      <c r="K362" s="15"/>
      <c r="L362" s="15">
        <v>1</v>
      </c>
      <c r="M362" s="15">
        <v>1</v>
      </c>
      <c r="N362" s="15"/>
      <c r="O362" s="15"/>
      <c r="R362">
        <f t="shared" si="20"/>
        <v>0</v>
      </c>
      <c r="S362">
        <f t="shared" si="21"/>
        <v>1</v>
      </c>
      <c r="T362">
        <f t="shared" si="22"/>
        <v>1</v>
      </c>
      <c r="U362">
        <f t="shared" si="23"/>
        <v>0</v>
      </c>
    </row>
    <row r="363" spans="1:21" ht="51" x14ac:dyDescent="0.2">
      <c r="A363">
        <v>362</v>
      </c>
      <c r="B363">
        <v>30</v>
      </c>
      <c r="C363" s="1" t="s">
        <v>1776</v>
      </c>
      <c r="D363" t="s">
        <v>117</v>
      </c>
      <c r="G363">
        <v>1</v>
      </c>
      <c r="K363" s="15"/>
      <c r="L363" s="15"/>
      <c r="M363" s="15">
        <v>1</v>
      </c>
      <c r="N363" s="15"/>
      <c r="O363" s="15"/>
      <c r="R363">
        <f t="shared" si="20"/>
        <v>0</v>
      </c>
      <c r="S363">
        <f t="shared" si="21"/>
        <v>0</v>
      </c>
      <c r="T363">
        <f t="shared" si="22"/>
        <v>1</v>
      </c>
      <c r="U363">
        <f t="shared" si="23"/>
        <v>0</v>
      </c>
    </row>
    <row r="364" spans="1:21" ht="34" x14ac:dyDescent="0.2">
      <c r="A364">
        <v>363</v>
      </c>
      <c r="B364">
        <v>100</v>
      </c>
      <c r="C364" s="1" t="s">
        <v>1781</v>
      </c>
      <c r="D364" t="s">
        <v>117</v>
      </c>
      <c r="E364">
        <v>1</v>
      </c>
      <c r="K364" s="15">
        <v>1</v>
      </c>
      <c r="L364" s="15"/>
      <c r="M364" s="15"/>
      <c r="N364" s="15"/>
      <c r="O364" s="15"/>
      <c r="R364">
        <f t="shared" si="20"/>
        <v>1</v>
      </c>
      <c r="S364">
        <f t="shared" si="21"/>
        <v>0</v>
      </c>
      <c r="T364">
        <f t="shared" si="22"/>
        <v>0</v>
      </c>
      <c r="U364">
        <f t="shared" si="23"/>
        <v>0</v>
      </c>
    </row>
    <row r="365" spans="1:21" ht="34" x14ac:dyDescent="0.2">
      <c r="A365">
        <v>364</v>
      </c>
      <c r="B365">
        <v>30</v>
      </c>
      <c r="C365" s="1" t="s">
        <v>1786</v>
      </c>
      <c r="D365" t="s">
        <v>123</v>
      </c>
      <c r="E365">
        <v>1</v>
      </c>
      <c r="K365" s="15">
        <v>1</v>
      </c>
      <c r="L365" s="15"/>
      <c r="M365" s="15"/>
      <c r="N365" s="15"/>
      <c r="O365" s="15"/>
      <c r="R365">
        <f t="shared" si="20"/>
        <v>1</v>
      </c>
      <c r="S365">
        <f t="shared" si="21"/>
        <v>0</v>
      </c>
      <c r="T365">
        <f t="shared" si="22"/>
        <v>0</v>
      </c>
      <c r="U365">
        <f t="shared" si="23"/>
        <v>0</v>
      </c>
    </row>
    <row r="366" spans="1:21" ht="17" x14ac:dyDescent="0.2">
      <c r="A366">
        <v>365</v>
      </c>
      <c r="B366">
        <v>42</v>
      </c>
      <c r="C366" s="1" t="s">
        <v>1790</v>
      </c>
      <c r="D366" t="s">
        <v>123</v>
      </c>
      <c r="K366" s="15"/>
      <c r="L366" s="15"/>
      <c r="M366" s="15"/>
      <c r="N366" s="15"/>
      <c r="O366" s="15"/>
      <c r="R366">
        <f t="shared" si="20"/>
        <v>0</v>
      </c>
      <c r="S366">
        <f t="shared" si="21"/>
        <v>0</v>
      </c>
      <c r="T366">
        <f t="shared" si="22"/>
        <v>0</v>
      </c>
      <c r="U366">
        <f t="shared" si="23"/>
        <v>0</v>
      </c>
    </row>
    <row r="367" spans="1:21" ht="17" x14ac:dyDescent="0.2">
      <c r="A367">
        <v>366</v>
      </c>
      <c r="B367">
        <v>58</v>
      </c>
      <c r="C367" s="1" t="s">
        <v>1795</v>
      </c>
      <c r="D367" t="s">
        <v>117</v>
      </c>
      <c r="E367">
        <v>1</v>
      </c>
      <c r="K367" s="15">
        <v>1</v>
      </c>
      <c r="L367" s="15"/>
      <c r="M367" s="15"/>
      <c r="N367" s="15"/>
      <c r="O367" s="15"/>
      <c r="R367">
        <f t="shared" si="20"/>
        <v>1</v>
      </c>
      <c r="S367">
        <f t="shared" si="21"/>
        <v>0</v>
      </c>
      <c r="T367">
        <f t="shared" si="22"/>
        <v>0</v>
      </c>
      <c r="U367">
        <f t="shared" si="23"/>
        <v>0</v>
      </c>
    </row>
    <row r="368" spans="1:21" ht="51" x14ac:dyDescent="0.2">
      <c r="A368">
        <v>367</v>
      </c>
      <c r="B368">
        <v>99</v>
      </c>
      <c r="C368" s="1" t="s">
        <v>1799</v>
      </c>
      <c r="D368" t="s">
        <v>135</v>
      </c>
      <c r="E368">
        <v>1</v>
      </c>
      <c r="K368" s="15">
        <v>1</v>
      </c>
      <c r="L368" s="15"/>
      <c r="M368" s="15"/>
      <c r="N368" s="15"/>
      <c r="O368" s="15"/>
      <c r="R368">
        <f t="shared" si="20"/>
        <v>1</v>
      </c>
      <c r="S368">
        <f t="shared" si="21"/>
        <v>0</v>
      </c>
      <c r="T368">
        <f t="shared" si="22"/>
        <v>0</v>
      </c>
      <c r="U368">
        <f t="shared" si="23"/>
        <v>0</v>
      </c>
    </row>
    <row r="369" spans="1:21" ht="34" x14ac:dyDescent="0.2">
      <c r="A369">
        <v>368</v>
      </c>
      <c r="B369">
        <v>80</v>
      </c>
      <c r="C369" s="1" t="s">
        <v>1803</v>
      </c>
      <c r="D369" t="s">
        <v>128</v>
      </c>
      <c r="E369">
        <v>1</v>
      </c>
      <c r="I369">
        <v>1</v>
      </c>
      <c r="K369" s="15">
        <v>1</v>
      </c>
      <c r="L369" s="15"/>
      <c r="M369" s="15"/>
      <c r="N369" s="15"/>
      <c r="O369" s="15">
        <v>1</v>
      </c>
      <c r="R369">
        <f t="shared" si="20"/>
        <v>1</v>
      </c>
      <c r="S369">
        <f t="shared" si="21"/>
        <v>0</v>
      </c>
      <c r="T369">
        <f t="shared" si="22"/>
        <v>0</v>
      </c>
      <c r="U369">
        <f t="shared" si="23"/>
        <v>0</v>
      </c>
    </row>
    <row r="370" spans="1:21" ht="17" x14ac:dyDescent="0.2">
      <c r="A370">
        <v>369</v>
      </c>
      <c r="B370">
        <v>86</v>
      </c>
      <c r="C370" s="1" t="s">
        <v>1808</v>
      </c>
      <c r="D370" t="s">
        <v>128</v>
      </c>
      <c r="K370" s="15"/>
      <c r="L370" s="15"/>
      <c r="M370" s="15"/>
      <c r="N370" s="15"/>
      <c r="O370" s="15"/>
      <c r="R370">
        <f t="shared" si="20"/>
        <v>0</v>
      </c>
      <c r="S370">
        <f t="shared" si="21"/>
        <v>0</v>
      </c>
      <c r="T370">
        <f t="shared" si="22"/>
        <v>0</v>
      </c>
      <c r="U370">
        <f t="shared" si="23"/>
        <v>0</v>
      </c>
    </row>
    <row r="371" spans="1:21" ht="51" x14ac:dyDescent="0.2">
      <c r="A371">
        <v>370</v>
      </c>
      <c r="B371">
        <v>88</v>
      </c>
      <c r="C371" s="1" t="s">
        <v>1813</v>
      </c>
      <c r="D371" t="s">
        <v>128</v>
      </c>
      <c r="E371">
        <v>1</v>
      </c>
      <c r="K371" s="15">
        <v>1</v>
      </c>
      <c r="L371" s="15"/>
      <c r="M371" s="15"/>
      <c r="N371" s="15"/>
      <c r="O371" s="15"/>
      <c r="R371">
        <f t="shared" si="20"/>
        <v>1</v>
      </c>
      <c r="S371">
        <f t="shared" si="21"/>
        <v>0</v>
      </c>
      <c r="T371">
        <f t="shared" si="22"/>
        <v>0</v>
      </c>
      <c r="U371">
        <f t="shared" si="23"/>
        <v>0</v>
      </c>
    </row>
    <row r="372" spans="1:21" ht="85" x14ac:dyDescent="0.2">
      <c r="A372">
        <v>371</v>
      </c>
      <c r="B372">
        <v>2</v>
      </c>
      <c r="C372" s="1" t="s">
        <v>1817</v>
      </c>
      <c r="D372" t="s">
        <v>123</v>
      </c>
      <c r="F372">
        <v>1</v>
      </c>
      <c r="G372">
        <v>1</v>
      </c>
      <c r="K372" s="15"/>
      <c r="L372" s="15">
        <v>1</v>
      </c>
      <c r="M372" s="15">
        <v>1</v>
      </c>
      <c r="N372" s="15"/>
      <c r="O372" s="15"/>
      <c r="R372">
        <f t="shared" si="20"/>
        <v>0</v>
      </c>
      <c r="S372">
        <f t="shared" si="21"/>
        <v>1</v>
      </c>
      <c r="T372">
        <f t="shared" si="22"/>
        <v>1</v>
      </c>
      <c r="U372">
        <f t="shared" si="23"/>
        <v>0</v>
      </c>
    </row>
    <row r="373" spans="1:21" ht="51" x14ac:dyDescent="0.2">
      <c r="A373">
        <v>372</v>
      </c>
      <c r="B373">
        <v>51</v>
      </c>
      <c r="C373" s="1" t="s">
        <v>1822</v>
      </c>
      <c r="D373" t="s">
        <v>117</v>
      </c>
      <c r="G373">
        <v>1</v>
      </c>
      <c r="K373" s="15">
        <v>1</v>
      </c>
      <c r="L373" s="15"/>
      <c r="M373" s="15">
        <v>1</v>
      </c>
      <c r="N373" s="15"/>
      <c r="O373" s="15"/>
      <c r="R373" t="str">
        <f t="shared" si="20"/>
        <v>Disagree</v>
      </c>
      <c r="S373">
        <f t="shared" si="21"/>
        <v>0</v>
      </c>
      <c r="T373">
        <f t="shared" si="22"/>
        <v>1</v>
      </c>
      <c r="U373">
        <f t="shared" si="23"/>
        <v>0</v>
      </c>
    </row>
    <row r="374" spans="1:21" ht="17" x14ac:dyDescent="0.2">
      <c r="A374">
        <v>373</v>
      </c>
      <c r="B374">
        <v>37</v>
      </c>
      <c r="C374" s="1" t="s">
        <v>1827</v>
      </c>
      <c r="D374" t="s">
        <v>135</v>
      </c>
      <c r="F374">
        <v>1</v>
      </c>
      <c r="G374">
        <v>1</v>
      </c>
      <c r="K374" s="15"/>
      <c r="L374" s="15">
        <v>1</v>
      </c>
      <c r="M374" s="15">
        <v>1</v>
      </c>
      <c r="N374" s="15"/>
      <c r="O374" s="15"/>
      <c r="R374">
        <f t="shared" si="20"/>
        <v>0</v>
      </c>
      <c r="S374">
        <f t="shared" si="21"/>
        <v>1</v>
      </c>
      <c r="T374">
        <f t="shared" si="22"/>
        <v>1</v>
      </c>
      <c r="U374">
        <f t="shared" si="23"/>
        <v>0</v>
      </c>
    </row>
    <row r="375" spans="1:21" ht="68" x14ac:dyDescent="0.2">
      <c r="A375">
        <v>374</v>
      </c>
      <c r="B375">
        <v>0</v>
      </c>
      <c r="C375" s="1" t="s">
        <v>1831</v>
      </c>
      <c r="D375" t="s">
        <v>135</v>
      </c>
      <c r="F375">
        <v>1</v>
      </c>
      <c r="K375" s="15"/>
      <c r="L375" s="15">
        <v>1</v>
      </c>
      <c r="M375" s="15"/>
      <c r="N375" s="15"/>
      <c r="O375" s="15"/>
      <c r="R375">
        <f t="shared" si="20"/>
        <v>0</v>
      </c>
      <c r="S375">
        <f t="shared" si="21"/>
        <v>1</v>
      </c>
      <c r="T375">
        <f t="shared" si="22"/>
        <v>0</v>
      </c>
      <c r="U375">
        <f t="shared" si="23"/>
        <v>0</v>
      </c>
    </row>
    <row r="376" spans="1:21" ht="34" x14ac:dyDescent="0.2">
      <c r="A376">
        <v>375</v>
      </c>
      <c r="B376">
        <v>97</v>
      </c>
      <c r="C376" s="1" t="s">
        <v>1835</v>
      </c>
      <c r="D376" t="s">
        <v>128</v>
      </c>
      <c r="E376">
        <v>1</v>
      </c>
      <c r="K376" s="15">
        <v>1</v>
      </c>
      <c r="L376" s="15"/>
      <c r="M376" s="15"/>
      <c r="N376" s="15"/>
      <c r="O376" s="15"/>
      <c r="R376">
        <f t="shared" si="20"/>
        <v>1</v>
      </c>
      <c r="S376">
        <f t="shared" si="21"/>
        <v>0</v>
      </c>
      <c r="T376">
        <f t="shared" si="22"/>
        <v>0</v>
      </c>
      <c r="U376">
        <f t="shared" si="23"/>
        <v>0</v>
      </c>
    </row>
    <row r="377" spans="1:21" ht="51" x14ac:dyDescent="0.2">
      <c r="A377">
        <v>376</v>
      </c>
      <c r="B377">
        <v>53</v>
      </c>
      <c r="C377" s="1" t="s">
        <v>1840</v>
      </c>
      <c r="D377" t="s">
        <v>117</v>
      </c>
      <c r="E377">
        <v>1</v>
      </c>
      <c r="G377">
        <v>1</v>
      </c>
      <c r="K377" s="15">
        <v>1</v>
      </c>
      <c r="L377" s="15"/>
      <c r="M377" s="15">
        <v>1</v>
      </c>
      <c r="N377" s="15"/>
      <c r="O377" s="15"/>
      <c r="R377">
        <f t="shared" si="20"/>
        <v>1</v>
      </c>
      <c r="S377">
        <f t="shared" si="21"/>
        <v>0</v>
      </c>
      <c r="T377">
        <f t="shared" si="22"/>
        <v>1</v>
      </c>
      <c r="U377">
        <f t="shared" si="23"/>
        <v>0</v>
      </c>
    </row>
    <row r="378" spans="1:21" ht="34" x14ac:dyDescent="0.2">
      <c r="A378">
        <v>377</v>
      </c>
      <c r="B378">
        <v>70</v>
      </c>
      <c r="C378" s="1" t="s">
        <v>1845</v>
      </c>
      <c r="D378" t="s">
        <v>117</v>
      </c>
      <c r="E378">
        <v>1</v>
      </c>
      <c r="K378" s="15">
        <v>1</v>
      </c>
      <c r="L378" s="15"/>
      <c r="M378" s="15"/>
      <c r="N378" s="15"/>
      <c r="O378" s="15"/>
      <c r="R378">
        <f t="shared" si="20"/>
        <v>1</v>
      </c>
      <c r="S378">
        <f t="shared" si="21"/>
        <v>0</v>
      </c>
      <c r="T378">
        <f t="shared" si="22"/>
        <v>0</v>
      </c>
      <c r="U378">
        <f t="shared" si="23"/>
        <v>0</v>
      </c>
    </row>
    <row r="379" spans="1:21" ht="17" x14ac:dyDescent="0.2">
      <c r="A379">
        <v>378</v>
      </c>
      <c r="B379">
        <v>37</v>
      </c>
      <c r="C379" s="1" t="s">
        <v>1849</v>
      </c>
      <c r="D379" t="s">
        <v>123</v>
      </c>
      <c r="F379">
        <v>1</v>
      </c>
      <c r="K379" s="15"/>
      <c r="L379" s="15">
        <v>1</v>
      </c>
      <c r="M379" s="15"/>
      <c r="N379" s="15"/>
      <c r="O379" s="15"/>
      <c r="R379">
        <f t="shared" si="20"/>
        <v>0</v>
      </c>
      <c r="S379">
        <f t="shared" si="21"/>
        <v>1</v>
      </c>
      <c r="T379">
        <f t="shared" si="22"/>
        <v>0</v>
      </c>
      <c r="U379">
        <f t="shared" si="23"/>
        <v>0</v>
      </c>
    </row>
    <row r="380" spans="1:21" ht="34" x14ac:dyDescent="0.2">
      <c r="A380">
        <v>379</v>
      </c>
      <c r="B380">
        <v>69</v>
      </c>
      <c r="C380" s="1" t="s">
        <v>1853</v>
      </c>
      <c r="D380" t="s">
        <v>135</v>
      </c>
      <c r="E380">
        <v>1</v>
      </c>
      <c r="G380">
        <v>1</v>
      </c>
      <c r="K380" s="15">
        <v>1</v>
      </c>
      <c r="L380" s="15"/>
      <c r="M380" s="15"/>
      <c r="N380" s="15"/>
      <c r="O380" s="15"/>
      <c r="R380">
        <f t="shared" si="20"/>
        <v>1</v>
      </c>
      <c r="S380">
        <f t="shared" si="21"/>
        <v>0</v>
      </c>
      <c r="T380" t="str">
        <f t="shared" si="22"/>
        <v>Disagree</v>
      </c>
      <c r="U380">
        <f t="shared" si="23"/>
        <v>0</v>
      </c>
    </row>
    <row r="381" spans="1:21" ht="34" x14ac:dyDescent="0.2">
      <c r="A381">
        <v>380</v>
      </c>
      <c r="B381">
        <v>35</v>
      </c>
      <c r="C381" s="1" t="s">
        <v>1858</v>
      </c>
      <c r="D381" t="s">
        <v>117</v>
      </c>
      <c r="K381" s="15">
        <v>1</v>
      </c>
      <c r="L381" s="15"/>
      <c r="M381" s="15"/>
      <c r="N381" s="15"/>
      <c r="O381" s="15"/>
      <c r="R381" t="str">
        <f t="shared" si="20"/>
        <v>Disagree</v>
      </c>
      <c r="S381">
        <f t="shared" si="21"/>
        <v>0</v>
      </c>
      <c r="T381">
        <f t="shared" si="22"/>
        <v>0</v>
      </c>
      <c r="U381">
        <f t="shared" si="23"/>
        <v>0</v>
      </c>
    </row>
    <row r="382" spans="1:21" ht="102" x14ac:dyDescent="0.2">
      <c r="A382">
        <v>381</v>
      </c>
      <c r="B382">
        <v>40</v>
      </c>
      <c r="C382" s="1" t="s">
        <v>1862</v>
      </c>
      <c r="D382" t="s">
        <v>135</v>
      </c>
      <c r="G382">
        <v>1</v>
      </c>
      <c r="I382">
        <v>1</v>
      </c>
      <c r="K382" s="15"/>
      <c r="L382" s="15"/>
      <c r="M382" s="15">
        <v>1</v>
      </c>
      <c r="N382" s="15"/>
      <c r="O382" s="15">
        <v>1</v>
      </c>
      <c r="R382">
        <f t="shared" si="20"/>
        <v>0</v>
      </c>
      <c r="S382">
        <f t="shared" si="21"/>
        <v>0</v>
      </c>
      <c r="T382">
        <f t="shared" si="22"/>
        <v>1</v>
      </c>
      <c r="U382">
        <f t="shared" si="23"/>
        <v>0</v>
      </c>
    </row>
    <row r="383" spans="1:21" ht="51" x14ac:dyDescent="0.2">
      <c r="A383">
        <v>382</v>
      </c>
      <c r="B383">
        <v>31</v>
      </c>
      <c r="C383" s="1" t="s">
        <v>1867</v>
      </c>
      <c r="D383" t="s">
        <v>128</v>
      </c>
      <c r="F383">
        <v>1</v>
      </c>
      <c r="G383">
        <v>1</v>
      </c>
      <c r="K383" s="15"/>
      <c r="L383" s="15">
        <v>1</v>
      </c>
      <c r="M383" s="15">
        <v>1</v>
      </c>
      <c r="N383" s="15"/>
      <c r="O383" s="15"/>
      <c r="R383">
        <f t="shared" si="20"/>
        <v>0</v>
      </c>
      <c r="S383">
        <f t="shared" si="21"/>
        <v>1</v>
      </c>
      <c r="T383">
        <f t="shared" si="22"/>
        <v>1</v>
      </c>
      <c r="U383">
        <f t="shared" si="23"/>
        <v>0</v>
      </c>
    </row>
    <row r="384" spans="1:21" ht="51" x14ac:dyDescent="0.2">
      <c r="A384">
        <v>383</v>
      </c>
      <c r="B384">
        <v>20</v>
      </c>
      <c r="C384" s="1" t="s">
        <v>1872</v>
      </c>
      <c r="D384" t="s">
        <v>123</v>
      </c>
      <c r="F384">
        <v>1</v>
      </c>
      <c r="G384">
        <v>1</v>
      </c>
      <c r="K384" s="15"/>
      <c r="L384" s="15">
        <v>1</v>
      </c>
      <c r="M384" s="15">
        <v>1</v>
      </c>
      <c r="N384" s="15"/>
      <c r="O384" s="15"/>
      <c r="R384">
        <f t="shared" si="20"/>
        <v>0</v>
      </c>
      <c r="S384">
        <f t="shared" si="21"/>
        <v>1</v>
      </c>
      <c r="T384">
        <f t="shared" si="22"/>
        <v>1</v>
      </c>
      <c r="U384">
        <f t="shared" si="23"/>
        <v>0</v>
      </c>
    </row>
    <row r="385" spans="1:21" ht="51" x14ac:dyDescent="0.2">
      <c r="A385">
        <v>384</v>
      </c>
      <c r="B385">
        <v>15</v>
      </c>
      <c r="C385" s="1" t="s">
        <v>1876</v>
      </c>
      <c r="D385" t="s">
        <v>123</v>
      </c>
      <c r="F385">
        <v>1</v>
      </c>
      <c r="G385">
        <v>1</v>
      </c>
      <c r="K385" s="15"/>
      <c r="L385" s="15">
        <v>1</v>
      </c>
      <c r="M385" s="15">
        <v>1</v>
      </c>
      <c r="N385" s="15"/>
      <c r="O385" s="15"/>
      <c r="R385">
        <f t="shared" si="20"/>
        <v>0</v>
      </c>
      <c r="S385">
        <f t="shared" si="21"/>
        <v>1</v>
      </c>
      <c r="T385">
        <f t="shared" si="22"/>
        <v>1</v>
      </c>
      <c r="U385">
        <f t="shared" si="23"/>
        <v>0</v>
      </c>
    </row>
    <row r="386" spans="1:21" ht="51" x14ac:dyDescent="0.2">
      <c r="A386">
        <v>385</v>
      </c>
      <c r="B386">
        <v>10</v>
      </c>
      <c r="C386" s="1" t="s">
        <v>1881</v>
      </c>
      <c r="D386" t="s">
        <v>135</v>
      </c>
      <c r="F386">
        <v>1</v>
      </c>
      <c r="G386">
        <v>1</v>
      </c>
      <c r="K386" s="15"/>
      <c r="L386" s="15">
        <v>1</v>
      </c>
      <c r="M386" s="15">
        <v>1</v>
      </c>
      <c r="N386" s="15"/>
      <c r="O386" s="15"/>
      <c r="R386">
        <f t="shared" si="20"/>
        <v>0</v>
      </c>
      <c r="S386">
        <f t="shared" si="21"/>
        <v>1</v>
      </c>
      <c r="T386">
        <f t="shared" si="22"/>
        <v>1</v>
      </c>
      <c r="U386">
        <f t="shared" si="23"/>
        <v>0</v>
      </c>
    </row>
    <row r="387" spans="1:21" ht="17" x14ac:dyDescent="0.2">
      <c r="A387">
        <v>386</v>
      </c>
      <c r="B387">
        <v>67</v>
      </c>
      <c r="C387" s="1" t="s">
        <v>1885</v>
      </c>
      <c r="D387" t="s">
        <v>128</v>
      </c>
      <c r="K387" s="15">
        <v>1</v>
      </c>
      <c r="L387" s="15"/>
      <c r="M387" s="15"/>
      <c r="N387" s="15"/>
      <c r="O387" s="15"/>
      <c r="R387" t="str">
        <f t="shared" ref="R387:R401" si="24">IF(E387=K387,E387,"Disagree")</f>
        <v>Disagree</v>
      </c>
      <c r="S387">
        <f t="shared" ref="S387:S401" si="25">IF(F387=L387,F387,"Disagree")</f>
        <v>0</v>
      </c>
      <c r="T387">
        <f t="shared" ref="T387:T401" si="26">IF(G387=M387,G387,"Disagree")</f>
        <v>0</v>
      </c>
      <c r="U387">
        <f t="shared" ref="U387:U401" si="27">IF(H387=N387,H387,"Disagree")</f>
        <v>0</v>
      </c>
    </row>
    <row r="388" spans="1:21" ht="68" x14ac:dyDescent="0.2">
      <c r="A388">
        <v>387</v>
      </c>
      <c r="B388">
        <v>85</v>
      </c>
      <c r="C388" s="1" t="s">
        <v>1889</v>
      </c>
      <c r="D388" t="s">
        <v>128</v>
      </c>
      <c r="E388">
        <v>1</v>
      </c>
      <c r="K388" s="15">
        <v>1</v>
      </c>
      <c r="L388" s="15"/>
      <c r="M388" s="15"/>
      <c r="N388" s="15"/>
      <c r="O388" s="15"/>
      <c r="R388">
        <f t="shared" si="24"/>
        <v>1</v>
      </c>
      <c r="S388">
        <f t="shared" si="25"/>
        <v>0</v>
      </c>
      <c r="T388">
        <f t="shared" si="26"/>
        <v>0</v>
      </c>
      <c r="U388">
        <f t="shared" si="27"/>
        <v>0</v>
      </c>
    </row>
    <row r="389" spans="1:21" ht="34" x14ac:dyDescent="0.2">
      <c r="A389">
        <v>388</v>
      </c>
      <c r="B389">
        <v>10</v>
      </c>
      <c r="C389" s="1" t="s">
        <v>1893</v>
      </c>
      <c r="D389" t="s">
        <v>135</v>
      </c>
      <c r="K389" s="15"/>
      <c r="L389" s="15"/>
      <c r="M389" s="15"/>
      <c r="N389" s="15"/>
      <c r="O389" s="15"/>
      <c r="R389">
        <f t="shared" si="24"/>
        <v>0</v>
      </c>
      <c r="S389">
        <f t="shared" si="25"/>
        <v>0</v>
      </c>
      <c r="T389">
        <f t="shared" si="26"/>
        <v>0</v>
      </c>
      <c r="U389">
        <f t="shared" si="27"/>
        <v>0</v>
      </c>
    </row>
    <row r="390" spans="1:21" ht="68" x14ac:dyDescent="0.2">
      <c r="A390">
        <v>389</v>
      </c>
      <c r="B390">
        <v>12</v>
      </c>
      <c r="C390" s="1" t="s">
        <v>1898</v>
      </c>
      <c r="D390" t="s">
        <v>123</v>
      </c>
      <c r="F390">
        <v>1</v>
      </c>
      <c r="G390">
        <v>1</v>
      </c>
      <c r="K390" s="15"/>
      <c r="L390" s="15">
        <v>1</v>
      </c>
      <c r="M390" s="15">
        <v>1</v>
      </c>
      <c r="N390" s="15"/>
      <c r="O390" s="15"/>
      <c r="R390">
        <f t="shared" si="24"/>
        <v>0</v>
      </c>
      <c r="S390">
        <f t="shared" si="25"/>
        <v>1</v>
      </c>
      <c r="T390">
        <f t="shared" si="26"/>
        <v>1</v>
      </c>
      <c r="U390">
        <f t="shared" si="27"/>
        <v>0</v>
      </c>
    </row>
    <row r="391" spans="1:21" ht="68" x14ac:dyDescent="0.2">
      <c r="A391">
        <v>390</v>
      </c>
      <c r="B391">
        <v>85</v>
      </c>
      <c r="C391" s="1" t="s">
        <v>1902</v>
      </c>
      <c r="D391" t="s">
        <v>128</v>
      </c>
      <c r="E391">
        <v>1</v>
      </c>
      <c r="K391" s="15">
        <v>1</v>
      </c>
      <c r="L391" s="15"/>
      <c r="M391" s="15"/>
      <c r="N391" s="15"/>
      <c r="O391" s="15"/>
      <c r="R391">
        <f t="shared" si="24"/>
        <v>1</v>
      </c>
      <c r="S391">
        <f t="shared" si="25"/>
        <v>0</v>
      </c>
      <c r="T391">
        <f t="shared" si="26"/>
        <v>0</v>
      </c>
      <c r="U391">
        <f t="shared" si="27"/>
        <v>0</v>
      </c>
    </row>
    <row r="392" spans="1:21" ht="34" x14ac:dyDescent="0.2">
      <c r="A392">
        <v>391</v>
      </c>
      <c r="B392">
        <v>30</v>
      </c>
      <c r="C392" s="1" t="s">
        <v>1906</v>
      </c>
      <c r="D392" t="s">
        <v>135</v>
      </c>
      <c r="F392">
        <v>1</v>
      </c>
      <c r="G392">
        <v>1</v>
      </c>
      <c r="K392" s="15"/>
      <c r="L392" s="15">
        <v>1</v>
      </c>
      <c r="M392" s="15">
        <v>1</v>
      </c>
      <c r="N392" s="15"/>
      <c r="O392" s="15"/>
      <c r="R392">
        <f t="shared" si="24"/>
        <v>0</v>
      </c>
      <c r="S392">
        <f t="shared" si="25"/>
        <v>1</v>
      </c>
      <c r="T392">
        <f t="shared" si="26"/>
        <v>1</v>
      </c>
      <c r="U392">
        <f t="shared" si="27"/>
        <v>0</v>
      </c>
    </row>
    <row r="393" spans="1:21" ht="51" x14ac:dyDescent="0.2">
      <c r="A393">
        <v>392</v>
      </c>
      <c r="B393">
        <v>75</v>
      </c>
      <c r="C393" s="1" t="s">
        <v>1911</v>
      </c>
      <c r="D393" t="s">
        <v>135</v>
      </c>
      <c r="F393">
        <v>1</v>
      </c>
      <c r="G393">
        <v>1</v>
      </c>
      <c r="K393" s="15"/>
      <c r="L393" s="15">
        <v>1</v>
      </c>
      <c r="M393" s="15"/>
      <c r="N393" s="15"/>
      <c r="O393" s="15"/>
      <c r="R393">
        <f t="shared" si="24"/>
        <v>0</v>
      </c>
      <c r="S393">
        <f t="shared" si="25"/>
        <v>1</v>
      </c>
      <c r="T393" t="str">
        <f t="shared" si="26"/>
        <v>Disagree</v>
      </c>
      <c r="U393">
        <f t="shared" si="27"/>
        <v>0</v>
      </c>
    </row>
    <row r="394" spans="1:21" ht="85" x14ac:dyDescent="0.2">
      <c r="A394">
        <v>393</v>
      </c>
      <c r="B394">
        <v>50</v>
      </c>
      <c r="C394" s="1" t="s">
        <v>1915</v>
      </c>
      <c r="D394" t="s">
        <v>123</v>
      </c>
      <c r="K394" s="15">
        <v>1</v>
      </c>
      <c r="L394" s="15"/>
      <c r="M394" s="15"/>
      <c r="N394" s="15"/>
      <c r="O394" s="15"/>
      <c r="R394" t="str">
        <f t="shared" si="24"/>
        <v>Disagree</v>
      </c>
      <c r="S394">
        <f t="shared" si="25"/>
        <v>0</v>
      </c>
      <c r="T394">
        <f t="shared" si="26"/>
        <v>0</v>
      </c>
      <c r="U394">
        <f t="shared" si="27"/>
        <v>0</v>
      </c>
    </row>
    <row r="395" spans="1:21" ht="34" x14ac:dyDescent="0.2">
      <c r="A395">
        <v>394</v>
      </c>
      <c r="B395">
        <v>69</v>
      </c>
      <c r="C395" s="1" t="s">
        <v>1922</v>
      </c>
      <c r="D395" t="s">
        <v>135</v>
      </c>
      <c r="E395">
        <v>1</v>
      </c>
      <c r="K395" s="15">
        <v>1</v>
      </c>
      <c r="L395" s="15"/>
      <c r="M395" s="15"/>
      <c r="N395" s="15"/>
      <c r="O395" s="15"/>
      <c r="R395">
        <f t="shared" si="24"/>
        <v>1</v>
      </c>
      <c r="S395">
        <f t="shared" si="25"/>
        <v>0</v>
      </c>
      <c r="T395">
        <f t="shared" si="26"/>
        <v>0</v>
      </c>
      <c r="U395">
        <f t="shared" si="27"/>
        <v>0</v>
      </c>
    </row>
    <row r="396" spans="1:21" ht="17" x14ac:dyDescent="0.2">
      <c r="A396">
        <v>395</v>
      </c>
      <c r="B396">
        <v>59</v>
      </c>
      <c r="C396" s="1" t="s">
        <v>1934</v>
      </c>
      <c r="D396" t="s">
        <v>135</v>
      </c>
      <c r="E396">
        <v>1</v>
      </c>
      <c r="K396" s="15">
        <v>1</v>
      </c>
      <c r="L396" s="15"/>
      <c r="M396" s="15"/>
      <c r="N396" s="15"/>
      <c r="O396" s="15"/>
      <c r="R396">
        <f t="shared" si="24"/>
        <v>1</v>
      </c>
      <c r="S396">
        <f t="shared" si="25"/>
        <v>0</v>
      </c>
      <c r="T396">
        <f t="shared" si="26"/>
        <v>0</v>
      </c>
      <c r="U396">
        <f t="shared" si="27"/>
        <v>0</v>
      </c>
    </row>
    <row r="397" spans="1:21" ht="17" x14ac:dyDescent="0.2">
      <c r="A397">
        <v>396</v>
      </c>
      <c r="B397">
        <v>90</v>
      </c>
      <c r="C397" s="1" t="s">
        <v>1939</v>
      </c>
      <c r="D397" t="s">
        <v>123</v>
      </c>
      <c r="E397">
        <v>1</v>
      </c>
      <c r="K397" s="15">
        <v>1</v>
      </c>
      <c r="L397" s="15"/>
      <c r="M397" s="15"/>
      <c r="N397" s="15"/>
      <c r="O397" s="15"/>
      <c r="R397">
        <f t="shared" si="24"/>
        <v>1</v>
      </c>
      <c r="S397">
        <f t="shared" si="25"/>
        <v>0</v>
      </c>
      <c r="T397">
        <f t="shared" si="26"/>
        <v>0</v>
      </c>
      <c r="U397">
        <f t="shared" si="27"/>
        <v>0</v>
      </c>
    </row>
    <row r="398" spans="1:21" ht="34" x14ac:dyDescent="0.2">
      <c r="A398">
        <v>397</v>
      </c>
      <c r="B398">
        <v>65</v>
      </c>
      <c r="C398" s="1" t="s">
        <v>1943</v>
      </c>
      <c r="D398" t="s">
        <v>117</v>
      </c>
      <c r="E398">
        <v>1</v>
      </c>
      <c r="K398" s="15">
        <v>1</v>
      </c>
      <c r="L398" s="15"/>
      <c r="M398" s="15"/>
      <c r="N398" s="15"/>
      <c r="O398" s="15"/>
      <c r="R398">
        <f t="shared" si="24"/>
        <v>1</v>
      </c>
      <c r="S398">
        <f t="shared" si="25"/>
        <v>0</v>
      </c>
      <c r="T398">
        <f t="shared" si="26"/>
        <v>0</v>
      </c>
      <c r="U398">
        <f t="shared" si="27"/>
        <v>0</v>
      </c>
    </row>
    <row r="399" spans="1:21" ht="68" x14ac:dyDescent="0.2">
      <c r="A399">
        <v>398</v>
      </c>
      <c r="B399">
        <v>65</v>
      </c>
      <c r="C399" s="1" t="s">
        <v>1947</v>
      </c>
      <c r="D399" t="s">
        <v>117</v>
      </c>
      <c r="E399">
        <v>1</v>
      </c>
      <c r="K399" s="15">
        <v>1</v>
      </c>
      <c r="L399" s="15"/>
      <c r="M399" s="15"/>
      <c r="N399" s="15"/>
      <c r="O399" s="15"/>
      <c r="R399">
        <f t="shared" si="24"/>
        <v>1</v>
      </c>
      <c r="S399">
        <f t="shared" si="25"/>
        <v>0</v>
      </c>
      <c r="T399">
        <f t="shared" si="26"/>
        <v>0</v>
      </c>
      <c r="U399">
        <f t="shared" si="27"/>
        <v>0</v>
      </c>
    </row>
    <row r="400" spans="1:21" ht="17" x14ac:dyDescent="0.2">
      <c r="A400">
        <v>399</v>
      </c>
      <c r="B400">
        <v>81</v>
      </c>
      <c r="C400" s="1" t="s">
        <v>1952</v>
      </c>
      <c r="D400" t="s">
        <v>128</v>
      </c>
      <c r="E400">
        <v>1</v>
      </c>
      <c r="K400" s="15">
        <v>1</v>
      </c>
      <c r="L400" s="15"/>
      <c r="M400" s="15"/>
      <c r="N400" s="15"/>
      <c r="O400" s="15"/>
      <c r="R400">
        <f t="shared" si="24"/>
        <v>1</v>
      </c>
      <c r="S400">
        <f t="shared" si="25"/>
        <v>0</v>
      </c>
      <c r="T400">
        <f t="shared" si="26"/>
        <v>0</v>
      </c>
      <c r="U400">
        <f t="shared" si="27"/>
        <v>0</v>
      </c>
    </row>
    <row r="401" spans="1:22" ht="119" x14ac:dyDescent="0.2">
      <c r="A401">
        <v>400</v>
      </c>
      <c r="B401">
        <v>0</v>
      </c>
      <c r="C401" s="1" t="s">
        <v>1956</v>
      </c>
      <c r="D401" t="s">
        <v>128</v>
      </c>
      <c r="F401">
        <v>1</v>
      </c>
      <c r="K401" s="15"/>
      <c r="L401" s="15">
        <v>1</v>
      </c>
      <c r="M401" s="15"/>
      <c r="N401" s="15"/>
      <c r="O401" s="15"/>
      <c r="R401">
        <f t="shared" si="24"/>
        <v>0</v>
      </c>
      <c r="S401">
        <f t="shared" si="25"/>
        <v>1</v>
      </c>
      <c r="T401">
        <f t="shared" si="26"/>
        <v>0</v>
      </c>
      <c r="U401">
        <f t="shared" si="27"/>
        <v>0</v>
      </c>
    </row>
    <row r="402" spans="1:22" x14ac:dyDescent="0.2">
      <c r="K402" s="15"/>
      <c r="L402" s="15"/>
      <c r="M402" s="15"/>
      <c r="N402" s="15"/>
      <c r="O402" s="15"/>
    </row>
    <row r="403" spans="1:22" x14ac:dyDescent="0.2">
      <c r="H403">
        <f>SUM(H2:H401)</f>
        <v>5</v>
      </c>
      <c r="K403" s="15"/>
      <c r="L403" s="15"/>
      <c r="M403" s="15"/>
      <c r="N403" s="15"/>
      <c r="O403" s="15"/>
    </row>
    <row r="404" spans="1:22" x14ac:dyDescent="0.2">
      <c r="H404">
        <f>5/100</f>
        <v>0.05</v>
      </c>
      <c r="K404" s="15"/>
      <c r="L404" s="15"/>
      <c r="M404" s="15"/>
      <c r="N404" s="15"/>
      <c r="O404" s="15"/>
      <c r="Q404" t="s">
        <v>2014</v>
      </c>
      <c r="R404">
        <f>COUNTIF(R2:R401,"Disagree")</f>
        <v>57</v>
      </c>
      <c r="S404">
        <f>COUNTIF(S2:S401,"Disagree")</f>
        <v>20</v>
      </c>
      <c r="T404">
        <f>COUNTIF(T2:T401,"Disagree")</f>
        <v>19</v>
      </c>
      <c r="U404">
        <f>COUNTIF(U2:U401,"Disagree")</f>
        <v>3</v>
      </c>
      <c r="V404">
        <f>SUM(R404:U404)</f>
        <v>99</v>
      </c>
    </row>
    <row r="405" spans="1:22" x14ac:dyDescent="0.2">
      <c r="K405" s="15"/>
      <c r="L405" s="15"/>
      <c r="M405" s="15"/>
      <c r="N405" s="15"/>
      <c r="O405" s="15"/>
      <c r="U405" t="s">
        <v>2015</v>
      </c>
      <c r="V405">
        <f>V404/(400*4)</f>
        <v>6.1874999999999999E-2</v>
      </c>
    </row>
    <row r="406" spans="1:22" x14ac:dyDescent="0.2">
      <c r="K406" s="15"/>
      <c r="L406" s="15"/>
      <c r="M406" s="15"/>
      <c r="N406" s="15"/>
      <c r="O406" s="15"/>
    </row>
    <row r="407" spans="1:22" x14ac:dyDescent="0.2">
      <c r="K407" s="15"/>
      <c r="L407" s="15"/>
      <c r="M407" s="15"/>
      <c r="N407" s="15"/>
      <c r="O407" s="15"/>
    </row>
    <row r="408" spans="1:22" x14ac:dyDescent="0.2">
      <c r="K408" s="15"/>
      <c r="L408" s="15"/>
      <c r="M408" s="15"/>
      <c r="N408" s="15"/>
      <c r="O408" s="15"/>
    </row>
    <row r="409" spans="1:22" x14ac:dyDescent="0.2">
      <c r="K409" s="15"/>
      <c r="L409" s="15"/>
      <c r="M409" s="15"/>
      <c r="N409" s="15"/>
      <c r="O409" s="15"/>
    </row>
    <row r="410" spans="1:22" x14ac:dyDescent="0.2">
      <c r="K410" s="15"/>
      <c r="L410" s="15"/>
      <c r="M410" s="15"/>
      <c r="N410" s="15"/>
      <c r="O410" s="15"/>
    </row>
    <row r="411" spans="1:22" x14ac:dyDescent="0.2">
      <c r="K411" s="15"/>
      <c r="L411" s="15"/>
      <c r="M411" s="15"/>
      <c r="N411" s="15"/>
      <c r="O411" s="15"/>
    </row>
    <row r="412" spans="1:22" x14ac:dyDescent="0.2">
      <c r="K412" s="15"/>
      <c r="L412" s="15"/>
      <c r="M412" s="15"/>
      <c r="N412" s="15"/>
      <c r="O412" s="15"/>
    </row>
    <row r="413" spans="1:22" x14ac:dyDescent="0.2">
      <c r="K413" s="15"/>
      <c r="L413" s="15"/>
      <c r="M413" s="15"/>
      <c r="N413" s="15"/>
      <c r="O413" s="15"/>
    </row>
    <row r="414" spans="1:22" x14ac:dyDescent="0.2">
      <c r="K414" s="15"/>
      <c r="L414" s="15"/>
      <c r="M414" s="15"/>
      <c r="N414" s="15"/>
      <c r="O414" s="15"/>
    </row>
    <row r="415" spans="1:22" x14ac:dyDescent="0.2">
      <c r="K415" s="15"/>
      <c r="L415" s="15"/>
      <c r="M415" s="15"/>
      <c r="N415" s="15"/>
      <c r="O415" s="15"/>
    </row>
    <row r="416" spans="1:22" x14ac:dyDescent="0.2">
      <c r="K416" s="15"/>
      <c r="L416" s="15"/>
      <c r="M416" s="15"/>
      <c r="N416" s="15"/>
      <c r="O416" s="15"/>
    </row>
    <row r="417" spans="11:15" x14ac:dyDescent="0.2">
      <c r="K417" s="15"/>
      <c r="L417" s="15"/>
      <c r="M417" s="15"/>
      <c r="N417" s="15"/>
      <c r="O417" s="15"/>
    </row>
    <row r="418" spans="11:15" x14ac:dyDescent="0.2">
      <c r="K418" s="15"/>
      <c r="L418" s="15"/>
      <c r="M418" s="15"/>
      <c r="N418" s="15"/>
      <c r="O418" s="15"/>
    </row>
    <row r="419" spans="11:15" x14ac:dyDescent="0.2">
      <c r="K419" s="15"/>
      <c r="L419" s="15"/>
      <c r="M419" s="15"/>
      <c r="N419" s="15"/>
      <c r="O419" s="15"/>
    </row>
    <row r="420" spans="11:15" x14ac:dyDescent="0.2">
      <c r="K420" s="15"/>
      <c r="L420" s="15"/>
      <c r="M420" s="15"/>
      <c r="N420" s="15"/>
      <c r="O420" s="15"/>
    </row>
    <row r="421" spans="11:15" x14ac:dyDescent="0.2">
      <c r="K421" s="15"/>
      <c r="L421" s="15"/>
      <c r="M421" s="15"/>
      <c r="N421" s="15"/>
      <c r="O421" s="15"/>
    </row>
    <row r="422" spans="11:15" x14ac:dyDescent="0.2">
      <c r="K422" s="15"/>
      <c r="L422" s="15"/>
      <c r="M422" s="15"/>
      <c r="N422" s="15"/>
      <c r="O422" s="15"/>
    </row>
    <row r="423" spans="11:15" x14ac:dyDescent="0.2">
      <c r="K423" s="15"/>
      <c r="L423" s="15"/>
      <c r="M423" s="15"/>
      <c r="N423" s="15"/>
      <c r="O423" s="15"/>
    </row>
    <row r="424" spans="11:15" x14ac:dyDescent="0.2">
      <c r="K424" s="15"/>
      <c r="L424" s="15"/>
      <c r="M424" s="15"/>
      <c r="N424" s="15"/>
      <c r="O424" s="15"/>
    </row>
    <row r="425" spans="11:15" x14ac:dyDescent="0.2">
      <c r="K425" s="15"/>
      <c r="L425" s="15"/>
      <c r="M425" s="15"/>
      <c r="N425" s="15"/>
      <c r="O425" s="15"/>
    </row>
    <row r="426" spans="11:15" x14ac:dyDescent="0.2">
      <c r="K426" s="15"/>
      <c r="L426" s="15"/>
      <c r="M426" s="15"/>
      <c r="N426" s="15"/>
      <c r="O426" s="15"/>
    </row>
    <row r="427" spans="11:15" x14ac:dyDescent="0.2">
      <c r="K427" s="15"/>
      <c r="L427" s="15"/>
      <c r="M427" s="15"/>
      <c r="N427" s="15"/>
      <c r="O427" s="15"/>
    </row>
    <row r="428" spans="11:15" x14ac:dyDescent="0.2">
      <c r="K428" s="15"/>
      <c r="L428" s="15"/>
      <c r="M428" s="15"/>
      <c r="N428" s="15"/>
      <c r="O428" s="15"/>
    </row>
    <row r="429" spans="11:15" x14ac:dyDescent="0.2">
      <c r="K429" s="15"/>
      <c r="L429" s="15"/>
      <c r="M429" s="15"/>
      <c r="N429" s="15"/>
      <c r="O429" s="15"/>
    </row>
    <row r="430" spans="11:15" x14ac:dyDescent="0.2">
      <c r="K430" s="15"/>
      <c r="L430" s="15"/>
      <c r="M430" s="15"/>
      <c r="N430" s="15"/>
      <c r="O430" s="15"/>
    </row>
    <row r="431" spans="11:15" x14ac:dyDescent="0.2">
      <c r="K431" s="15"/>
      <c r="L431" s="15"/>
      <c r="M431" s="15"/>
      <c r="N431" s="15"/>
      <c r="O431" s="15"/>
    </row>
    <row r="432" spans="11:15" x14ac:dyDescent="0.2">
      <c r="K432" s="15"/>
      <c r="L432" s="15"/>
      <c r="M432" s="15"/>
      <c r="N432" s="15"/>
      <c r="O432" s="15"/>
    </row>
    <row r="433" spans="11:15" x14ac:dyDescent="0.2">
      <c r="K433" s="15"/>
      <c r="L433" s="15"/>
      <c r="M433" s="15"/>
      <c r="N433" s="15"/>
      <c r="O433" s="15"/>
    </row>
    <row r="434" spans="11:15" x14ac:dyDescent="0.2">
      <c r="K434" s="15"/>
      <c r="L434" s="15"/>
      <c r="M434" s="15"/>
      <c r="N434" s="15"/>
      <c r="O434" s="15"/>
    </row>
    <row r="435" spans="11:15" x14ac:dyDescent="0.2">
      <c r="K435" s="15"/>
      <c r="L435" s="15"/>
      <c r="M435" s="15"/>
      <c r="N435" s="15"/>
      <c r="O435" s="15"/>
    </row>
    <row r="436" spans="11:15" x14ac:dyDescent="0.2">
      <c r="K436" s="15"/>
      <c r="L436" s="15"/>
      <c r="M436" s="15"/>
      <c r="N436" s="15"/>
      <c r="O436" s="15"/>
    </row>
    <row r="437" spans="11:15" x14ac:dyDescent="0.2">
      <c r="K437" s="15"/>
      <c r="L437" s="15"/>
      <c r="M437" s="15"/>
      <c r="N437" s="15"/>
      <c r="O437" s="15"/>
    </row>
    <row r="438" spans="11:15" x14ac:dyDescent="0.2">
      <c r="K438" s="15"/>
      <c r="L438" s="15"/>
      <c r="M438" s="15"/>
      <c r="N438" s="15"/>
      <c r="O438" s="15"/>
    </row>
    <row r="439" spans="11:15" x14ac:dyDescent="0.2">
      <c r="K439" s="15"/>
      <c r="L439" s="15"/>
      <c r="M439" s="15"/>
      <c r="N439" s="15"/>
      <c r="O439" s="15"/>
    </row>
    <row r="440" spans="11:15" x14ac:dyDescent="0.2">
      <c r="K440" s="15"/>
      <c r="L440" s="15"/>
      <c r="M440" s="15"/>
      <c r="N440" s="15"/>
      <c r="O440" s="15"/>
    </row>
    <row r="441" spans="11:15" x14ac:dyDescent="0.2">
      <c r="K441" s="15"/>
      <c r="L441" s="15"/>
      <c r="M441" s="15"/>
      <c r="N441" s="15"/>
      <c r="O441" s="15"/>
    </row>
    <row r="442" spans="11:15" x14ac:dyDescent="0.2">
      <c r="K442" s="15"/>
      <c r="L442" s="15"/>
      <c r="M442" s="15"/>
      <c r="N442" s="15"/>
      <c r="O442" s="15"/>
    </row>
    <row r="443" spans="11:15" x14ac:dyDescent="0.2">
      <c r="K443" s="15"/>
      <c r="L443" s="15"/>
      <c r="M443" s="15"/>
      <c r="N443" s="15"/>
      <c r="O443" s="15"/>
    </row>
    <row r="444" spans="11:15" x14ac:dyDescent="0.2">
      <c r="K444" s="15"/>
      <c r="L444" s="15"/>
      <c r="M444" s="15"/>
      <c r="N444" s="15"/>
      <c r="O444" s="15"/>
    </row>
    <row r="445" spans="11:15" x14ac:dyDescent="0.2">
      <c r="K445" s="15"/>
      <c r="L445" s="15"/>
      <c r="M445" s="15"/>
      <c r="N445" s="15"/>
      <c r="O445" s="15"/>
    </row>
    <row r="446" spans="11:15" x14ac:dyDescent="0.2">
      <c r="K446" s="15"/>
      <c r="L446" s="15"/>
      <c r="M446" s="15"/>
      <c r="N446" s="15"/>
      <c r="O446" s="15"/>
    </row>
    <row r="447" spans="11:15" x14ac:dyDescent="0.2">
      <c r="K447" s="15"/>
      <c r="L447" s="15"/>
      <c r="M447" s="15"/>
      <c r="N447" s="15"/>
      <c r="O447" s="15"/>
    </row>
    <row r="448" spans="11:15" x14ac:dyDescent="0.2">
      <c r="K448" s="15"/>
      <c r="L448" s="15"/>
      <c r="M448" s="15"/>
      <c r="N448" s="15"/>
      <c r="O448" s="15"/>
    </row>
    <row r="449" spans="11:15" x14ac:dyDescent="0.2">
      <c r="K449" s="15"/>
      <c r="L449" s="15"/>
      <c r="M449" s="15"/>
      <c r="N449" s="15"/>
      <c r="O449" s="15"/>
    </row>
    <row r="450" spans="11:15" x14ac:dyDescent="0.2">
      <c r="K450" s="15"/>
      <c r="L450" s="15"/>
      <c r="M450" s="15"/>
      <c r="N450" s="15"/>
      <c r="O450" s="15"/>
    </row>
    <row r="451" spans="11:15" x14ac:dyDescent="0.2">
      <c r="K451" s="15"/>
      <c r="L451" s="15"/>
      <c r="M451" s="15"/>
      <c r="N451" s="15"/>
      <c r="O451" s="15"/>
    </row>
    <row r="452" spans="11:15" x14ac:dyDescent="0.2">
      <c r="K452" s="15"/>
      <c r="L452" s="15"/>
      <c r="M452" s="15"/>
      <c r="N452" s="15"/>
      <c r="O452" s="15"/>
    </row>
    <row r="453" spans="11:15" x14ac:dyDescent="0.2">
      <c r="K453" s="15"/>
      <c r="L453" s="15"/>
      <c r="M453" s="15"/>
      <c r="N453" s="15"/>
      <c r="O453" s="15"/>
    </row>
    <row r="454" spans="11:15" x14ac:dyDescent="0.2">
      <c r="K454" s="15"/>
      <c r="L454" s="15"/>
      <c r="M454" s="15"/>
      <c r="N454" s="15"/>
      <c r="O454" s="15"/>
    </row>
    <row r="455" spans="11:15" x14ac:dyDescent="0.2">
      <c r="K455" s="15"/>
      <c r="L455" s="15"/>
      <c r="M455" s="15"/>
      <c r="N455" s="15"/>
      <c r="O455" s="15"/>
    </row>
    <row r="456" spans="11:15" x14ac:dyDescent="0.2">
      <c r="K456" s="15"/>
      <c r="L456" s="15"/>
      <c r="M456" s="15"/>
      <c r="N456" s="15"/>
      <c r="O456" s="15"/>
    </row>
    <row r="457" spans="11:15" x14ac:dyDescent="0.2">
      <c r="K457" s="15"/>
      <c r="L457" s="15"/>
      <c r="M457" s="15"/>
      <c r="N457" s="15"/>
      <c r="O457" s="15"/>
    </row>
    <row r="458" spans="11:15" x14ac:dyDescent="0.2">
      <c r="K458" s="15"/>
      <c r="L458" s="15"/>
      <c r="M458" s="15"/>
      <c r="N458" s="15"/>
      <c r="O458" s="15"/>
    </row>
    <row r="459" spans="11:15" x14ac:dyDescent="0.2">
      <c r="K459" s="15"/>
      <c r="L459" s="15"/>
      <c r="M459" s="15"/>
      <c r="N459" s="15"/>
      <c r="O459" s="15"/>
    </row>
    <row r="460" spans="11:15" x14ac:dyDescent="0.2">
      <c r="K460" s="15"/>
      <c r="L460" s="15"/>
      <c r="M460" s="15"/>
      <c r="N460" s="15"/>
      <c r="O460" s="15"/>
    </row>
    <row r="461" spans="11:15" x14ac:dyDescent="0.2">
      <c r="K461" s="15"/>
      <c r="L461" s="15"/>
      <c r="M461" s="15"/>
      <c r="N461" s="15"/>
      <c r="O461" s="15"/>
    </row>
    <row r="462" spans="11:15" x14ac:dyDescent="0.2">
      <c r="K462" s="15"/>
      <c r="L462" s="15"/>
      <c r="M462" s="15"/>
      <c r="N462" s="15"/>
      <c r="O462" s="15"/>
    </row>
    <row r="463" spans="11:15" x14ac:dyDescent="0.2">
      <c r="K463" s="15"/>
      <c r="L463" s="15"/>
      <c r="M463" s="15"/>
      <c r="N463" s="15"/>
      <c r="O463" s="15"/>
    </row>
    <row r="464" spans="11:15" x14ac:dyDescent="0.2">
      <c r="K464" s="15"/>
      <c r="L464" s="15"/>
      <c r="M464" s="15"/>
      <c r="N464" s="15"/>
      <c r="O464" s="15"/>
    </row>
    <row r="465" spans="11:15" x14ac:dyDescent="0.2">
      <c r="K465" s="15"/>
      <c r="L465" s="15"/>
      <c r="M465" s="15"/>
      <c r="N465" s="15"/>
      <c r="O465" s="15"/>
    </row>
    <row r="466" spans="11:15" x14ac:dyDescent="0.2">
      <c r="K466" s="15"/>
      <c r="L466" s="15"/>
      <c r="M466" s="15"/>
      <c r="N466" s="15"/>
      <c r="O466" s="15"/>
    </row>
    <row r="467" spans="11:15" x14ac:dyDescent="0.2">
      <c r="K467" s="15"/>
      <c r="L467" s="15"/>
      <c r="M467" s="15"/>
      <c r="N467" s="15"/>
      <c r="O467" s="15"/>
    </row>
    <row r="468" spans="11:15" x14ac:dyDescent="0.2">
      <c r="K468" s="15"/>
      <c r="L468" s="15"/>
      <c r="M468" s="15"/>
      <c r="N468" s="15"/>
      <c r="O468" s="15"/>
    </row>
    <row r="469" spans="11:15" x14ac:dyDescent="0.2">
      <c r="K469" s="15"/>
      <c r="L469" s="15"/>
      <c r="M469" s="15"/>
      <c r="N469" s="15"/>
      <c r="O469" s="15"/>
    </row>
    <row r="470" spans="11:15" x14ac:dyDescent="0.2">
      <c r="K470" s="15"/>
      <c r="L470" s="15"/>
      <c r="M470" s="15"/>
      <c r="N470" s="15"/>
      <c r="O470" s="15"/>
    </row>
    <row r="471" spans="11:15" x14ac:dyDescent="0.2">
      <c r="K471" s="15"/>
      <c r="L471" s="15"/>
      <c r="M471" s="15"/>
      <c r="N471" s="15"/>
      <c r="O471" s="15"/>
    </row>
    <row r="472" spans="11:15" x14ac:dyDescent="0.2">
      <c r="K472" s="15"/>
      <c r="L472" s="15"/>
      <c r="M472" s="15"/>
      <c r="N472" s="15"/>
      <c r="O472" s="15"/>
    </row>
    <row r="473" spans="11:15" x14ac:dyDescent="0.2">
      <c r="K473" s="15"/>
      <c r="L473" s="15"/>
      <c r="M473" s="15"/>
      <c r="N473" s="15"/>
      <c r="O473" s="15"/>
    </row>
    <row r="474" spans="11:15" x14ac:dyDescent="0.2">
      <c r="K474" s="15"/>
      <c r="L474" s="15"/>
      <c r="M474" s="15"/>
      <c r="N474" s="15"/>
      <c r="O474" s="15"/>
    </row>
    <row r="475" spans="11:15" x14ac:dyDescent="0.2">
      <c r="K475" s="15"/>
      <c r="L475" s="15"/>
      <c r="M475" s="15"/>
      <c r="N475" s="15"/>
      <c r="O475" s="15"/>
    </row>
    <row r="476" spans="11:15" x14ac:dyDescent="0.2">
      <c r="K476" s="15"/>
      <c r="L476" s="15"/>
      <c r="M476" s="15"/>
      <c r="N476" s="15"/>
      <c r="O476" s="15"/>
    </row>
    <row r="477" spans="11:15" x14ac:dyDescent="0.2">
      <c r="K477" s="15"/>
      <c r="L477" s="15"/>
      <c r="M477" s="15"/>
      <c r="N477" s="15"/>
      <c r="O477" s="15"/>
    </row>
    <row r="478" spans="11:15" x14ac:dyDescent="0.2">
      <c r="K478" s="15"/>
      <c r="L478" s="15"/>
      <c r="M478" s="15"/>
      <c r="N478" s="15"/>
      <c r="O478" s="15"/>
    </row>
    <row r="479" spans="11:15" x14ac:dyDescent="0.2">
      <c r="K479" s="15"/>
      <c r="L479" s="15"/>
      <c r="M479" s="15"/>
      <c r="N479" s="15"/>
      <c r="O479" s="15"/>
    </row>
    <row r="480" spans="11:15" x14ac:dyDescent="0.2">
      <c r="K480" s="15"/>
      <c r="L480" s="15"/>
      <c r="M480" s="15"/>
      <c r="N480" s="15"/>
      <c r="O480" s="15"/>
    </row>
    <row r="481" spans="11:15" x14ac:dyDescent="0.2">
      <c r="K481" s="15"/>
      <c r="L481" s="15"/>
      <c r="M481" s="15"/>
      <c r="N481" s="15"/>
      <c r="O481" s="15"/>
    </row>
    <row r="482" spans="11:15" x14ac:dyDescent="0.2">
      <c r="K482" s="15"/>
      <c r="L482" s="15"/>
      <c r="M482" s="15"/>
      <c r="N482" s="15"/>
      <c r="O482" s="15"/>
    </row>
    <row r="483" spans="11:15" x14ac:dyDescent="0.2">
      <c r="K483" s="15"/>
      <c r="L483" s="15"/>
      <c r="M483" s="15"/>
      <c r="N483" s="15"/>
      <c r="O483" s="15"/>
    </row>
    <row r="484" spans="11:15" x14ac:dyDescent="0.2">
      <c r="K484" s="15"/>
      <c r="L484" s="15"/>
      <c r="M484" s="15"/>
      <c r="N484" s="15"/>
      <c r="O484" s="15"/>
    </row>
    <row r="485" spans="11:15" x14ac:dyDescent="0.2">
      <c r="K485" s="15"/>
      <c r="L485" s="15"/>
      <c r="M485" s="15"/>
      <c r="N485" s="15"/>
      <c r="O485" s="15"/>
    </row>
    <row r="486" spans="11:15" x14ac:dyDescent="0.2">
      <c r="K486" s="15"/>
      <c r="L486" s="15"/>
      <c r="M486" s="15"/>
      <c r="N486" s="15"/>
      <c r="O486" s="15"/>
    </row>
    <row r="487" spans="11:15" x14ac:dyDescent="0.2">
      <c r="K487" s="15"/>
      <c r="L487" s="15"/>
      <c r="M487" s="15"/>
      <c r="N487" s="15"/>
      <c r="O487" s="15"/>
    </row>
    <row r="488" spans="11:15" x14ac:dyDescent="0.2">
      <c r="K488" s="15"/>
      <c r="L488" s="15"/>
      <c r="M488" s="15"/>
      <c r="N488" s="15"/>
      <c r="O488" s="15"/>
    </row>
    <row r="489" spans="11:15" x14ac:dyDescent="0.2">
      <c r="K489" s="15"/>
      <c r="L489" s="15"/>
      <c r="M489" s="15"/>
      <c r="N489" s="15"/>
      <c r="O489" s="15"/>
    </row>
    <row r="490" spans="11:15" x14ac:dyDescent="0.2">
      <c r="K490" s="15"/>
      <c r="L490" s="15"/>
      <c r="M490" s="15"/>
      <c r="N490" s="15"/>
      <c r="O490" s="15"/>
    </row>
    <row r="491" spans="11:15" x14ac:dyDescent="0.2">
      <c r="K491" s="15"/>
      <c r="L491" s="15"/>
      <c r="M491" s="15"/>
      <c r="N491" s="15"/>
      <c r="O491" s="15"/>
    </row>
    <row r="492" spans="11:15" x14ac:dyDescent="0.2">
      <c r="K492" s="15"/>
      <c r="L492" s="15"/>
      <c r="M492" s="15"/>
      <c r="N492" s="15"/>
      <c r="O492" s="15"/>
    </row>
    <row r="493" spans="11:15" x14ac:dyDescent="0.2">
      <c r="K493" s="15"/>
      <c r="L493" s="15"/>
      <c r="M493" s="15"/>
      <c r="N493" s="15"/>
      <c r="O493" s="15"/>
    </row>
    <row r="494" spans="11:15" x14ac:dyDescent="0.2">
      <c r="K494" s="15"/>
      <c r="L494" s="15"/>
      <c r="M494" s="15"/>
      <c r="N494" s="15"/>
      <c r="O494" s="15"/>
    </row>
    <row r="495" spans="11:15" x14ac:dyDescent="0.2">
      <c r="K495" s="15"/>
      <c r="L495" s="15"/>
      <c r="M495" s="15"/>
      <c r="N495" s="15"/>
      <c r="O495" s="15"/>
    </row>
    <row r="496" spans="11:15" x14ac:dyDescent="0.2">
      <c r="K496" s="15"/>
      <c r="L496" s="15"/>
      <c r="M496" s="15"/>
      <c r="N496" s="15"/>
      <c r="O496" s="15"/>
    </row>
    <row r="497" spans="11:15" x14ac:dyDescent="0.2">
      <c r="K497" s="15"/>
      <c r="L497" s="15"/>
      <c r="M497" s="15"/>
      <c r="N497" s="15"/>
      <c r="O497" s="15"/>
    </row>
    <row r="498" spans="11:15" x14ac:dyDescent="0.2">
      <c r="K498" s="15"/>
      <c r="L498" s="15"/>
      <c r="M498" s="15"/>
      <c r="N498" s="15"/>
      <c r="O498" s="15"/>
    </row>
    <row r="499" spans="11:15" x14ac:dyDescent="0.2">
      <c r="K499" s="15"/>
      <c r="L499" s="15"/>
      <c r="M499" s="15"/>
      <c r="N499" s="15"/>
      <c r="O499" s="15"/>
    </row>
    <row r="500" spans="11:15" x14ac:dyDescent="0.2">
      <c r="K500" s="15"/>
      <c r="L500" s="15"/>
      <c r="M500" s="15"/>
      <c r="N500" s="15"/>
      <c r="O500" s="15"/>
    </row>
    <row r="501" spans="11:15" x14ac:dyDescent="0.2">
      <c r="K501" s="15"/>
      <c r="L501" s="15"/>
      <c r="M501" s="15"/>
      <c r="N501" s="15"/>
      <c r="O501" s="15"/>
    </row>
    <row r="502" spans="11:15" x14ac:dyDescent="0.2">
      <c r="K502" s="15"/>
      <c r="L502" s="15"/>
      <c r="M502" s="15"/>
      <c r="N502" s="15"/>
      <c r="O502" s="15"/>
    </row>
    <row r="503" spans="11:15" x14ac:dyDescent="0.2">
      <c r="K503" s="15"/>
      <c r="L503" s="15"/>
      <c r="M503" s="15"/>
      <c r="N503" s="15"/>
      <c r="O503" s="15"/>
    </row>
    <row r="504" spans="11:15" x14ac:dyDescent="0.2">
      <c r="K504" s="15"/>
      <c r="L504" s="15"/>
      <c r="M504" s="15"/>
      <c r="N504" s="15"/>
      <c r="O504" s="15"/>
    </row>
    <row r="505" spans="11:15" x14ac:dyDescent="0.2">
      <c r="K505" s="15"/>
      <c r="L505" s="15"/>
      <c r="M505" s="15"/>
      <c r="N505" s="15"/>
      <c r="O505" s="15"/>
    </row>
    <row r="506" spans="11:15" x14ac:dyDescent="0.2">
      <c r="K506" s="15"/>
      <c r="L506" s="15"/>
      <c r="M506" s="15"/>
      <c r="N506" s="15"/>
      <c r="O506" s="15"/>
    </row>
    <row r="507" spans="11:15" x14ac:dyDescent="0.2">
      <c r="K507" s="15"/>
      <c r="L507" s="15"/>
      <c r="M507" s="15"/>
      <c r="N507" s="15"/>
      <c r="O507" s="15"/>
    </row>
    <row r="508" spans="11:15" x14ac:dyDescent="0.2">
      <c r="K508" s="15"/>
      <c r="L508" s="15"/>
      <c r="M508" s="15"/>
      <c r="N508" s="15"/>
      <c r="O508" s="15"/>
    </row>
    <row r="509" spans="11:15" x14ac:dyDescent="0.2">
      <c r="K509" s="15"/>
      <c r="L509" s="15"/>
      <c r="M509" s="15"/>
      <c r="N509" s="15"/>
      <c r="O509" s="15"/>
    </row>
    <row r="510" spans="11:15" x14ac:dyDescent="0.2">
      <c r="K510" s="15"/>
      <c r="L510" s="15"/>
      <c r="M510" s="15"/>
      <c r="N510" s="15"/>
      <c r="O510" s="15"/>
    </row>
    <row r="511" spans="11:15" x14ac:dyDescent="0.2">
      <c r="K511" s="15"/>
      <c r="L511" s="15"/>
      <c r="M511" s="15"/>
      <c r="N511" s="15"/>
      <c r="O511" s="15"/>
    </row>
    <row r="512" spans="11:15" x14ac:dyDescent="0.2">
      <c r="K512" s="15"/>
      <c r="L512" s="15"/>
      <c r="M512" s="15"/>
      <c r="N512" s="15"/>
      <c r="O512" s="15"/>
    </row>
    <row r="513" spans="11:15" x14ac:dyDescent="0.2">
      <c r="K513" s="15"/>
      <c r="L513" s="15"/>
      <c r="M513" s="15"/>
      <c r="N513" s="15"/>
      <c r="O513" s="15"/>
    </row>
    <row r="514" spans="11:15" x14ac:dyDescent="0.2">
      <c r="K514" s="15"/>
      <c r="L514" s="15"/>
      <c r="M514" s="15"/>
      <c r="N514" s="15"/>
      <c r="O514" s="15"/>
    </row>
    <row r="515" spans="11:15" x14ac:dyDescent="0.2">
      <c r="K515" s="15"/>
      <c r="L515" s="15"/>
      <c r="M515" s="15"/>
      <c r="N515" s="15"/>
      <c r="O515" s="15"/>
    </row>
    <row r="516" spans="11:15" x14ac:dyDescent="0.2">
      <c r="K516" s="15"/>
      <c r="L516" s="15"/>
      <c r="M516" s="15"/>
      <c r="N516" s="15"/>
      <c r="O516" s="15"/>
    </row>
    <row r="517" spans="11:15" x14ac:dyDescent="0.2">
      <c r="K517" s="15"/>
      <c r="L517" s="15"/>
      <c r="M517" s="15"/>
      <c r="N517" s="15"/>
      <c r="O517" s="15"/>
    </row>
    <row r="518" spans="11:15" x14ac:dyDescent="0.2">
      <c r="K518" s="15"/>
      <c r="L518" s="15"/>
      <c r="M518" s="15"/>
      <c r="N518" s="15"/>
      <c r="O518" s="15"/>
    </row>
    <row r="519" spans="11:15" x14ac:dyDescent="0.2">
      <c r="K519" s="15"/>
      <c r="L519" s="15"/>
      <c r="M519" s="15"/>
      <c r="N519" s="15"/>
      <c r="O519" s="15"/>
    </row>
    <row r="520" spans="11:15" x14ac:dyDescent="0.2">
      <c r="K520" s="15"/>
      <c r="L520" s="15"/>
      <c r="M520" s="15"/>
      <c r="N520" s="15"/>
      <c r="O520" s="15"/>
    </row>
    <row r="521" spans="11:15" x14ac:dyDescent="0.2">
      <c r="K521" s="15"/>
      <c r="L521" s="15"/>
      <c r="M521" s="15"/>
      <c r="N521" s="15"/>
      <c r="O521" s="15"/>
    </row>
    <row r="522" spans="11:15" x14ac:dyDescent="0.2">
      <c r="K522" s="15"/>
      <c r="L522" s="15"/>
      <c r="M522" s="15"/>
      <c r="N522" s="15"/>
      <c r="O522" s="15"/>
    </row>
    <row r="523" spans="11:15" x14ac:dyDescent="0.2">
      <c r="K523" s="15"/>
      <c r="L523" s="15"/>
      <c r="M523" s="15"/>
      <c r="N523" s="15"/>
      <c r="O523" s="15"/>
    </row>
    <row r="524" spans="11:15" x14ac:dyDescent="0.2">
      <c r="K524" s="15"/>
      <c r="L524" s="15"/>
      <c r="M524" s="15"/>
      <c r="N524" s="15"/>
      <c r="O524" s="15"/>
    </row>
    <row r="525" spans="11:15" x14ac:dyDescent="0.2">
      <c r="K525" s="15"/>
      <c r="L525" s="15"/>
      <c r="M525" s="15"/>
      <c r="N525" s="15"/>
      <c r="O525" s="15"/>
    </row>
    <row r="526" spans="11:15" x14ac:dyDescent="0.2">
      <c r="K526" s="15"/>
      <c r="L526" s="15"/>
      <c r="M526" s="15"/>
      <c r="N526" s="15"/>
      <c r="O526" s="15"/>
    </row>
    <row r="527" spans="11:15" x14ac:dyDescent="0.2">
      <c r="K527" s="15"/>
      <c r="L527" s="15"/>
      <c r="M527" s="15"/>
      <c r="N527" s="15"/>
      <c r="O527" s="15"/>
    </row>
    <row r="528" spans="11:15" x14ac:dyDescent="0.2">
      <c r="K528" s="15"/>
      <c r="L528" s="15"/>
      <c r="M528" s="15"/>
      <c r="N528" s="15"/>
      <c r="O528" s="15"/>
    </row>
    <row r="529" spans="11:15" x14ac:dyDescent="0.2">
      <c r="K529" s="15"/>
      <c r="L529" s="15"/>
      <c r="M529" s="15"/>
      <c r="N529" s="15"/>
      <c r="O529" s="15"/>
    </row>
    <row r="530" spans="11:15" x14ac:dyDescent="0.2">
      <c r="K530" s="15"/>
      <c r="L530" s="15"/>
      <c r="M530" s="15"/>
      <c r="N530" s="15"/>
      <c r="O530" s="15"/>
    </row>
    <row r="531" spans="11:15" x14ac:dyDescent="0.2">
      <c r="K531" s="15"/>
      <c r="L531" s="15"/>
      <c r="M531" s="15"/>
      <c r="N531" s="15"/>
      <c r="O531" s="15"/>
    </row>
    <row r="532" spans="11:15" x14ac:dyDescent="0.2">
      <c r="K532" s="15"/>
      <c r="L532" s="15"/>
      <c r="M532" s="15"/>
      <c r="N532" s="15"/>
      <c r="O532" s="15"/>
    </row>
    <row r="533" spans="11:15" x14ac:dyDescent="0.2">
      <c r="K533" s="15"/>
      <c r="L533" s="15"/>
      <c r="M533" s="15"/>
      <c r="N533" s="15"/>
      <c r="O533" s="15"/>
    </row>
    <row r="534" spans="11:15" x14ac:dyDescent="0.2">
      <c r="K534" s="15"/>
      <c r="L534" s="15"/>
      <c r="M534" s="15"/>
      <c r="N534" s="15"/>
      <c r="O534" s="15"/>
    </row>
    <row r="535" spans="11:15" x14ac:dyDescent="0.2">
      <c r="K535" s="15"/>
      <c r="L535" s="15"/>
      <c r="M535" s="15"/>
      <c r="N535" s="15"/>
      <c r="O535" s="15"/>
    </row>
    <row r="536" spans="11:15" x14ac:dyDescent="0.2">
      <c r="K536" s="15"/>
      <c r="L536" s="15"/>
      <c r="M536" s="15"/>
      <c r="N536" s="15"/>
      <c r="O536" s="15"/>
    </row>
    <row r="537" spans="11:15" x14ac:dyDescent="0.2">
      <c r="K537" s="15"/>
      <c r="L537" s="15"/>
      <c r="M537" s="15"/>
      <c r="N537" s="15"/>
      <c r="O537" s="15"/>
    </row>
    <row r="538" spans="11:15" x14ac:dyDescent="0.2">
      <c r="K538" s="15"/>
      <c r="L538" s="15"/>
      <c r="M538" s="15"/>
      <c r="N538" s="15"/>
      <c r="O538" s="15"/>
    </row>
    <row r="539" spans="11:15" x14ac:dyDescent="0.2">
      <c r="K539" s="15"/>
      <c r="L539" s="15"/>
      <c r="M539" s="15"/>
      <c r="N539" s="15"/>
      <c r="O539" s="15"/>
    </row>
    <row r="540" spans="11:15" x14ac:dyDescent="0.2">
      <c r="K540" s="15"/>
      <c r="L540" s="15"/>
      <c r="M540" s="15"/>
      <c r="N540" s="15"/>
      <c r="O540" s="15"/>
    </row>
    <row r="541" spans="11:15" x14ac:dyDescent="0.2">
      <c r="K541" s="15"/>
      <c r="L541" s="15"/>
      <c r="M541" s="15"/>
      <c r="N541" s="15"/>
      <c r="O541" s="15"/>
    </row>
    <row r="542" spans="11:15" x14ac:dyDescent="0.2">
      <c r="K542" s="15"/>
      <c r="L542" s="15"/>
      <c r="M542" s="15"/>
      <c r="N542" s="15"/>
      <c r="O542" s="15"/>
    </row>
    <row r="543" spans="11:15" x14ac:dyDescent="0.2">
      <c r="K543" s="15"/>
      <c r="L543" s="15"/>
      <c r="M543" s="15"/>
      <c r="N543" s="15"/>
      <c r="O543" s="15"/>
    </row>
    <row r="544" spans="11:15" x14ac:dyDescent="0.2">
      <c r="K544" s="15"/>
      <c r="L544" s="15"/>
      <c r="M544" s="15"/>
      <c r="N544" s="15"/>
      <c r="O544" s="15"/>
    </row>
    <row r="545" spans="11:15" x14ac:dyDescent="0.2">
      <c r="K545" s="15"/>
      <c r="L545" s="15"/>
      <c r="M545" s="15"/>
      <c r="N545" s="15"/>
      <c r="O545" s="15"/>
    </row>
    <row r="546" spans="11:15" x14ac:dyDescent="0.2">
      <c r="K546" s="15"/>
      <c r="L546" s="15"/>
      <c r="M546" s="15"/>
      <c r="N546" s="15"/>
      <c r="O546" s="15"/>
    </row>
    <row r="547" spans="11:15" x14ac:dyDescent="0.2">
      <c r="K547" s="15"/>
      <c r="L547" s="15"/>
      <c r="M547" s="15"/>
      <c r="N547" s="15"/>
      <c r="O547" s="15"/>
    </row>
    <row r="548" spans="11:15" x14ac:dyDescent="0.2">
      <c r="K548" s="15"/>
      <c r="L548" s="15"/>
      <c r="M548" s="15"/>
      <c r="N548" s="15"/>
      <c r="O548" s="15"/>
    </row>
    <row r="549" spans="11:15" x14ac:dyDescent="0.2">
      <c r="K549" s="15"/>
      <c r="L549" s="15"/>
      <c r="M549" s="15"/>
      <c r="N549" s="15"/>
      <c r="O549" s="15"/>
    </row>
    <row r="550" spans="11:15" x14ac:dyDescent="0.2">
      <c r="K550" s="15"/>
      <c r="L550" s="15"/>
      <c r="M550" s="15"/>
      <c r="N550" s="15"/>
      <c r="O550" s="15"/>
    </row>
    <row r="551" spans="11:15" x14ac:dyDescent="0.2">
      <c r="K551" s="15"/>
      <c r="L551" s="15"/>
      <c r="M551" s="15"/>
      <c r="N551" s="15"/>
      <c r="O551" s="15"/>
    </row>
    <row r="552" spans="11:15" x14ac:dyDescent="0.2">
      <c r="K552" s="15"/>
      <c r="L552" s="15"/>
      <c r="M552" s="15"/>
      <c r="N552" s="15"/>
      <c r="O552" s="15"/>
    </row>
    <row r="553" spans="11:15" x14ac:dyDescent="0.2">
      <c r="K553" s="15"/>
      <c r="L553" s="15"/>
      <c r="M553" s="15"/>
      <c r="N553" s="15"/>
      <c r="O553" s="15"/>
    </row>
    <row r="554" spans="11:15" x14ac:dyDescent="0.2">
      <c r="K554" s="15"/>
      <c r="L554" s="15"/>
      <c r="M554" s="15"/>
      <c r="N554" s="15"/>
      <c r="O554" s="15"/>
    </row>
    <row r="555" spans="11:15" x14ac:dyDescent="0.2">
      <c r="K555" s="15"/>
      <c r="L555" s="15"/>
      <c r="M555" s="15"/>
      <c r="N555" s="15"/>
      <c r="O555" s="15"/>
    </row>
    <row r="556" spans="11:15" x14ac:dyDescent="0.2">
      <c r="K556" s="15"/>
      <c r="L556" s="15"/>
      <c r="M556" s="15"/>
      <c r="N556" s="15"/>
      <c r="O556" s="15"/>
    </row>
    <row r="557" spans="11:15" x14ac:dyDescent="0.2">
      <c r="K557" s="15"/>
      <c r="L557" s="15"/>
      <c r="M557" s="15"/>
      <c r="N557" s="15"/>
      <c r="O557" s="15"/>
    </row>
    <row r="558" spans="11:15" x14ac:dyDescent="0.2">
      <c r="K558" s="15"/>
      <c r="L558" s="15"/>
      <c r="M558" s="15"/>
      <c r="N558" s="15"/>
      <c r="O558" s="15"/>
    </row>
    <row r="559" spans="11:15" x14ac:dyDescent="0.2">
      <c r="K559" s="15"/>
      <c r="L559" s="15"/>
      <c r="M559" s="15"/>
      <c r="N559" s="15"/>
      <c r="O559" s="15"/>
    </row>
    <row r="560" spans="11:15" x14ac:dyDescent="0.2">
      <c r="K560" s="15"/>
      <c r="L560" s="15"/>
      <c r="M560" s="15"/>
      <c r="N560" s="15"/>
      <c r="O560" s="15"/>
    </row>
    <row r="561" spans="11:15" x14ac:dyDescent="0.2">
      <c r="K561" s="15"/>
      <c r="L561" s="15"/>
      <c r="M561" s="15"/>
      <c r="N561" s="15"/>
      <c r="O561" s="15"/>
    </row>
    <row r="562" spans="11:15" x14ac:dyDescent="0.2">
      <c r="K562" s="15"/>
      <c r="L562" s="15"/>
      <c r="M562" s="15"/>
      <c r="N562" s="15"/>
      <c r="O562" s="15"/>
    </row>
    <row r="563" spans="11:15" x14ac:dyDescent="0.2">
      <c r="K563" s="15"/>
      <c r="L563" s="15"/>
      <c r="M563" s="15"/>
      <c r="N563" s="15"/>
      <c r="O563" s="15"/>
    </row>
    <row r="564" spans="11:15" x14ac:dyDescent="0.2">
      <c r="K564" s="15"/>
      <c r="L564" s="15"/>
      <c r="M564" s="15"/>
      <c r="N564" s="15"/>
      <c r="O564" s="15"/>
    </row>
    <row r="565" spans="11:15" x14ac:dyDescent="0.2">
      <c r="K565" s="15"/>
      <c r="L565" s="15"/>
      <c r="M565" s="15"/>
      <c r="N565" s="15"/>
      <c r="O565" s="15"/>
    </row>
    <row r="566" spans="11:15" x14ac:dyDescent="0.2">
      <c r="K566" s="15"/>
      <c r="L566" s="15"/>
      <c r="M566" s="15"/>
      <c r="N566" s="15"/>
      <c r="O566" s="15"/>
    </row>
    <row r="567" spans="11:15" x14ac:dyDescent="0.2">
      <c r="K567" s="15"/>
      <c r="L567" s="15"/>
      <c r="M567" s="15"/>
      <c r="N567" s="15"/>
      <c r="O567" s="15"/>
    </row>
    <row r="568" spans="11:15" x14ac:dyDescent="0.2">
      <c r="K568" s="15"/>
      <c r="L568" s="15"/>
      <c r="M568" s="15"/>
      <c r="N568" s="15"/>
      <c r="O568" s="15"/>
    </row>
    <row r="569" spans="11:15" x14ac:dyDescent="0.2">
      <c r="K569" s="15"/>
      <c r="L569" s="15"/>
      <c r="M569" s="15"/>
      <c r="N569" s="15"/>
      <c r="O569" s="15"/>
    </row>
    <row r="570" spans="11:15" x14ac:dyDescent="0.2">
      <c r="K570" s="15"/>
      <c r="L570" s="15"/>
      <c r="M570" s="15"/>
      <c r="N570" s="15"/>
      <c r="O570" s="15"/>
    </row>
    <row r="571" spans="11:15" x14ac:dyDescent="0.2">
      <c r="K571" s="15"/>
      <c r="L571" s="15"/>
      <c r="M571" s="15"/>
      <c r="N571" s="15"/>
      <c r="O571" s="15"/>
    </row>
    <row r="572" spans="11:15" x14ac:dyDescent="0.2">
      <c r="K572" s="15"/>
      <c r="L572" s="15"/>
      <c r="M572" s="15"/>
      <c r="N572" s="15"/>
      <c r="O572" s="15"/>
    </row>
    <row r="573" spans="11:15" x14ac:dyDescent="0.2">
      <c r="K573" s="15"/>
      <c r="L573" s="15"/>
      <c r="M573" s="15"/>
      <c r="N573" s="15"/>
      <c r="O573" s="15"/>
    </row>
    <row r="574" spans="11:15" x14ac:dyDescent="0.2">
      <c r="K574" s="15"/>
      <c r="L574" s="15"/>
      <c r="M574" s="15"/>
      <c r="N574" s="15"/>
      <c r="O574" s="15"/>
    </row>
    <row r="575" spans="11:15" x14ac:dyDescent="0.2">
      <c r="K575" s="15"/>
      <c r="L575" s="15"/>
      <c r="M575" s="15"/>
      <c r="N575" s="15"/>
      <c r="O575" s="15"/>
    </row>
    <row r="576" spans="11:15" x14ac:dyDescent="0.2">
      <c r="K576" s="15"/>
      <c r="L576" s="15"/>
      <c r="M576" s="15"/>
      <c r="N576" s="15"/>
      <c r="O576" s="15"/>
    </row>
    <row r="577" spans="11:15" x14ac:dyDescent="0.2">
      <c r="K577" s="15"/>
      <c r="L577" s="15"/>
      <c r="M577" s="15"/>
      <c r="N577" s="15"/>
      <c r="O577" s="15"/>
    </row>
    <row r="578" spans="11:15" x14ac:dyDescent="0.2">
      <c r="K578" s="15"/>
      <c r="L578" s="15"/>
      <c r="M578" s="15"/>
      <c r="N578" s="15"/>
      <c r="O578" s="15"/>
    </row>
    <row r="579" spans="11:15" x14ac:dyDescent="0.2">
      <c r="K579" s="15"/>
      <c r="L579" s="15"/>
      <c r="M579" s="15"/>
      <c r="N579" s="15"/>
      <c r="O579" s="15"/>
    </row>
    <row r="580" spans="11:15" x14ac:dyDescent="0.2">
      <c r="K580" s="15"/>
      <c r="L580" s="15"/>
      <c r="M580" s="15"/>
      <c r="N580" s="15"/>
      <c r="O580" s="15"/>
    </row>
    <row r="581" spans="11:15" x14ac:dyDescent="0.2">
      <c r="K581" s="15"/>
      <c r="L581" s="15"/>
      <c r="M581" s="15"/>
      <c r="N581" s="15"/>
      <c r="O581" s="15"/>
    </row>
    <row r="582" spans="11:15" x14ac:dyDescent="0.2">
      <c r="K582" s="15"/>
      <c r="L582" s="15"/>
      <c r="M582" s="15"/>
      <c r="N582" s="15"/>
      <c r="O582" s="15"/>
    </row>
    <row r="583" spans="11:15" x14ac:dyDescent="0.2">
      <c r="K583" s="15"/>
      <c r="L583" s="15"/>
      <c r="M583" s="15"/>
      <c r="N583" s="15"/>
      <c r="O583" s="15"/>
    </row>
    <row r="584" spans="11:15" x14ac:dyDescent="0.2">
      <c r="K584" s="15"/>
      <c r="L584" s="15"/>
      <c r="M584" s="15"/>
      <c r="N584" s="15"/>
      <c r="O584" s="15"/>
    </row>
    <row r="585" spans="11:15" x14ac:dyDescent="0.2">
      <c r="K585" s="15"/>
      <c r="L585" s="15"/>
      <c r="M585" s="15"/>
      <c r="N585" s="15"/>
      <c r="O585" s="15"/>
    </row>
    <row r="586" spans="11:15" x14ac:dyDescent="0.2">
      <c r="K586" s="15"/>
      <c r="L586" s="15"/>
      <c r="M586" s="15"/>
      <c r="N586" s="15"/>
      <c r="O586" s="15"/>
    </row>
    <row r="587" spans="11:15" x14ac:dyDescent="0.2">
      <c r="K587" s="15"/>
      <c r="L587" s="15"/>
      <c r="M587" s="15"/>
      <c r="N587" s="15"/>
      <c r="O587" s="15"/>
    </row>
    <row r="588" spans="11:15" x14ac:dyDescent="0.2">
      <c r="K588" s="15"/>
      <c r="L588" s="15"/>
      <c r="M588" s="15"/>
      <c r="N588" s="15"/>
      <c r="O588" s="15"/>
    </row>
    <row r="589" spans="11:15" x14ac:dyDescent="0.2">
      <c r="K589" s="15"/>
      <c r="L589" s="15"/>
      <c r="M589" s="15"/>
      <c r="N589" s="15"/>
      <c r="O589" s="15"/>
    </row>
    <row r="590" spans="11:15" x14ac:dyDescent="0.2">
      <c r="K590" s="15"/>
      <c r="L590" s="15"/>
      <c r="M590" s="15"/>
      <c r="N590" s="15"/>
      <c r="O590" s="15"/>
    </row>
    <row r="591" spans="11:15" x14ac:dyDescent="0.2">
      <c r="K591" s="15"/>
      <c r="L591" s="15"/>
      <c r="M591" s="15"/>
      <c r="N591" s="15"/>
      <c r="O591" s="15"/>
    </row>
    <row r="592" spans="11:15" x14ac:dyDescent="0.2">
      <c r="K592" s="15"/>
      <c r="L592" s="15"/>
      <c r="M592" s="15"/>
      <c r="N592" s="15"/>
      <c r="O592" s="15"/>
    </row>
    <row r="593" spans="11:15" x14ac:dyDescent="0.2">
      <c r="K593" s="15"/>
      <c r="L593" s="15"/>
      <c r="M593" s="15"/>
      <c r="N593" s="15"/>
      <c r="O593" s="15"/>
    </row>
    <row r="594" spans="11:15" x14ac:dyDescent="0.2">
      <c r="K594" s="15"/>
      <c r="L594" s="15"/>
      <c r="M594" s="15"/>
      <c r="N594" s="15"/>
      <c r="O594" s="15"/>
    </row>
    <row r="595" spans="11:15" x14ac:dyDescent="0.2">
      <c r="K595" s="15"/>
      <c r="L595" s="15"/>
      <c r="M595" s="15"/>
      <c r="N595" s="15"/>
      <c r="O595" s="15"/>
    </row>
    <row r="596" spans="11:15" x14ac:dyDescent="0.2">
      <c r="K596" s="15"/>
      <c r="L596" s="15"/>
      <c r="M596" s="15"/>
      <c r="N596" s="15"/>
      <c r="O596" s="15"/>
    </row>
    <row r="597" spans="11:15" x14ac:dyDescent="0.2">
      <c r="K597" s="15"/>
      <c r="L597" s="15"/>
      <c r="M597" s="15"/>
      <c r="N597" s="15"/>
      <c r="O597" s="15"/>
    </row>
    <row r="598" spans="11:15" x14ac:dyDescent="0.2">
      <c r="K598" s="15"/>
      <c r="L598" s="15"/>
      <c r="M598" s="15"/>
      <c r="N598" s="15"/>
      <c r="O598" s="15"/>
    </row>
    <row r="599" spans="11:15" x14ac:dyDescent="0.2">
      <c r="K599" s="15"/>
      <c r="L599" s="15"/>
      <c r="M599" s="15"/>
      <c r="N599" s="15"/>
      <c r="O599" s="15"/>
    </row>
    <row r="600" spans="11:15" x14ac:dyDescent="0.2">
      <c r="K600" s="15"/>
      <c r="L600" s="15"/>
      <c r="M600" s="15"/>
      <c r="N600" s="15"/>
      <c r="O600" s="15"/>
    </row>
    <row r="601" spans="11:15" x14ac:dyDescent="0.2">
      <c r="K601" s="15"/>
      <c r="L601" s="15"/>
      <c r="M601" s="15"/>
      <c r="N601" s="15"/>
      <c r="O601" s="15"/>
    </row>
    <row r="602" spans="11:15" x14ac:dyDescent="0.2">
      <c r="K602" s="15"/>
      <c r="L602" s="15"/>
      <c r="M602" s="15"/>
      <c r="N602" s="15"/>
      <c r="O602" s="15"/>
    </row>
    <row r="603" spans="11:15" x14ac:dyDescent="0.2">
      <c r="K603" s="15"/>
      <c r="L603" s="15"/>
      <c r="M603" s="15"/>
      <c r="N603" s="15"/>
      <c r="O603" s="15"/>
    </row>
    <row r="604" spans="11:15" x14ac:dyDescent="0.2">
      <c r="K604" s="15"/>
      <c r="L604" s="15"/>
      <c r="M604" s="15"/>
      <c r="N604" s="15"/>
      <c r="O604" s="15"/>
    </row>
    <row r="605" spans="11:15" x14ac:dyDescent="0.2">
      <c r="K605" s="15"/>
      <c r="L605" s="15"/>
      <c r="M605" s="15"/>
      <c r="N605" s="15"/>
      <c r="O605" s="15"/>
    </row>
    <row r="606" spans="11:15" x14ac:dyDescent="0.2">
      <c r="K606" s="15"/>
      <c r="L606" s="15"/>
      <c r="M606" s="15"/>
      <c r="N606" s="15"/>
      <c r="O606" s="15"/>
    </row>
    <row r="607" spans="11:15" x14ac:dyDescent="0.2">
      <c r="K607" s="15"/>
      <c r="L607" s="15"/>
      <c r="M607" s="15"/>
      <c r="N607" s="15"/>
      <c r="O607" s="15"/>
    </row>
    <row r="608" spans="11:15" x14ac:dyDescent="0.2">
      <c r="K608" s="15"/>
      <c r="L608" s="15"/>
      <c r="M608" s="15"/>
      <c r="N608" s="15"/>
      <c r="O608" s="15"/>
    </row>
    <row r="609" spans="11:15" x14ac:dyDescent="0.2">
      <c r="K609" s="15"/>
      <c r="L609" s="15"/>
      <c r="M609" s="15"/>
      <c r="N609" s="15"/>
      <c r="O609" s="15"/>
    </row>
    <row r="610" spans="11:15" x14ac:dyDescent="0.2">
      <c r="K610" s="15"/>
      <c r="L610" s="15"/>
      <c r="M610" s="15"/>
      <c r="N610" s="15"/>
      <c r="O610" s="15"/>
    </row>
    <row r="611" spans="11:15" x14ac:dyDescent="0.2">
      <c r="K611" s="15"/>
      <c r="L611" s="15"/>
      <c r="M611" s="15"/>
      <c r="N611" s="15"/>
      <c r="O611" s="15"/>
    </row>
    <row r="612" spans="11:15" x14ac:dyDescent="0.2">
      <c r="K612" s="15"/>
      <c r="L612" s="15"/>
      <c r="M612" s="15"/>
      <c r="N612" s="15"/>
      <c r="O612" s="15"/>
    </row>
    <row r="613" spans="11:15" x14ac:dyDescent="0.2">
      <c r="K613" s="15"/>
      <c r="L613" s="15"/>
      <c r="M613" s="15"/>
      <c r="N613" s="15"/>
      <c r="O613" s="15"/>
    </row>
    <row r="614" spans="11:15" x14ac:dyDescent="0.2">
      <c r="K614" s="15"/>
      <c r="L614" s="15"/>
      <c r="M614" s="15"/>
      <c r="N614" s="15"/>
      <c r="O614" s="15"/>
    </row>
    <row r="615" spans="11:15" x14ac:dyDescent="0.2">
      <c r="K615" s="15"/>
      <c r="L615" s="15"/>
      <c r="M615" s="15"/>
      <c r="N615" s="15"/>
      <c r="O615" s="15"/>
    </row>
    <row r="616" spans="11:15" x14ac:dyDescent="0.2">
      <c r="K616" s="15"/>
      <c r="L616" s="15"/>
      <c r="M616" s="15"/>
      <c r="N616" s="15"/>
      <c r="O616" s="15"/>
    </row>
    <row r="617" spans="11:15" x14ac:dyDescent="0.2">
      <c r="K617" s="15"/>
      <c r="L617" s="15"/>
      <c r="M617" s="15"/>
      <c r="N617" s="15"/>
      <c r="O617" s="15"/>
    </row>
    <row r="618" spans="11:15" x14ac:dyDescent="0.2">
      <c r="K618" s="15"/>
      <c r="L618" s="15"/>
      <c r="M618" s="15"/>
      <c r="N618" s="15"/>
      <c r="O618" s="15"/>
    </row>
    <row r="619" spans="11:15" x14ac:dyDescent="0.2">
      <c r="K619" s="15"/>
      <c r="L619" s="15"/>
      <c r="M619" s="15"/>
      <c r="N619" s="15"/>
      <c r="O619" s="15"/>
    </row>
    <row r="620" spans="11:15" x14ac:dyDescent="0.2">
      <c r="K620" s="15"/>
      <c r="L620" s="15"/>
      <c r="M620" s="15"/>
      <c r="N620" s="15"/>
      <c r="O620" s="15"/>
    </row>
    <row r="621" spans="11:15" x14ac:dyDescent="0.2">
      <c r="K621" s="15"/>
      <c r="L621" s="15"/>
      <c r="M621" s="15"/>
      <c r="N621" s="15"/>
      <c r="O621" s="15"/>
    </row>
    <row r="622" spans="11:15" x14ac:dyDescent="0.2">
      <c r="K622" s="15"/>
      <c r="L622" s="15"/>
      <c r="M622" s="15"/>
      <c r="N622" s="15"/>
      <c r="O622" s="15"/>
    </row>
    <row r="623" spans="11:15" x14ac:dyDescent="0.2">
      <c r="K623" s="15"/>
      <c r="L623" s="15"/>
      <c r="M623" s="15"/>
      <c r="N623" s="15"/>
      <c r="O623" s="15"/>
    </row>
    <row r="624" spans="11:15" x14ac:dyDescent="0.2">
      <c r="K624" s="15"/>
      <c r="L624" s="15"/>
      <c r="M624" s="15"/>
      <c r="N624" s="15"/>
      <c r="O624" s="15"/>
    </row>
    <row r="625" spans="11:15" x14ac:dyDescent="0.2">
      <c r="K625" s="15"/>
      <c r="L625" s="15"/>
      <c r="M625" s="15"/>
      <c r="N625" s="15"/>
      <c r="O625" s="15"/>
    </row>
    <row r="626" spans="11:15" x14ac:dyDescent="0.2">
      <c r="K626" s="15"/>
      <c r="L626" s="15"/>
      <c r="M626" s="15"/>
      <c r="N626" s="15"/>
      <c r="O626" s="15"/>
    </row>
    <row r="627" spans="11:15" x14ac:dyDescent="0.2">
      <c r="K627" s="15"/>
      <c r="L627" s="15"/>
      <c r="M627" s="15"/>
      <c r="N627" s="15"/>
      <c r="O627" s="15"/>
    </row>
    <row r="628" spans="11:15" x14ac:dyDescent="0.2">
      <c r="K628" s="15"/>
      <c r="L628" s="15"/>
      <c r="M628" s="15"/>
      <c r="N628" s="15"/>
      <c r="O628" s="15"/>
    </row>
    <row r="629" spans="11:15" x14ac:dyDescent="0.2">
      <c r="K629" s="15"/>
      <c r="L629" s="15"/>
      <c r="M629" s="15"/>
      <c r="N629" s="15"/>
      <c r="O629" s="15"/>
    </row>
    <row r="630" spans="11:15" x14ac:dyDescent="0.2">
      <c r="K630" s="15"/>
      <c r="L630" s="15"/>
      <c r="M630" s="15"/>
      <c r="N630" s="15"/>
      <c r="O630" s="15"/>
    </row>
    <row r="631" spans="11:15" x14ac:dyDescent="0.2">
      <c r="K631" s="15"/>
      <c r="L631" s="15"/>
      <c r="M631" s="15"/>
      <c r="N631" s="15"/>
      <c r="O631" s="15"/>
    </row>
    <row r="632" spans="11:15" x14ac:dyDescent="0.2">
      <c r="K632" s="15"/>
      <c r="L632" s="15"/>
      <c r="M632" s="15"/>
      <c r="N632" s="15"/>
      <c r="O632" s="15"/>
    </row>
    <row r="633" spans="11:15" x14ac:dyDescent="0.2">
      <c r="K633" s="15"/>
      <c r="L633" s="15"/>
      <c r="M633" s="15"/>
      <c r="N633" s="15"/>
      <c r="O633" s="15"/>
    </row>
    <row r="634" spans="11:15" x14ac:dyDescent="0.2">
      <c r="K634" s="15"/>
      <c r="L634" s="15"/>
      <c r="M634" s="15"/>
      <c r="N634" s="15"/>
      <c r="O634" s="15"/>
    </row>
    <row r="635" spans="11:15" x14ac:dyDescent="0.2">
      <c r="K635" s="15"/>
      <c r="L635" s="15"/>
      <c r="M635" s="15"/>
      <c r="N635" s="15"/>
      <c r="O635" s="15"/>
    </row>
    <row r="636" spans="11:15" x14ac:dyDescent="0.2">
      <c r="K636" s="15"/>
      <c r="L636" s="15"/>
      <c r="M636" s="15"/>
      <c r="N636" s="15"/>
      <c r="O636" s="15"/>
    </row>
    <row r="637" spans="11:15" x14ac:dyDescent="0.2">
      <c r="K637" s="15"/>
      <c r="L637" s="15"/>
      <c r="M637" s="15"/>
      <c r="N637" s="15"/>
      <c r="O637" s="15"/>
    </row>
    <row r="638" spans="11:15" x14ac:dyDescent="0.2">
      <c r="K638" s="15"/>
      <c r="L638" s="15"/>
      <c r="M638" s="15"/>
      <c r="N638" s="15"/>
      <c r="O638" s="15"/>
    </row>
    <row r="639" spans="11:15" x14ac:dyDescent="0.2">
      <c r="K639" s="15"/>
      <c r="L639" s="15"/>
      <c r="M639" s="15"/>
      <c r="N639" s="15"/>
      <c r="O639" s="15"/>
    </row>
    <row r="640" spans="11:15" x14ac:dyDescent="0.2">
      <c r="K640" s="15"/>
      <c r="L640" s="15"/>
      <c r="M640" s="15"/>
      <c r="N640" s="15"/>
      <c r="O640" s="15"/>
    </row>
    <row r="641" spans="11:15" x14ac:dyDescent="0.2">
      <c r="K641" s="15"/>
      <c r="L641" s="15"/>
      <c r="M641" s="15"/>
      <c r="N641" s="15"/>
      <c r="O641" s="15"/>
    </row>
    <row r="642" spans="11:15" x14ac:dyDescent="0.2">
      <c r="K642" s="15"/>
      <c r="L642" s="15"/>
      <c r="M642" s="15"/>
      <c r="N642" s="15"/>
      <c r="O642" s="15"/>
    </row>
    <row r="643" spans="11:15" x14ac:dyDescent="0.2">
      <c r="K643" s="15"/>
      <c r="L643" s="15"/>
      <c r="M643" s="15"/>
      <c r="N643" s="15"/>
      <c r="O643" s="15"/>
    </row>
    <row r="644" spans="11:15" x14ac:dyDescent="0.2">
      <c r="K644" s="15"/>
      <c r="L644" s="15"/>
      <c r="M644" s="15"/>
      <c r="N644" s="15"/>
      <c r="O644" s="15"/>
    </row>
    <row r="645" spans="11:15" x14ac:dyDescent="0.2">
      <c r="K645" s="15"/>
      <c r="L645" s="15"/>
      <c r="M645" s="15"/>
      <c r="N645" s="15"/>
      <c r="O645" s="15"/>
    </row>
    <row r="646" spans="11:15" x14ac:dyDescent="0.2">
      <c r="K646" s="15"/>
      <c r="L646" s="15"/>
      <c r="M646" s="15"/>
      <c r="N646" s="15"/>
      <c r="O646" s="15"/>
    </row>
    <row r="647" spans="11:15" x14ac:dyDescent="0.2">
      <c r="K647" s="15"/>
      <c r="L647" s="15"/>
      <c r="M647" s="15"/>
      <c r="N647" s="15"/>
      <c r="O647" s="15"/>
    </row>
    <row r="648" spans="11:15" x14ac:dyDescent="0.2">
      <c r="K648" s="15"/>
      <c r="L648" s="15"/>
      <c r="M648" s="15"/>
      <c r="N648" s="15"/>
      <c r="O648" s="15"/>
    </row>
    <row r="649" spans="11:15" x14ac:dyDescent="0.2">
      <c r="K649" s="15"/>
      <c r="L649" s="15"/>
      <c r="M649" s="15"/>
      <c r="N649" s="15"/>
      <c r="O649" s="15"/>
    </row>
    <row r="650" spans="11:15" x14ac:dyDescent="0.2">
      <c r="K650" s="15"/>
      <c r="L650" s="15"/>
      <c r="M650" s="15"/>
      <c r="N650" s="15"/>
      <c r="O650" s="15"/>
    </row>
    <row r="651" spans="11:15" x14ac:dyDescent="0.2">
      <c r="K651" s="15"/>
      <c r="L651" s="15"/>
      <c r="M651" s="15"/>
      <c r="N651" s="15"/>
      <c r="O651" s="15"/>
    </row>
    <row r="652" spans="11:15" x14ac:dyDescent="0.2">
      <c r="K652" s="15"/>
      <c r="L652" s="15"/>
      <c r="M652" s="15"/>
      <c r="N652" s="15"/>
      <c r="O652" s="15"/>
    </row>
    <row r="653" spans="11:15" x14ac:dyDescent="0.2">
      <c r="K653" s="15"/>
      <c r="L653" s="15"/>
      <c r="M653" s="15"/>
      <c r="N653" s="15"/>
      <c r="O653" s="15"/>
    </row>
    <row r="654" spans="11:15" x14ac:dyDescent="0.2">
      <c r="K654" s="15"/>
      <c r="L654" s="15"/>
      <c r="M654" s="15"/>
      <c r="N654" s="15"/>
      <c r="O654" s="15"/>
    </row>
    <row r="655" spans="11:15" x14ac:dyDescent="0.2">
      <c r="K655" s="15"/>
      <c r="L655" s="15"/>
      <c r="M655" s="15"/>
      <c r="N655" s="15"/>
      <c r="O655" s="15"/>
    </row>
    <row r="656" spans="11:15" x14ac:dyDescent="0.2">
      <c r="K656" s="15"/>
      <c r="L656" s="15"/>
      <c r="M656" s="15"/>
      <c r="N656" s="15"/>
      <c r="O656" s="15"/>
    </row>
    <row r="657" spans="11:15" x14ac:dyDescent="0.2">
      <c r="K657" s="15"/>
      <c r="L657" s="15"/>
      <c r="M657" s="15"/>
      <c r="N657" s="15"/>
      <c r="O657" s="15"/>
    </row>
    <row r="658" spans="11:15" x14ac:dyDescent="0.2">
      <c r="K658" s="15"/>
      <c r="L658" s="15"/>
      <c r="M658" s="15"/>
      <c r="N658" s="15"/>
      <c r="O658" s="15"/>
    </row>
    <row r="659" spans="11:15" x14ac:dyDescent="0.2">
      <c r="K659" s="15"/>
      <c r="L659" s="15"/>
      <c r="M659" s="15"/>
      <c r="N659" s="15"/>
      <c r="O659" s="15"/>
    </row>
    <row r="660" spans="11:15" x14ac:dyDescent="0.2">
      <c r="K660" s="15"/>
      <c r="L660" s="15"/>
      <c r="M660" s="15"/>
      <c r="N660" s="15"/>
      <c r="O660" s="15"/>
    </row>
    <row r="661" spans="11:15" x14ac:dyDescent="0.2">
      <c r="K661" s="15"/>
      <c r="L661" s="15"/>
      <c r="M661" s="15"/>
      <c r="N661" s="15"/>
      <c r="O661" s="15"/>
    </row>
    <row r="662" spans="11:15" x14ac:dyDescent="0.2">
      <c r="K662" s="15"/>
      <c r="L662" s="15"/>
      <c r="M662" s="15"/>
      <c r="N662" s="15"/>
      <c r="O662" s="15"/>
    </row>
    <row r="663" spans="11:15" x14ac:dyDescent="0.2">
      <c r="K663" s="15"/>
      <c r="L663" s="15"/>
      <c r="M663" s="15"/>
      <c r="N663" s="15"/>
      <c r="O663" s="15"/>
    </row>
    <row r="664" spans="11:15" x14ac:dyDescent="0.2">
      <c r="K664" s="15"/>
      <c r="L664" s="15"/>
      <c r="M664" s="15"/>
      <c r="N664" s="15"/>
      <c r="O664" s="15"/>
    </row>
    <row r="665" spans="11:15" x14ac:dyDescent="0.2">
      <c r="K665" s="15"/>
      <c r="L665" s="15"/>
      <c r="M665" s="15"/>
      <c r="N665" s="15"/>
      <c r="O665" s="15"/>
    </row>
    <row r="666" spans="11:15" x14ac:dyDescent="0.2">
      <c r="K666" s="15"/>
      <c r="L666" s="15"/>
      <c r="M666" s="15"/>
      <c r="N666" s="15"/>
      <c r="O666" s="15"/>
    </row>
    <row r="667" spans="11:15" x14ac:dyDescent="0.2">
      <c r="K667" s="15"/>
      <c r="L667" s="15"/>
      <c r="M667" s="15"/>
      <c r="N667" s="15"/>
      <c r="O667" s="15"/>
    </row>
    <row r="668" spans="11:15" x14ac:dyDescent="0.2">
      <c r="K668" s="15"/>
      <c r="L668" s="15"/>
      <c r="M668" s="15"/>
      <c r="N668" s="15"/>
      <c r="O668" s="15"/>
    </row>
    <row r="669" spans="11:15" x14ac:dyDescent="0.2">
      <c r="K669" s="15"/>
      <c r="L669" s="15"/>
      <c r="M669" s="15"/>
      <c r="N669" s="15"/>
      <c r="O669" s="15"/>
    </row>
    <row r="670" spans="11:15" x14ac:dyDescent="0.2">
      <c r="K670" s="15"/>
      <c r="L670" s="15"/>
      <c r="M670" s="15"/>
      <c r="N670" s="15"/>
      <c r="O670" s="15"/>
    </row>
    <row r="671" spans="11:15" x14ac:dyDescent="0.2">
      <c r="K671" s="15"/>
      <c r="L671" s="15"/>
      <c r="M671" s="15"/>
      <c r="N671" s="15"/>
      <c r="O671" s="15"/>
    </row>
    <row r="672" spans="11:15" x14ac:dyDescent="0.2">
      <c r="K672" s="15"/>
      <c r="L672" s="15"/>
      <c r="M672" s="15"/>
      <c r="N672" s="15"/>
      <c r="O672" s="15"/>
    </row>
    <row r="673" spans="11:15" x14ac:dyDescent="0.2">
      <c r="K673" s="15"/>
      <c r="L673" s="15"/>
      <c r="M673" s="15"/>
      <c r="N673" s="15"/>
      <c r="O673" s="15"/>
    </row>
    <row r="674" spans="11:15" x14ac:dyDescent="0.2">
      <c r="K674" s="15"/>
      <c r="L674" s="15"/>
      <c r="M674" s="15"/>
      <c r="N674" s="15"/>
      <c r="O674" s="15"/>
    </row>
    <row r="675" spans="11:15" x14ac:dyDescent="0.2">
      <c r="K675" s="15"/>
      <c r="L675" s="15"/>
      <c r="M675" s="15"/>
      <c r="N675" s="15"/>
      <c r="O675" s="15"/>
    </row>
    <row r="676" spans="11:15" x14ac:dyDescent="0.2">
      <c r="K676" s="15"/>
      <c r="L676" s="15"/>
      <c r="M676" s="15"/>
      <c r="N676" s="15"/>
      <c r="O676" s="15"/>
    </row>
    <row r="677" spans="11:15" x14ac:dyDescent="0.2">
      <c r="K677" s="15"/>
      <c r="L677" s="15"/>
      <c r="M677" s="15"/>
      <c r="N677" s="15"/>
      <c r="O677" s="15"/>
    </row>
    <row r="678" spans="11:15" x14ac:dyDescent="0.2">
      <c r="K678" s="15"/>
      <c r="L678" s="15"/>
      <c r="M678" s="15"/>
      <c r="N678" s="15"/>
      <c r="O678" s="15"/>
    </row>
    <row r="679" spans="11:15" x14ac:dyDescent="0.2">
      <c r="K679" s="15"/>
      <c r="L679" s="15"/>
      <c r="M679" s="15"/>
      <c r="N679" s="15"/>
      <c r="O679" s="15"/>
    </row>
    <row r="680" spans="11:15" x14ac:dyDescent="0.2">
      <c r="K680" s="15"/>
      <c r="L680" s="15"/>
      <c r="M680" s="15"/>
      <c r="N680" s="15"/>
      <c r="O680" s="15"/>
    </row>
    <row r="681" spans="11:15" x14ac:dyDescent="0.2">
      <c r="K681" s="15"/>
      <c r="L681" s="15"/>
      <c r="M681" s="15"/>
      <c r="N681" s="15"/>
      <c r="O681" s="15"/>
    </row>
    <row r="682" spans="11:15" x14ac:dyDescent="0.2">
      <c r="K682" s="15"/>
      <c r="L682" s="15"/>
      <c r="M682" s="15"/>
      <c r="N682" s="15"/>
      <c r="O682" s="15"/>
    </row>
    <row r="683" spans="11:15" x14ac:dyDescent="0.2">
      <c r="K683" s="15"/>
      <c r="L683" s="15"/>
      <c r="M683" s="15"/>
      <c r="N683" s="15"/>
      <c r="O683" s="15"/>
    </row>
    <row r="684" spans="11:15" x14ac:dyDescent="0.2">
      <c r="K684" s="15"/>
      <c r="L684" s="15"/>
      <c r="M684" s="15"/>
      <c r="N684" s="15"/>
      <c r="O684" s="15"/>
    </row>
    <row r="685" spans="11:15" x14ac:dyDescent="0.2">
      <c r="K685" s="15"/>
      <c r="L685" s="15"/>
      <c r="M685" s="15"/>
      <c r="N685" s="15"/>
      <c r="O685" s="15"/>
    </row>
    <row r="686" spans="11:15" x14ac:dyDescent="0.2">
      <c r="K686" s="15"/>
      <c r="L686" s="15"/>
      <c r="M686" s="15"/>
      <c r="N686" s="15"/>
      <c r="O686" s="15"/>
    </row>
    <row r="687" spans="11:15" x14ac:dyDescent="0.2">
      <c r="K687" s="15"/>
      <c r="L687" s="15"/>
      <c r="M687" s="15"/>
      <c r="N687" s="15"/>
      <c r="O687" s="15"/>
    </row>
    <row r="688" spans="11:15" x14ac:dyDescent="0.2">
      <c r="K688" s="15"/>
      <c r="L688" s="15"/>
      <c r="M688" s="15"/>
      <c r="N688" s="15"/>
      <c r="O688" s="15"/>
    </row>
    <row r="689" spans="11:15" x14ac:dyDescent="0.2">
      <c r="K689" s="15"/>
      <c r="L689" s="15"/>
      <c r="M689" s="15"/>
      <c r="N689" s="15"/>
      <c r="O689" s="15"/>
    </row>
    <row r="690" spans="11:15" x14ac:dyDescent="0.2">
      <c r="K690" s="15"/>
      <c r="L690" s="15"/>
      <c r="M690" s="15"/>
      <c r="N690" s="15"/>
      <c r="O690" s="15"/>
    </row>
    <row r="691" spans="11:15" x14ac:dyDescent="0.2">
      <c r="K691" s="15"/>
      <c r="L691" s="15"/>
      <c r="M691" s="15"/>
      <c r="N691" s="15"/>
      <c r="O691" s="15"/>
    </row>
    <row r="692" spans="11:15" x14ac:dyDescent="0.2">
      <c r="K692" s="15"/>
      <c r="L692" s="15"/>
      <c r="M692" s="15"/>
      <c r="N692" s="15"/>
      <c r="O692" s="15"/>
    </row>
    <row r="693" spans="11:15" x14ac:dyDescent="0.2">
      <c r="K693" s="15"/>
      <c r="L693" s="15"/>
      <c r="M693" s="15"/>
      <c r="N693" s="15"/>
      <c r="O693" s="15"/>
    </row>
    <row r="694" spans="11:15" x14ac:dyDescent="0.2">
      <c r="K694" s="15"/>
      <c r="L694" s="15"/>
      <c r="M694" s="15"/>
      <c r="N694" s="15"/>
      <c r="O694" s="15"/>
    </row>
    <row r="695" spans="11:15" x14ac:dyDescent="0.2">
      <c r="K695" s="15"/>
      <c r="L695" s="15"/>
      <c r="M695" s="15"/>
      <c r="N695" s="15"/>
      <c r="O695" s="15"/>
    </row>
    <row r="696" spans="11:15" x14ac:dyDescent="0.2">
      <c r="K696" s="15"/>
      <c r="L696" s="15"/>
      <c r="M696" s="15"/>
      <c r="N696" s="15"/>
      <c r="O696" s="15"/>
    </row>
    <row r="697" spans="11:15" x14ac:dyDescent="0.2">
      <c r="K697" s="15"/>
      <c r="L697" s="15"/>
      <c r="M697" s="15"/>
      <c r="N697" s="15"/>
      <c r="O697" s="15"/>
    </row>
    <row r="698" spans="11:15" x14ac:dyDescent="0.2">
      <c r="K698" s="15"/>
      <c r="L698" s="15"/>
      <c r="M698" s="15"/>
      <c r="N698" s="15"/>
      <c r="O698" s="15"/>
    </row>
    <row r="699" spans="11:15" x14ac:dyDescent="0.2">
      <c r="K699" s="15"/>
      <c r="L699" s="15"/>
      <c r="M699" s="15"/>
      <c r="N699" s="15"/>
      <c r="O699" s="15"/>
    </row>
    <row r="700" spans="11:15" x14ac:dyDescent="0.2">
      <c r="K700" s="15"/>
      <c r="L700" s="15"/>
      <c r="M700" s="15"/>
      <c r="N700" s="15"/>
      <c r="O700" s="15"/>
    </row>
    <row r="701" spans="11:15" x14ac:dyDescent="0.2">
      <c r="K701" s="15"/>
      <c r="L701" s="15"/>
      <c r="M701" s="15"/>
      <c r="N701" s="15"/>
      <c r="O701" s="15"/>
    </row>
    <row r="702" spans="11:15" x14ac:dyDescent="0.2">
      <c r="K702" s="15"/>
      <c r="L702" s="15"/>
      <c r="M702" s="15"/>
      <c r="N702" s="15"/>
      <c r="O702" s="15"/>
    </row>
    <row r="703" spans="11:15" x14ac:dyDescent="0.2">
      <c r="K703" s="15"/>
      <c r="L703" s="15"/>
      <c r="M703" s="15"/>
      <c r="N703" s="15"/>
      <c r="O703" s="15"/>
    </row>
    <row r="704" spans="11:15" x14ac:dyDescent="0.2">
      <c r="K704" s="15"/>
      <c r="L704" s="15"/>
      <c r="M704" s="15"/>
      <c r="N704" s="15"/>
      <c r="O704" s="15"/>
    </row>
    <row r="705" spans="11:15" x14ac:dyDescent="0.2">
      <c r="K705" s="15"/>
      <c r="L705" s="15"/>
      <c r="M705" s="15"/>
      <c r="N705" s="15"/>
      <c r="O705" s="15"/>
    </row>
    <row r="706" spans="11:15" x14ac:dyDescent="0.2">
      <c r="K706" s="15"/>
      <c r="L706" s="15"/>
      <c r="M706" s="15"/>
      <c r="N706" s="15"/>
      <c r="O706" s="15"/>
    </row>
    <row r="707" spans="11:15" x14ac:dyDescent="0.2">
      <c r="K707" s="15"/>
      <c r="L707" s="15"/>
      <c r="M707" s="15"/>
      <c r="N707" s="15"/>
      <c r="O707" s="15"/>
    </row>
    <row r="708" spans="11:15" x14ac:dyDescent="0.2">
      <c r="K708" s="15"/>
      <c r="L708" s="15"/>
      <c r="M708" s="15"/>
      <c r="N708" s="15"/>
      <c r="O708" s="15"/>
    </row>
    <row r="709" spans="11:15" x14ac:dyDescent="0.2">
      <c r="K709" s="15"/>
      <c r="L709" s="15"/>
      <c r="M709" s="15"/>
      <c r="N709" s="15"/>
      <c r="O709" s="15"/>
    </row>
    <row r="710" spans="11:15" x14ac:dyDescent="0.2">
      <c r="K710" s="15"/>
      <c r="L710" s="15"/>
      <c r="M710" s="15"/>
      <c r="N710" s="15"/>
      <c r="O710" s="15"/>
    </row>
    <row r="711" spans="11:15" x14ac:dyDescent="0.2">
      <c r="K711" s="15"/>
      <c r="L711" s="15"/>
      <c r="M711" s="15"/>
      <c r="N711" s="15"/>
      <c r="O711" s="15"/>
    </row>
    <row r="712" spans="11:15" x14ac:dyDescent="0.2">
      <c r="K712" s="15"/>
      <c r="L712" s="15"/>
      <c r="M712" s="15"/>
      <c r="N712" s="15"/>
      <c r="O712" s="15"/>
    </row>
    <row r="713" spans="11:15" x14ac:dyDescent="0.2">
      <c r="K713" s="15"/>
      <c r="L713" s="15"/>
      <c r="M713" s="15"/>
      <c r="N713" s="15"/>
      <c r="O713" s="15"/>
    </row>
    <row r="714" spans="11:15" x14ac:dyDescent="0.2">
      <c r="K714" s="15"/>
      <c r="L714" s="15"/>
      <c r="M714" s="15"/>
      <c r="N714" s="15"/>
      <c r="O714" s="15"/>
    </row>
    <row r="715" spans="11:15" x14ac:dyDescent="0.2">
      <c r="K715" s="15"/>
      <c r="L715" s="15"/>
      <c r="M715" s="15"/>
      <c r="N715" s="15"/>
      <c r="O715" s="15"/>
    </row>
    <row r="716" spans="11:15" x14ac:dyDescent="0.2">
      <c r="K716" s="15"/>
      <c r="L716" s="15"/>
      <c r="M716" s="15"/>
      <c r="N716" s="15"/>
      <c r="O716" s="15"/>
    </row>
    <row r="717" spans="11:15" x14ac:dyDescent="0.2">
      <c r="K717" s="15"/>
      <c r="L717" s="15"/>
      <c r="M717" s="15"/>
      <c r="N717" s="15"/>
      <c r="O717" s="15"/>
    </row>
    <row r="718" spans="11:15" x14ac:dyDescent="0.2">
      <c r="K718" s="15"/>
      <c r="L718" s="15"/>
      <c r="M718" s="15"/>
      <c r="N718" s="15"/>
      <c r="O718" s="15"/>
    </row>
    <row r="719" spans="11:15" x14ac:dyDescent="0.2">
      <c r="K719" s="15"/>
      <c r="L719" s="15"/>
      <c r="M719" s="15"/>
      <c r="N719" s="15"/>
      <c r="O719" s="15"/>
    </row>
    <row r="720" spans="11:15" x14ac:dyDescent="0.2">
      <c r="K720" s="15"/>
      <c r="L720" s="15"/>
      <c r="M720" s="15"/>
      <c r="N720" s="15"/>
      <c r="O720" s="15"/>
    </row>
    <row r="721" spans="11:15" x14ac:dyDescent="0.2">
      <c r="K721" s="15"/>
      <c r="L721" s="15"/>
      <c r="M721" s="15"/>
      <c r="N721" s="15"/>
      <c r="O721" s="15"/>
    </row>
    <row r="722" spans="11:15" x14ac:dyDescent="0.2">
      <c r="K722" s="15"/>
      <c r="L722" s="15"/>
      <c r="M722" s="15"/>
      <c r="N722" s="15"/>
      <c r="O722" s="15"/>
    </row>
    <row r="723" spans="11:15" x14ac:dyDescent="0.2">
      <c r="K723" s="15"/>
      <c r="L723" s="15"/>
      <c r="M723" s="15"/>
      <c r="N723" s="15"/>
      <c r="O723" s="15"/>
    </row>
    <row r="724" spans="11:15" x14ac:dyDescent="0.2">
      <c r="K724" s="15"/>
      <c r="L724" s="15"/>
      <c r="M724" s="15"/>
      <c r="N724" s="15"/>
      <c r="O724" s="15"/>
    </row>
    <row r="725" spans="11:15" x14ac:dyDescent="0.2">
      <c r="K725" s="15"/>
      <c r="L725" s="15"/>
      <c r="M725" s="15"/>
      <c r="N725" s="15"/>
      <c r="O725" s="15"/>
    </row>
    <row r="726" spans="11:15" x14ac:dyDescent="0.2">
      <c r="K726" s="15"/>
      <c r="L726" s="15"/>
      <c r="M726" s="15"/>
      <c r="N726" s="15"/>
      <c r="O726" s="15"/>
    </row>
    <row r="727" spans="11:15" x14ac:dyDescent="0.2">
      <c r="K727" s="15"/>
      <c r="L727" s="15"/>
      <c r="M727" s="15"/>
      <c r="N727" s="15"/>
      <c r="O727" s="15"/>
    </row>
    <row r="728" spans="11:15" x14ac:dyDescent="0.2">
      <c r="K728" s="15"/>
      <c r="L728" s="15"/>
      <c r="M728" s="15"/>
      <c r="N728" s="15"/>
      <c r="O728" s="15"/>
    </row>
    <row r="729" spans="11:15" x14ac:dyDescent="0.2">
      <c r="K729" s="15"/>
      <c r="L729" s="15"/>
      <c r="M729" s="15"/>
      <c r="N729" s="15"/>
      <c r="O729" s="15"/>
    </row>
    <row r="730" spans="11:15" x14ac:dyDescent="0.2">
      <c r="K730" s="15"/>
      <c r="L730" s="15"/>
      <c r="M730" s="15"/>
      <c r="N730" s="15"/>
      <c r="O730" s="15"/>
    </row>
    <row r="731" spans="11:15" x14ac:dyDescent="0.2">
      <c r="K731" s="15"/>
      <c r="L731" s="15"/>
      <c r="M731" s="15"/>
      <c r="N731" s="15"/>
      <c r="O731" s="15"/>
    </row>
    <row r="732" spans="11:15" x14ac:dyDescent="0.2">
      <c r="K732" s="15"/>
      <c r="L732" s="15"/>
      <c r="M732" s="15"/>
      <c r="N732" s="15"/>
      <c r="O732" s="15"/>
    </row>
    <row r="733" spans="11:15" x14ac:dyDescent="0.2">
      <c r="K733" s="15"/>
      <c r="L733" s="15"/>
      <c r="M733" s="15"/>
      <c r="N733" s="15"/>
      <c r="O733" s="15"/>
    </row>
    <row r="734" spans="11:15" x14ac:dyDescent="0.2">
      <c r="K734" s="15"/>
      <c r="L734" s="15"/>
      <c r="M734" s="15"/>
      <c r="N734" s="15"/>
      <c r="O734" s="15"/>
    </row>
    <row r="735" spans="11:15" x14ac:dyDescent="0.2">
      <c r="K735" s="15"/>
      <c r="L735" s="15"/>
      <c r="M735" s="15"/>
      <c r="N735" s="15"/>
      <c r="O735" s="15"/>
    </row>
    <row r="736" spans="11:15" x14ac:dyDescent="0.2">
      <c r="K736" s="15"/>
      <c r="L736" s="15"/>
      <c r="M736" s="15"/>
      <c r="N736" s="15"/>
      <c r="O736" s="15"/>
    </row>
    <row r="737" spans="11:15" x14ac:dyDescent="0.2">
      <c r="K737" s="15"/>
      <c r="L737" s="15"/>
      <c r="M737" s="15"/>
      <c r="N737" s="15"/>
      <c r="O737" s="15"/>
    </row>
    <row r="738" spans="11:15" x14ac:dyDescent="0.2">
      <c r="K738" s="15"/>
      <c r="L738" s="15"/>
      <c r="M738" s="15"/>
      <c r="N738" s="15"/>
      <c r="O738" s="15"/>
    </row>
    <row r="739" spans="11:15" x14ac:dyDescent="0.2">
      <c r="K739" s="15"/>
      <c r="L739" s="15"/>
      <c r="M739" s="15"/>
      <c r="N739" s="15"/>
      <c r="O739" s="15"/>
    </row>
    <row r="740" spans="11:15" x14ac:dyDescent="0.2">
      <c r="K740" s="15"/>
      <c r="L740" s="15"/>
      <c r="M740" s="15"/>
      <c r="N740" s="15"/>
      <c r="O740" s="15"/>
    </row>
    <row r="741" spans="11:15" x14ac:dyDescent="0.2">
      <c r="K741" s="15"/>
      <c r="L741" s="15"/>
      <c r="M741" s="15"/>
      <c r="N741" s="15"/>
      <c r="O741" s="15"/>
    </row>
    <row r="742" spans="11:15" x14ac:dyDescent="0.2">
      <c r="K742" s="15"/>
      <c r="L742" s="15"/>
      <c r="M742" s="15"/>
      <c r="N742" s="15"/>
      <c r="O742" s="15"/>
    </row>
    <row r="743" spans="11:15" x14ac:dyDescent="0.2">
      <c r="K743" s="15"/>
      <c r="L743" s="15"/>
      <c r="M743" s="15"/>
      <c r="N743" s="15"/>
      <c r="O743" s="15"/>
    </row>
    <row r="744" spans="11:15" x14ac:dyDescent="0.2">
      <c r="K744" s="15"/>
      <c r="L744" s="15"/>
      <c r="M744" s="15"/>
      <c r="N744" s="15"/>
      <c r="O744" s="15"/>
    </row>
    <row r="745" spans="11:15" x14ac:dyDescent="0.2">
      <c r="K745" s="15"/>
      <c r="L745" s="15"/>
      <c r="M745" s="15"/>
      <c r="N745" s="15"/>
      <c r="O745" s="15"/>
    </row>
    <row r="746" spans="11:15" x14ac:dyDescent="0.2">
      <c r="K746" s="15"/>
      <c r="L746" s="15"/>
      <c r="M746" s="15"/>
      <c r="N746" s="15"/>
      <c r="O746" s="15"/>
    </row>
    <row r="747" spans="11:15" x14ac:dyDescent="0.2">
      <c r="K747" s="15"/>
      <c r="L747" s="15"/>
      <c r="M747" s="15"/>
      <c r="N747" s="15"/>
      <c r="O747" s="15"/>
    </row>
    <row r="748" spans="11:15" x14ac:dyDescent="0.2">
      <c r="K748" s="15"/>
      <c r="L748" s="15"/>
      <c r="M748" s="15"/>
      <c r="N748" s="15"/>
      <c r="O748" s="15"/>
    </row>
    <row r="749" spans="11:15" x14ac:dyDescent="0.2">
      <c r="K749" s="15"/>
      <c r="L749" s="15"/>
      <c r="M749" s="15"/>
      <c r="N749" s="15"/>
      <c r="O749" s="15"/>
    </row>
    <row r="750" spans="11:15" x14ac:dyDescent="0.2">
      <c r="K750" s="15"/>
      <c r="L750" s="15"/>
      <c r="M750" s="15"/>
      <c r="N750" s="15"/>
      <c r="O750" s="15"/>
    </row>
    <row r="751" spans="11:15" x14ac:dyDescent="0.2">
      <c r="K751" s="15"/>
      <c r="L751" s="15"/>
      <c r="M751" s="15"/>
      <c r="N751" s="15"/>
      <c r="O751" s="15"/>
    </row>
    <row r="752" spans="11:15" x14ac:dyDescent="0.2">
      <c r="K752" s="15"/>
      <c r="L752" s="15"/>
      <c r="M752" s="15"/>
      <c r="N752" s="15"/>
      <c r="O752" s="15"/>
    </row>
    <row r="753" spans="11:15" x14ac:dyDescent="0.2">
      <c r="K753" s="15"/>
      <c r="L753" s="15"/>
      <c r="M753" s="15"/>
      <c r="N753" s="15"/>
      <c r="O753" s="15"/>
    </row>
    <row r="754" spans="11:15" x14ac:dyDescent="0.2">
      <c r="K754" s="15"/>
      <c r="L754" s="15"/>
      <c r="M754" s="15"/>
      <c r="N754" s="15"/>
      <c r="O754" s="15"/>
    </row>
    <row r="755" spans="11:15" x14ac:dyDescent="0.2">
      <c r="K755" s="15"/>
      <c r="L755" s="15"/>
      <c r="M755" s="15"/>
      <c r="N755" s="15"/>
      <c r="O755" s="15"/>
    </row>
    <row r="756" spans="11:15" x14ac:dyDescent="0.2">
      <c r="K756" s="15"/>
      <c r="L756" s="15"/>
      <c r="M756" s="15"/>
      <c r="N756" s="15"/>
      <c r="O756" s="15"/>
    </row>
    <row r="757" spans="11:15" x14ac:dyDescent="0.2">
      <c r="K757" s="15"/>
      <c r="L757" s="15"/>
      <c r="M757" s="15"/>
      <c r="N757" s="15"/>
      <c r="O757" s="15"/>
    </row>
    <row r="758" spans="11:15" x14ac:dyDescent="0.2">
      <c r="K758" s="15"/>
      <c r="L758" s="15"/>
      <c r="M758" s="15"/>
      <c r="N758" s="15"/>
      <c r="O758" s="15"/>
    </row>
    <row r="759" spans="11:15" x14ac:dyDescent="0.2">
      <c r="K759" s="15"/>
      <c r="L759" s="15"/>
      <c r="M759" s="15"/>
      <c r="N759" s="15"/>
      <c r="O759" s="15"/>
    </row>
    <row r="760" spans="11:15" x14ac:dyDescent="0.2">
      <c r="K760" s="15"/>
      <c r="L760" s="15"/>
      <c r="M760" s="15"/>
      <c r="N760" s="15"/>
      <c r="O760" s="15"/>
    </row>
    <row r="761" spans="11:15" x14ac:dyDescent="0.2">
      <c r="K761" s="15"/>
      <c r="L761" s="15"/>
      <c r="M761" s="15"/>
      <c r="N761" s="15"/>
      <c r="O761" s="15"/>
    </row>
    <row r="762" spans="11:15" x14ac:dyDescent="0.2">
      <c r="K762" s="15"/>
      <c r="L762" s="15"/>
      <c r="M762" s="15"/>
      <c r="N762" s="15"/>
      <c r="O762" s="15"/>
    </row>
    <row r="763" spans="11:15" x14ac:dyDescent="0.2">
      <c r="K763" s="15"/>
      <c r="L763" s="15"/>
      <c r="M763" s="15"/>
      <c r="N763" s="15"/>
      <c r="O763" s="15"/>
    </row>
    <row r="764" spans="11:15" x14ac:dyDescent="0.2">
      <c r="K764" s="15"/>
      <c r="L764" s="15"/>
      <c r="M764" s="15"/>
      <c r="N764" s="15"/>
      <c r="O764" s="15"/>
    </row>
    <row r="765" spans="11:15" x14ac:dyDescent="0.2">
      <c r="K765" s="15"/>
      <c r="L765" s="15"/>
      <c r="M765" s="15"/>
      <c r="N765" s="15"/>
      <c r="O765" s="15"/>
    </row>
    <row r="766" spans="11:15" x14ac:dyDescent="0.2">
      <c r="K766" s="15"/>
      <c r="L766" s="15"/>
      <c r="M766" s="15"/>
      <c r="N766" s="15"/>
      <c r="O766" s="15"/>
    </row>
    <row r="767" spans="11:15" x14ac:dyDescent="0.2">
      <c r="K767" s="15"/>
      <c r="L767" s="15"/>
      <c r="M767" s="15"/>
      <c r="N767" s="15"/>
      <c r="O767" s="15"/>
    </row>
    <row r="768" spans="11:15" x14ac:dyDescent="0.2">
      <c r="K768" s="15"/>
      <c r="L768" s="15"/>
      <c r="M768" s="15"/>
      <c r="N768" s="15"/>
      <c r="O768" s="15"/>
    </row>
    <row r="769" spans="11:15" x14ac:dyDescent="0.2">
      <c r="K769" s="15"/>
      <c r="L769" s="15"/>
      <c r="M769" s="15"/>
      <c r="N769" s="15"/>
      <c r="O769" s="15"/>
    </row>
    <row r="770" spans="11:15" x14ac:dyDescent="0.2">
      <c r="K770" s="15"/>
      <c r="L770" s="15"/>
      <c r="M770" s="15"/>
      <c r="N770" s="15"/>
      <c r="O770" s="15"/>
    </row>
    <row r="771" spans="11:15" x14ac:dyDescent="0.2">
      <c r="K771" s="15"/>
      <c r="L771" s="15"/>
      <c r="M771" s="15"/>
      <c r="N771" s="15"/>
      <c r="O771" s="15"/>
    </row>
    <row r="772" spans="11:15" x14ac:dyDescent="0.2">
      <c r="K772" s="15"/>
      <c r="L772" s="15"/>
      <c r="M772" s="15"/>
      <c r="N772" s="15"/>
      <c r="O772" s="15"/>
    </row>
    <row r="773" spans="11:15" x14ac:dyDescent="0.2">
      <c r="K773" s="15"/>
      <c r="L773" s="15"/>
      <c r="M773" s="15"/>
      <c r="N773" s="15"/>
      <c r="O773" s="15"/>
    </row>
    <row r="774" spans="11:15" x14ac:dyDescent="0.2">
      <c r="K774" s="15"/>
      <c r="L774" s="15"/>
      <c r="M774" s="15"/>
      <c r="N774" s="15"/>
      <c r="O774" s="15"/>
    </row>
    <row r="775" spans="11:15" x14ac:dyDescent="0.2">
      <c r="K775" s="15"/>
      <c r="L775" s="15"/>
      <c r="M775" s="15"/>
      <c r="N775" s="15"/>
      <c r="O775" s="15"/>
    </row>
    <row r="776" spans="11:15" x14ac:dyDescent="0.2">
      <c r="K776" s="15"/>
      <c r="L776" s="15"/>
      <c r="M776" s="15"/>
      <c r="N776" s="15"/>
      <c r="O776" s="15"/>
    </row>
    <row r="777" spans="11:15" x14ac:dyDescent="0.2">
      <c r="K777" s="15"/>
      <c r="L777" s="15"/>
      <c r="M777" s="15"/>
      <c r="N777" s="15"/>
      <c r="O777" s="15"/>
    </row>
    <row r="778" spans="11:15" x14ac:dyDescent="0.2">
      <c r="K778" s="15"/>
      <c r="L778" s="15"/>
      <c r="M778" s="15"/>
      <c r="N778" s="15"/>
      <c r="O778" s="15"/>
    </row>
    <row r="779" spans="11:15" x14ac:dyDescent="0.2">
      <c r="K779" s="15"/>
      <c r="L779" s="15"/>
      <c r="M779" s="15"/>
      <c r="N779" s="15"/>
      <c r="O779" s="15"/>
    </row>
    <row r="780" spans="11:15" x14ac:dyDescent="0.2">
      <c r="K780" s="15"/>
      <c r="L780" s="15"/>
      <c r="M780" s="15"/>
      <c r="N780" s="15"/>
      <c r="O780" s="15"/>
    </row>
    <row r="781" spans="11:15" x14ac:dyDescent="0.2">
      <c r="K781" s="15"/>
      <c r="L781" s="15"/>
      <c r="M781" s="15"/>
      <c r="N781" s="15"/>
      <c r="O781" s="15"/>
    </row>
    <row r="782" spans="11:15" x14ac:dyDescent="0.2">
      <c r="K782" s="15"/>
      <c r="L782" s="15"/>
      <c r="M782" s="15"/>
      <c r="N782" s="15"/>
      <c r="O782" s="15"/>
    </row>
    <row r="783" spans="11:15" x14ac:dyDescent="0.2">
      <c r="K783" s="15"/>
      <c r="L783" s="15"/>
      <c r="M783" s="15"/>
      <c r="N783" s="15"/>
      <c r="O783" s="15"/>
    </row>
    <row r="784" spans="11:15" x14ac:dyDescent="0.2">
      <c r="K784" s="15"/>
      <c r="L784" s="15"/>
      <c r="M784" s="15"/>
      <c r="N784" s="15"/>
      <c r="O784" s="15"/>
    </row>
    <row r="785" spans="11:15" x14ac:dyDescent="0.2">
      <c r="K785" s="15"/>
      <c r="L785" s="15"/>
      <c r="M785" s="15"/>
      <c r="N785" s="15"/>
      <c r="O785" s="15"/>
    </row>
    <row r="786" spans="11:15" x14ac:dyDescent="0.2">
      <c r="K786" s="15"/>
      <c r="L786" s="15"/>
      <c r="M786" s="15"/>
      <c r="N786" s="15"/>
      <c r="O786" s="15"/>
    </row>
    <row r="787" spans="11:15" x14ac:dyDescent="0.2">
      <c r="K787" s="15"/>
      <c r="L787" s="15"/>
      <c r="M787" s="15"/>
      <c r="N787" s="15"/>
      <c r="O787" s="15"/>
    </row>
    <row r="788" spans="11:15" x14ac:dyDescent="0.2">
      <c r="K788" s="15"/>
      <c r="L788" s="15"/>
      <c r="M788" s="15"/>
      <c r="N788" s="15"/>
      <c r="O788" s="15"/>
    </row>
    <row r="789" spans="11:15" x14ac:dyDescent="0.2">
      <c r="K789" s="15"/>
      <c r="L789" s="15"/>
      <c r="M789" s="15"/>
      <c r="N789" s="15"/>
      <c r="O789" s="15"/>
    </row>
    <row r="790" spans="11:15" x14ac:dyDescent="0.2">
      <c r="K790" s="15"/>
      <c r="L790" s="15"/>
      <c r="M790" s="15"/>
      <c r="N790" s="15"/>
      <c r="O790" s="15"/>
    </row>
    <row r="791" spans="11:15" x14ac:dyDescent="0.2">
      <c r="K791" s="15"/>
      <c r="L791" s="15"/>
      <c r="M791" s="15"/>
      <c r="N791" s="15"/>
      <c r="O791" s="15"/>
    </row>
    <row r="792" spans="11:15" x14ac:dyDescent="0.2">
      <c r="K792" s="15"/>
      <c r="L792" s="15"/>
      <c r="M792" s="15"/>
      <c r="N792" s="15"/>
      <c r="O792" s="15"/>
    </row>
    <row r="793" spans="11:15" x14ac:dyDescent="0.2">
      <c r="K793" s="15"/>
      <c r="L793" s="15"/>
      <c r="M793" s="15"/>
      <c r="N793" s="15"/>
      <c r="O793" s="15"/>
    </row>
    <row r="794" spans="11:15" x14ac:dyDescent="0.2">
      <c r="K794" s="15"/>
      <c r="L794" s="15"/>
      <c r="M794" s="15"/>
      <c r="N794" s="15"/>
      <c r="O794" s="15"/>
    </row>
    <row r="795" spans="11:15" x14ac:dyDescent="0.2">
      <c r="K795" s="15"/>
      <c r="L795" s="15"/>
      <c r="M795" s="15"/>
      <c r="N795" s="15"/>
      <c r="O795" s="15"/>
    </row>
    <row r="796" spans="11:15" x14ac:dyDescent="0.2">
      <c r="K796" s="15"/>
      <c r="L796" s="15"/>
      <c r="M796" s="15"/>
      <c r="N796" s="15"/>
      <c r="O796" s="15"/>
    </row>
    <row r="797" spans="11:15" x14ac:dyDescent="0.2">
      <c r="K797" s="15"/>
      <c r="L797" s="15"/>
      <c r="M797" s="15"/>
      <c r="N797" s="15"/>
      <c r="O797" s="15"/>
    </row>
    <row r="798" spans="11:15" x14ac:dyDescent="0.2">
      <c r="K798" s="15"/>
      <c r="L798" s="15"/>
      <c r="M798" s="15"/>
      <c r="N798" s="15"/>
      <c r="O798" s="15"/>
    </row>
    <row r="799" spans="11:15" x14ac:dyDescent="0.2">
      <c r="K799" s="15"/>
      <c r="L799" s="15"/>
      <c r="M799" s="15"/>
      <c r="N799" s="15"/>
      <c r="O799" s="15"/>
    </row>
    <row r="800" spans="11:15" x14ac:dyDescent="0.2">
      <c r="K800" s="15"/>
      <c r="L800" s="15"/>
      <c r="M800" s="15"/>
      <c r="N800" s="15"/>
      <c r="O800" s="15"/>
    </row>
    <row r="801" spans="11:15" x14ac:dyDescent="0.2">
      <c r="K801" s="15"/>
      <c r="L801" s="15"/>
      <c r="M801" s="15"/>
      <c r="N801" s="15"/>
      <c r="O801" s="15"/>
    </row>
    <row r="802" spans="11:15" x14ac:dyDescent="0.2">
      <c r="K802" s="15"/>
      <c r="L802" s="15"/>
      <c r="M802" s="15"/>
      <c r="N802" s="15"/>
      <c r="O802" s="15"/>
    </row>
    <row r="803" spans="11:15" x14ac:dyDescent="0.2">
      <c r="K803" s="15"/>
      <c r="L803" s="15"/>
      <c r="M803" s="15"/>
      <c r="N803" s="15"/>
      <c r="O803" s="15"/>
    </row>
    <row r="804" spans="11:15" x14ac:dyDescent="0.2">
      <c r="K804" s="15"/>
      <c r="L804" s="15"/>
      <c r="M804" s="15"/>
      <c r="N804" s="15"/>
      <c r="O804" s="15"/>
    </row>
    <row r="805" spans="11:15" x14ac:dyDescent="0.2">
      <c r="K805" s="15"/>
      <c r="L805" s="15"/>
      <c r="M805" s="15"/>
      <c r="N805" s="15"/>
      <c r="O805" s="15"/>
    </row>
    <row r="806" spans="11:15" x14ac:dyDescent="0.2">
      <c r="K806" s="15"/>
      <c r="L806" s="15"/>
      <c r="M806" s="15"/>
      <c r="N806" s="15"/>
      <c r="O806" s="15"/>
    </row>
    <row r="807" spans="11:15" x14ac:dyDescent="0.2">
      <c r="K807" s="15"/>
      <c r="L807" s="15"/>
      <c r="M807" s="15"/>
      <c r="N807" s="15"/>
      <c r="O807" s="15"/>
    </row>
    <row r="808" spans="11:15" x14ac:dyDescent="0.2">
      <c r="K808" s="15"/>
      <c r="L808" s="15"/>
      <c r="M808" s="15"/>
      <c r="N808" s="15"/>
      <c r="O808" s="15"/>
    </row>
    <row r="809" spans="11:15" x14ac:dyDescent="0.2">
      <c r="K809" s="15"/>
      <c r="L809" s="15"/>
      <c r="M809" s="15"/>
      <c r="N809" s="15"/>
      <c r="O809" s="15"/>
    </row>
    <row r="810" spans="11:15" x14ac:dyDescent="0.2">
      <c r="K810" s="15"/>
      <c r="L810" s="15"/>
      <c r="M810" s="15"/>
      <c r="N810" s="15"/>
      <c r="O810" s="15"/>
    </row>
    <row r="811" spans="11:15" x14ac:dyDescent="0.2">
      <c r="K811" s="15"/>
      <c r="L811" s="15"/>
      <c r="M811" s="15"/>
      <c r="N811" s="15"/>
      <c r="O811" s="15"/>
    </row>
    <row r="812" spans="11:15" x14ac:dyDescent="0.2">
      <c r="K812" s="15"/>
      <c r="L812" s="15"/>
      <c r="M812" s="15"/>
      <c r="N812" s="15"/>
      <c r="O812" s="15"/>
    </row>
    <row r="813" spans="11:15" x14ac:dyDescent="0.2">
      <c r="K813" s="15"/>
      <c r="L813" s="15"/>
      <c r="M813" s="15"/>
      <c r="N813" s="15"/>
      <c r="O813" s="15"/>
    </row>
    <row r="814" spans="11:15" x14ac:dyDescent="0.2">
      <c r="K814" s="15"/>
      <c r="L814" s="15"/>
      <c r="M814" s="15"/>
      <c r="N814" s="15"/>
      <c r="O814" s="15"/>
    </row>
    <row r="815" spans="11:15" x14ac:dyDescent="0.2">
      <c r="K815" s="15"/>
      <c r="L815" s="15"/>
      <c r="M815" s="15"/>
      <c r="N815" s="15"/>
      <c r="O815" s="15"/>
    </row>
    <row r="816" spans="11:15" x14ac:dyDescent="0.2">
      <c r="K816" s="15"/>
      <c r="L816" s="15"/>
      <c r="M816" s="15"/>
      <c r="N816" s="15"/>
      <c r="O816" s="15"/>
    </row>
    <row r="817" spans="11:15" x14ac:dyDescent="0.2">
      <c r="K817" s="15"/>
      <c r="L817" s="15"/>
      <c r="M817" s="15"/>
      <c r="N817" s="15"/>
      <c r="O817" s="15"/>
    </row>
    <row r="818" spans="11:15" x14ac:dyDescent="0.2">
      <c r="K818" s="15"/>
      <c r="L818" s="15"/>
      <c r="M818" s="15"/>
      <c r="N818" s="15"/>
      <c r="O818" s="15"/>
    </row>
    <row r="819" spans="11:15" x14ac:dyDescent="0.2">
      <c r="K819" s="15"/>
      <c r="L819" s="15"/>
      <c r="M819" s="15"/>
      <c r="N819" s="15"/>
      <c r="O819" s="15"/>
    </row>
    <row r="820" spans="11:15" x14ac:dyDescent="0.2">
      <c r="K820" s="15"/>
      <c r="L820" s="15"/>
      <c r="M820" s="15"/>
      <c r="N820" s="15"/>
      <c r="O820" s="15"/>
    </row>
    <row r="821" spans="11:15" x14ac:dyDescent="0.2">
      <c r="K821" s="15"/>
      <c r="L821" s="15"/>
      <c r="M821" s="15"/>
      <c r="N821" s="15"/>
      <c r="O821" s="15"/>
    </row>
    <row r="822" spans="11:15" x14ac:dyDescent="0.2">
      <c r="K822" s="15"/>
      <c r="L822" s="15"/>
      <c r="M822" s="15"/>
      <c r="N822" s="15"/>
      <c r="O822" s="15"/>
    </row>
    <row r="823" spans="11:15" x14ac:dyDescent="0.2">
      <c r="K823" s="15"/>
      <c r="L823" s="15"/>
      <c r="M823" s="15"/>
      <c r="N823" s="15"/>
      <c r="O823" s="15"/>
    </row>
    <row r="824" spans="11:15" x14ac:dyDescent="0.2">
      <c r="K824" s="15"/>
      <c r="L824" s="15"/>
      <c r="M824" s="15"/>
      <c r="N824" s="15"/>
      <c r="O824" s="15"/>
    </row>
    <row r="825" spans="11:15" x14ac:dyDescent="0.2">
      <c r="K825" s="15"/>
      <c r="L825" s="15"/>
      <c r="M825" s="15"/>
      <c r="N825" s="15"/>
      <c r="O825" s="15"/>
    </row>
    <row r="826" spans="11:15" x14ac:dyDescent="0.2">
      <c r="K826" s="15"/>
      <c r="L826" s="15"/>
      <c r="M826" s="15"/>
      <c r="N826" s="15"/>
      <c r="O826" s="15"/>
    </row>
    <row r="827" spans="11:15" x14ac:dyDescent="0.2">
      <c r="K827" s="15"/>
      <c r="L827" s="15"/>
      <c r="M827" s="15"/>
      <c r="N827" s="15"/>
      <c r="O827" s="15"/>
    </row>
    <row r="828" spans="11:15" x14ac:dyDescent="0.2">
      <c r="K828" s="15"/>
      <c r="L828" s="15"/>
      <c r="M828" s="15"/>
      <c r="N828" s="15"/>
      <c r="O828" s="15"/>
    </row>
    <row r="829" spans="11:15" x14ac:dyDescent="0.2">
      <c r="K829" s="15"/>
      <c r="L829" s="15"/>
      <c r="M829" s="15"/>
      <c r="N829" s="15"/>
      <c r="O829" s="15"/>
    </row>
    <row r="830" spans="11:15" x14ac:dyDescent="0.2">
      <c r="K830" s="15"/>
      <c r="L830" s="15"/>
      <c r="M830" s="15"/>
      <c r="N830" s="15"/>
      <c r="O830" s="15"/>
    </row>
    <row r="831" spans="11:15" x14ac:dyDescent="0.2">
      <c r="K831" s="15"/>
      <c r="L831" s="15"/>
      <c r="M831" s="15"/>
      <c r="N831" s="15"/>
      <c r="O831" s="15"/>
    </row>
    <row r="832" spans="11:15" x14ac:dyDescent="0.2">
      <c r="K832" s="15"/>
      <c r="L832" s="15"/>
      <c r="M832" s="15"/>
      <c r="N832" s="15"/>
      <c r="O832" s="15"/>
    </row>
    <row r="833" spans="11:15" x14ac:dyDescent="0.2">
      <c r="K833" s="15"/>
      <c r="L833" s="15"/>
      <c r="M833" s="15"/>
      <c r="N833" s="15"/>
      <c r="O833" s="15"/>
    </row>
    <row r="834" spans="11:15" x14ac:dyDescent="0.2">
      <c r="K834" s="15"/>
      <c r="L834" s="15"/>
      <c r="M834" s="15"/>
      <c r="N834" s="15"/>
      <c r="O834" s="15"/>
    </row>
    <row r="835" spans="11:15" x14ac:dyDescent="0.2">
      <c r="K835" s="15"/>
      <c r="L835" s="15"/>
      <c r="M835" s="15"/>
      <c r="N835" s="15"/>
      <c r="O835" s="15"/>
    </row>
    <row r="836" spans="11:15" x14ac:dyDescent="0.2">
      <c r="K836" s="15"/>
      <c r="L836" s="15"/>
      <c r="M836" s="15"/>
      <c r="N836" s="15"/>
      <c r="O836" s="15"/>
    </row>
    <row r="837" spans="11:15" x14ac:dyDescent="0.2">
      <c r="K837" s="15"/>
      <c r="L837" s="15"/>
      <c r="M837" s="15"/>
      <c r="N837" s="15"/>
      <c r="O837" s="15"/>
    </row>
    <row r="838" spans="11:15" x14ac:dyDescent="0.2">
      <c r="K838" s="15"/>
      <c r="L838" s="15"/>
      <c r="M838" s="15"/>
      <c r="N838" s="15"/>
      <c r="O838" s="15"/>
    </row>
    <row r="839" spans="11:15" x14ac:dyDescent="0.2">
      <c r="K839" s="15"/>
      <c r="L839" s="15"/>
      <c r="M839" s="15"/>
      <c r="N839" s="15"/>
      <c r="O839" s="15"/>
    </row>
    <row r="840" spans="11:15" x14ac:dyDescent="0.2">
      <c r="K840" s="15"/>
      <c r="L840" s="15"/>
      <c r="M840" s="15"/>
      <c r="N840" s="15"/>
      <c r="O840" s="15"/>
    </row>
    <row r="841" spans="11:15" x14ac:dyDescent="0.2">
      <c r="K841" s="15"/>
      <c r="L841" s="15"/>
      <c r="M841" s="15"/>
      <c r="N841" s="15"/>
      <c r="O841" s="15"/>
    </row>
    <row r="842" spans="11:15" x14ac:dyDescent="0.2">
      <c r="K842" s="15"/>
      <c r="L842" s="15"/>
      <c r="M842" s="15"/>
      <c r="N842" s="15"/>
      <c r="O842" s="15"/>
    </row>
    <row r="843" spans="11:15" x14ac:dyDescent="0.2">
      <c r="K843" s="15"/>
      <c r="L843" s="15"/>
      <c r="M843" s="15"/>
      <c r="N843" s="15"/>
      <c r="O843" s="15"/>
    </row>
    <row r="844" spans="11:15" x14ac:dyDescent="0.2">
      <c r="K844" s="15"/>
      <c r="L844" s="15"/>
      <c r="M844" s="15"/>
      <c r="N844" s="15"/>
      <c r="O844" s="15"/>
    </row>
    <row r="845" spans="11:15" x14ac:dyDescent="0.2">
      <c r="K845" s="15"/>
      <c r="L845" s="15"/>
      <c r="M845" s="15"/>
      <c r="N845" s="15"/>
      <c r="O845" s="15"/>
    </row>
    <row r="846" spans="11:15" x14ac:dyDescent="0.2">
      <c r="K846" s="15"/>
      <c r="L846" s="15"/>
      <c r="M846" s="15"/>
      <c r="N846" s="15"/>
      <c r="O846" s="15"/>
    </row>
    <row r="847" spans="11:15" x14ac:dyDescent="0.2">
      <c r="K847" s="15"/>
      <c r="L847" s="15"/>
      <c r="M847" s="15"/>
      <c r="N847" s="15"/>
      <c r="O847" s="15"/>
    </row>
    <row r="848" spans="11:15" x14ac:dyDescent="0.2">
      <c r="K848" s="15"/>
      <c r="L848" s="15"/>
      <c r="M848" s="15"/>
      <c r="N848" s="15"/>
      <c r="O848" s="15"/>
    </row>
    <row r="849" spans="11:15" x14ac:dyDescent="0.2">
      <c r="K849" s="15"/>
      <c r="L849" s="15"/>
      <c r="M849" s="15"/>
      <c r="N849" s="15"/>
      <c r="O849" s="15"/>
    </row>
    <row r="850" spans="11:15" x14ac:dyDescent="0.2">
      <c r="K850" s="15"/>
      <c r="L850" s="15"/>
      <c r="M850" s="15"/>
      <c r="N850" s="15"/>
      <c r="O850" s="15"/>
    </row>
    <row r="851" spans="11:15" x14ac:dyDescent="0.2">
      <c r="K851" s="15"/>
      <c r="L851" s="15"/>
      <c r="M851" s="15"/>
      <c r="N851" s="15"/>
      <c r="O851" s="15"/>
    </row>
    <row r="852" spans="11:15" x14ac:dyDescent="0.2">
      <c r="K852" s="15"/>
      <c r="L852" s="15"/>
      <c r="M852" s="15"/>
      <c r="N852" s="15"/>
      <c r="O852" s="15"/>
    </row>
    <row r="853" spans="11:15" x14ac:dyDescent="0.2">
      <c r="K853" s="15"/>
      <c r="L853" s="15"/>
      <c r="M853" s="15"/>
      <c r="N853" s="15"/>
      <c r="O853" s="15"/>
    </row>
    <row r="854" spans="11:15" x14ac:dyDescent="0.2">
      <c r="K854" s="15"/>
      <c r="L854" s="15"/>
      <c r="M854" s="15"/>
      <c r="N854" s="15"/>
      <c r="O854" s="15"/>
    </row>
    <row r="855" spans="11:15" x14ac:dyDescent="0.2">
      <c r="K855" s="15"/>
      <c r="L855" s="15"/>
      <c r="M855" s="15"/>
      <c r="N855" s="15"/>
      <c r="O855" s="15"/>
    </row>
    <row r="856" spans="11:15" x14ac:dyDescent="0.2">
      <c r="K856" s="15"/>
      <c r="L856" s="15"/>
      <c r="M856" s="15"/>
      <c r="N856" s="15"/>
      <c r="O856" s="15"/>
    </row>
    <row r="857" spans="11:15" x14ac:dyDescent="0.2">
      <c r="K857" s="15"/>
      <c r="L857" s="15"/>
      <c r="M857" s="15"/>
      <c r="N857" s="15"/>
      <c r="O857" s="15"/>
    </row>
    <row r="858" spans="11:15" x14ac:dyDescent="0.2">
      <c r="K858" s="15"/>
      <c r="L858" s="15"/>
      <c r="M858" s="15"/>
      <c r="N858" s="15"/>
      <c r="O858" s="15"/>
    </row>
    <row r="859" spans="11:15" x14ac:dyDescent="0.2">
      <c r="K859" s="15"/>
      <c r="L859" s="15"/>
      <c r="M859" s="15"/>
      <c r="N859" s="15"/>
      <c r="O859" s="15"/>
    </row>
    <row r="860" spans="11:15" x14ac:dyDescent="0.2">
      <c r="K860" s="15"/>
      <c r="L860" s="15"/>
      <c r="M860" s="15"/>
      <c r="N860" s="15"/>
      <c r="O860" s="15"/>
    </row>
    <row r="861" spans="11:15" x14ac:dyDescent="0.2">
      <c r="K861" s="15"/>
      <c r="L861" s="15"/>
      <c r="M861" s="15"/>
      <c r="N861" s="15"/>
      <c r="O861" s="15"/>
    </row>
    <row r="862" spans="11:15" x14ac:dyDescent="0.2">
      <c r="K862" s="15"/>
      <c r="L862" s="15"/>
      <c r="M862" s="15"/>
      <c r="N862" s="15"/>
      <c r="O862" s="15"/>
    </row>
    <row r="863" spans="11:15" x14ac:dyDescent="0.2">
      <c r="K863" s="15"/>
      <c r="L863" s="15"/>
      <c r="M863" s="15"/>
      <c r="N863" s="15"/>
      <c r="O863" s="15"/>
    </row>
    <row r="864" spans="11:15" x14ac:dyDescent="0.2">
      <c r="K864" s="15"/>
      <c r="L864" s="15"/>
      <c r="M864" s="15"/>
      <c r="N864" s="15"/>
      <c r="O864" s="15"/>
    </row>
    <row r="865" spans="11:15" x14ac:dyDescent="0.2">
      <c r="K865" s="15"/>
      <c r="L865" s="15"/>
      <c r="M865" s="15"/>
      <c r="N865" s="15"/>
      <c r="O865" s="15"/>
    </row>
    <row r="866" spans="11:15" x14ac:dyDescent="0.2">
      <c r="K866" s="15"/>
      <c r="L866" s="15"/>
      <c r="M866" s="15"/>
      <c r="N866" s="15"/>
      <c r="O866" s="15"/>
    </row>
    <row r="867" spans="11:15" x14ac:dyDescent="0.2">
      <c r="K867" s="15"/>
      <c r="L867" s="15"/>
      <c r="M867" s="15"/>
      <c r="N867" s="15"/>
      <c r="O867" s="15"/>
    </row>
    <row r="868" spans="11:15" x14ac:dyDescent="0.2">
      <c r="K868" s="15"/>
      <c r="L868" s="15"/>
      <c r="M868" s="15"/>
      <c r="N868" s="15"/>
      <c r="O868" s="15"/>
    </row>
    <row r="869" spans="11:15" x14ac:dyDescent="0.2">
      <c r="K869" s="15"/>
      <c r="L869" s="15"/>
      <c r="M869" s="15"/>
      <c r="N869" s="15"/>
      <c r="O869" s="15"/>
    </row>
    <row r="870" spans="11:15" x14ac:dyDescent="0.2">
      <c r="K870" s="15"/>
      <c r="L870" s="15"/>
      <c r="M870" s="15"/>
      <c r="N870" s="15"/>
      <c r="O870" s="15"/>
    </row>
    <row r="871" spans="11:15" x14ac:dyDescent="0.2">
      <c r="K871" s="15"/>
      <c r="L871" s="15"/>
      <c r="M871" s="15"/>
      <c r="N871" s="15"/>
      <c r="O871" s="15"/>
    </row>
    <row r="872" spans="11:15" x14ac:dyDescent="0.2">
      <c r="K872" s="15"/>
      <c r="L872" s="15"/>
      <c r="M872" s="15"/>
      <c r="N872" s="15"/>
      <c r="O872" s="15"/>
    </row>
    <row r="873" spans="11:15" x14ac:dyDescent="0.2">
      <c r="K873" s="15"/>
      <c r="L873" s="15"/>
      <c r="M873" s="15"/>
      <c r="N873" s="15"/>
      <c r="O873" s="15"/>
    </row>
    <row r="874" spans="11:15" x14ac:dyDescent="0.2">
      <c r="K874" s="15"/>
      <c r="L874" s="15"/>
      <c r="M874" s="15"/>
      <c r="N874" s="15"/>
      <c r="O874" s="15"/>
    </row>
    <row r="875" spans="11:15" x14ac:dyDescent="0.2">
      <c r="K875" s="15"/>
      <c r="L875" s="15"/>
      <c r="M875" s="15"/>
      <c r="N875" s="15"/>
      <c r="O875" s="15"/>
    </row>
    <row r="876" spans="11:15" x14ac:dyDescent="0.2">
      <c r="K876" s="15"/>
      <c r="L876" s="15"/>
      <c r="M876" s="15"/>
      <c r="N876" s="15"/>
      <c r="O876" s="15"/>
    </row>
    <row r="877" spans="11:15" x14ac:dyDescent="0.2">
      <c r="K877" s="15"/>
      <c r="L877" s="15"/>
      <c r="M877" s="15"/>
      <c r="N877" s="15"/>
      <c r="O877" s="15"/>
    </row>
    <row r="878" spans="11:15" x14ac:dyDescent="0.2">
      <c r="K878" s="15"/>
      <c r="L878" s="15"/>
      <c r="M878" s="15"/>
      <c r="N878" s="15"/>
      <c r="O878" s="15"/>
    </row>
    <row r="879" spans="11:15" x14ac:dyDescent="0.2">
      <c r="K879" s="15"/>
      <c r="L879" s="15"/>
      <c r="M879" s="15"/>
      <c r="N879" s="15"/>
      <c r="O879" s="15"/>
    </row>
    <row r="880" spans="11:15" x14ac:dyDescent="0.2">
      <c r="K880" s="15"/>
      <c r="L880" s="15"/>
      <c r="M880" s="15"/>
      <c r="N880" s="15"/>
      <c r="O880" s="15"/>
    </row>
    <row r="881" spans="11:15" x14ac:dyDescent="0.2">
      <c r="K881" s="15"/>
      <c r="L881" s="15"/>
      <c r="M881" s="15"/>
      <c r="N881" s="15"/>
      <c r="O881" s="15"/>
    </row>
    <row r="882" spans="11:15" x14ac:dyDescent="0.2">
      <c r="K882" s="15"/>
      <c r="L882" s="15"/>
      <c r="M882" s="15"/>
      <c r="N882" s="15"/>
      <c r="O882" s="15"/>
    </row>
    <row r="883" spans="11:15" x14ac:dyDescent="0.2">
      <c r="K883" s="15"/>
      <c r="L883" s="15"/>
      <c r="M883" s="15"/>
      <c r="N883" s="15"/>
      <c r="O883" s="15"/>
    </row>
    <row r="884" spans="11:15" x14ac:dyDescent="0.2">
      <c r="K884" s="15"/>
      <c r="L884" s="15"/>
      <c r="M884" s="15"/>
      <c r="N884" s="15"/>
      <c r="O884" s="15"/>
    </row>
    <row r="885" spans="11:15" x14ac:dyDescent="0.2">
      <c r="K885" s="15"/>
      <c r="L885" s="15"/>
      <c r="M885" s="15"/>
      <c r="N885" s="15"/>
      <c r="O885" s="15"/>
    </row>
    <row r="886" spans="11:15" x14ac:dyDescent="0.2">
      <c r="K886" s="15"/>
      <c r="L886" s="15"/>
      <c r="M886" s="15"/>
      <c r="N886" s="15"/>
      <c r="O886" s="15"/>
    </row>
    <row r="887" spans="11:15" x14ac:dyDescent="0.2">
      <c r="K887" s="15"/>
      <c r="L887" s="15"/>
      <c r="M887" s="15"/>
      <c r="N887" s="15"/>
      <c r="O887" s="15"/>
    </row>
    <row r="888" spans="11:15" x14ac:dyDescent="0.2">
      <c r="K888" s="15"/>
      <c r="L888" s="15"/>
      <c r="M888" s="15"/>
      <c r="N888" s="15"/>
      <c r="O888" s="15"/>
    </row>
    <row r="889" spans="11:15" x14ac:dyDescent="0.2">
      <c r="K889" s="15"/>
      <c r="L889" s="15"/>
      <c r="M889" s="15"/>
      <c r="N889" s="15"/>
      <c r="O889" s="15"/>
    </row>
    <row r="890" spans="11:15" x14ac:dyDescent="0.2">
      <c r="K890" s="15"/>
      <c r="L890" s="15"/>
      <c r="M890" s="15"/>
      <c r="N890" s="15"/>
      <c r="O890" s="15"/>
    </row>
    <row r="891" spans="11:15" x14ac:dyDescent="0.2">
      <c r="K891" s="15"/>
      <c r="L891" s="15"/>
      <c r="M891" s="15"/>
      <c r="N891" s="15"/>
      <c r="O891" s="15"/>
    </row>
    <row r="892" spans="11:15" x14ac:dyDescent="0.2">
      <c r="K892" s="15"/>
      <c r="L892" s="15"/>
      <c r="M892" s="15"/>
      <c r="N892" s="15"/>
      <c r="O892" s="15"/>
    </row>
    <row r="893" spans="11:15" x14ac:dyDescent="0.2">
      <c r="K893" s="15"/>
      <c r="L893" s="15"/>
      <c r="M893" s="15"/>
      <c r="N893" s="15"/>
      <c r="O893" s="15"/>
    </row>
    <row r="894" spans="11:15" x14ac:dyDescent="0.2">
      <c r="K894" s="15"/>
      <c r="L894" s="15"/>
      <c r="M894" s="15"/>
      <c r="N894" s="15"/>
      <c r="O894" s="15"/>
    </row>
    <row r="895" spans="11:15" x14ac:dyDescent="0.2">
      <c r="K895" s="15"/>
      <c r="L895" s="15"/>
      <c r="M895" s="15"/>
      <c r="N895" s="15"/>
      <c r="O895" s="15"/>
    </row>
    <row r="896" spans="11:15" x14ac:dyDescent="0.2">
      <c r="K896" s="15"/>
      <c r="L896" s="15"/>
      <c r="M896" s="15"/>
      <c r="N896" s="15"/>
      <c r="O896" s="15"/>
    </row>
    <row r="897" spans="11:15" x14ac:dyDescent="0.2">
      <c r="K897" s="15"/>
      <c r="L897" s="15"/>
      <c r="M897" s="15"/>
      <c r="N897" s="15"/>
      <c r="O897" s="15"/>
    </row>
    <row r="898" spans="11:15" x14ac:dyDescent="0.2">
      <c r="K898" s="15"/>
      <c r="L898" s="15"/>
      <c r="M898" s="15"/>
      <c r="N898" s="15"/>
      <c r="O898" s="15"/>
    </row>
    <row r="899" spans="11:15" x14ac:dyDescent="0.2">
      <c r="K899" s="15"/>
      <c r="L899" s="15"/>
      <c r="M899" s="15"/>
      <c r="N899" s="15"/>
      <c r="O899" s="15"/>
    </row>
    <row r="900" spans="11:15" x14ac:dyDescent="0.2">
      <c r="K900" s="15"/>
      <c r="L900" s="15"/>
      <c r="M900" s="15"/>
      <c r="N900" s="15"/>
      <c r="O900" s="15"/>
    </row>
    <row r="901" spans="11:15" x14ac:dyDescent="0.2">
      <c r="K901" s="15"/>
      <c r="L901" s="15"/>
      <c r="M901" s="15"/>
      <c r="N901" s="15"/>
      <c r="O901" s="15"/>
    </row>
    <row r="902" spans="11:15" x14ac:dyDescent="0.2">
      <c r="K902" s="15"/>
      <c r="L902" s="15"/>
      <c r="M902" s="15"/>
      <c r="N902" s="15"/>
      <c r="O902" s="15"/>
    </row>
    <row r="903" spans="11:15" x14ac:dyDescent="0.2">
      <c r="K903" s="15"/>
      <c r="L903" s="15"/>
      <c r="M903" s="15"/>
      <c r="N903" s="15"/>
      <c r="O903" s="15"/>
    </row>
    <row r="904" spans="11:15" x14ac:dyDescent="0.2">
      <c r="K904" s="15"/>
      <c r="L904" s="15"/>
      <c r="M904" s="15"/>
      <c r="N904" s="15"/>
      <c r="O904" s="15"/>
    </row>
    <row r="905" spans="11:15" x14ac:dyDescent="0.2">
      <c r="K905" s="15"/>
      <c r="L905" s="15"/>
      <c r="M905" s="15"/>
      <c r="N905" s="15"/>
      <c r="O905" s="15"/>
    </row>
    <row r="906" spans="11:15" x14ac:dyDescent="0.2">
      <c r="K906" s="15"/>
      <c r="L906" s="15"/>
      <c r="M906" s="15"/>
      <c r="N906" s="15"/>
      <c r="O906" s="15"/>
    </row>
    <row r="907" spans="11:15" x14ac:dyDescent="0.2">
      <c r="K907" s="15"/>
      <c r="L907" s="15"/>
      <c r="M907" s="15"/>
      <c r="N907" s="15"/>
      <c r="O907" s="15"/>
    </row>
    <row r="908" spans="11:15" x14ac:dyDescent="0.2">
      <c r="K908" s="15"/>
      <c r="L908" s="15"/>
      <c r="M908" s="15"/>
      <c r="N908" s="15"/>
      <c r="O908" s="15"/>
    </row>
    <row r="909" spans="11:15" x14ac:dyDescent="0.2">
      <c r="K909" s="15"/>
      <c r="L909" s="15"/>
      <c r="M909" s="15"/>
      <c r="N909" s="15"/>
      <c r="O909" s="15"/>
    </row>
    <row r="910" spans="11:15" x14ac:dyDescent="0.2">
      <c r="K910" s="15"/>
      <c r="L910" s="15"/>
      <c r="M910" s="15"/>
      <c r="N910" s="15"/>
      <c r="O910" s="15"/>
    </row>
    <row r="911" spans="11:15" x14ac:dyDescent="0.2">
      <c r="K911" s="15"/>
      <c r="L911" s="15"/>
      <c r="M911" s="15"/>
      <c r="N911" s="15"/>
      <c r="O911" s="15"/>
    </row>
    <row r="912" spans="11:15" x14ac:dyDescent="0.2">
      <c r="K912" s="15"/>
      <c r="L912" s="15"/>
      <c r="M912" s="15"/>
      <c r="N912" s="15"/>
      <c r="O912" s="15"/>
    </row>
    <row r="913" spans="11:15" x14ac:dyDescent="0.2">
      <c r="K913" s="15"/>
      <c r="L913" s="15"/>
      <c r="M913" s="15"/>
      <c r="N913" s="15"/>
      <c r="O913" s="15"/>
    </row>
    <row r="914" spans="11:15" x14ac:dyDescent="0.2">
      <c r="K914" s="15"/>
      <c r="L914" s="15"/>
      <c r="M914" s="15"/>
      <c r="N914" s="15"/>
      <c r="O914" s="15"/>
    </row>
    <row r="915" spans="11:15" x14ac:dyDescent="0.2">
      <c r="K915" s="15"/>
      <c r="L915" s="15"/>
      <c r="M915" s="15"/>
      <c r="N915" s="15"/>
      <c r="O915" s="15"/>
    </row>
    <row r="916" spans="11:15" x14ac:dyDescent="0.2">
      <c r="K916" s="15"/>
      <c r="L916" s="15"/>
      <c r="M916" s="15"/>
      <c r="N916" s="15"/>
      <c r="O916" s="15"/>
    </row>
    <row r="917" spans="11:15" x14ac:dyDescent="0.2">
      <c r="K917" s="15"/>
      <c r="L917" s="15"/>
      <c r="M917" s="15"/>
      <c r="N917" s="15"/>
      <c r="O917" s="15"/>
    </row>
    <row r="918" spans="11:15" x14ac:dyDescent="0.2">
      <c r="K918" s="15"/>
      <c r="L918" s="15"/>
      <c r="M918" s="15"/>
      <c r="N918" s="15"/>
      <c r="O918" s="15"/>
    </row>
    <row r="919" spans="11:15" x14ac:dyDescent="0.2">
      <c r="K919" s="15"/>
      <c r="L919" s="15"/>
      <c r="M919" s="15"/>
      <c r="N919" s="15"/>
      <c r="O919" s="15"/>
    </row>
    <row r="920" spans="11:15" x14ac:dyDescent="0.2">
      <c r="K920" s="15"/>
      <c r="L920" s="15"/>
      <c r="M920" s="15"/>
      <c r="N920" s="15"/>
      <c r="O920" s="15"/>
    </row>
    <row r="921" spans="11:15" x14ac:dyDescent="0.2">
      <c r="K921" s="15"/>
      <c r="L921" s="15"/>
      <c r="M921" s="15"/>
      <c r="N921" s="15"/>
      <c r="O921" s="15"/>
    </row>
    <row r="922" spans="11:15" x14ac:dyDescent="0.2">
      <c r="K922" s="15"/>
      <c r="L922" s="15"/>
      <c r="M922" s="15"/>
      <c r="N922" s="15"/>
      <c r="O922" s="15"/>
    </row>
    <row r="923" spans="11:15" x14ac:dyDescent="0.2">
      <c r="K923" s="15"/>
      <c r="L923" s="15"/>
      <c r="M923" s="15"/>
      <c r="N923" s="15"/>
      <c r="O923" s="15"/>
    </row>
    <row r="924" spans="11:15" x14ac:dyDescent="0.2">
      <c r="K924" s="15"/>
      <c r="L924" s="15"/>
      <c r="M924" s="15"/>
      <c r="N924" s="15"/>
      <c r="O924" s="15"/>
    </row>
    <row r="925" spans="11:15" x14ac:dyDescent="0.2">
      <c r="K925" s="15"/>
      <c r="L925" s="15"/>
      <c r="M925" s="15"/>
      <c r="N925" s="15"/>
      <c r="O925" s="15"/>
    </row>
    <row r="926" spans="11:15" x14ac:dyDescent="0.2">
      <c r="K926" s="15"/>
      <c r="L926" s="15"/>
      <c r="M926" s="15"/>
      <c r="N926" s="15"/>
      <c r="O926" s="15"/>
    </row>
    <row r="927" spans="11:15" x14ac:dyDescent="0.2">
      <c r="K927" s="15"/>
      <c r="L927" s="15"/>
      <c r="M927" s="15"/>
      <c r="N927" s="15"/>
      <c r="O927" s="15"/>
    </row>
    <row r="928" spans="11:15" x14ac:dyDescent="0.2">
      <c r="K928" s="15"/>
      <c r="L928" s="15"/>
      <c r="M928" s="15"/>
      <c r="N928" s="15"/>
      <c r="O928" s="15"/>
    </row>
    <row r="929" spans="11:15" x14ac:dyDescent="0.2">
      <c r="K929" s="15"/>
      <c r="L929" s="15"/>
      <c r="M929" s="15"/>
      <c r="N929" s="15"/>
      <c r="O929" s="15"/>
    </row>
    <row r="930" spans="11:15" x14ac:dyDescent="0.2">
      <c r="K930" s="15"/>
      <c r="L930" s="15"/>
      <c r="M930" s="15"/>
      <c r="N930" s="15"/>
      <c r="O930" s="15"/>
    </row>
    <row r="931" spans="11:15" x14ac:dyDescent="0.2">
      <c r="K931" s="15"/>
      <c r="L931" s="15"/>
      <c r="M931" s="15"/>
      <c r="N931" s="15"/>
      <c r="O931" s="15"/>
    </row>
    <row r="932" spans="11:15" x14ac:dyDescent="0.2">
      <c r="K932" s="15"/>
      <c r="L932" s="15"/>
      <c r="M932" s="15"/>
      <c r="N932" s="15"/>
      <c r="O932" s="15"/>
    </row>
    <row r="933" spans="11:15" x14ac:dyDescent="0.2">
      <c r="K933" s="15"/>
      <c r="L933" s="15"/>
      <c r="M933" s="15"/>
      <c r="N933" s="15"/>
      <c r="O933" s="15"/>
    </row>
    <row r="934" spans="11:15" x14ac:dyDescent="0.2">
      <c r="K934" s="15"/>
      <c r="L934" s="15"/>
      <c r="M934" s="15"/>
      <c r="N934" s="15"/>
      <c r="O934" s="15"/>
    </row>
    <row r="935" spans="11:15" x14ac:dyDescent="0.2">
      <c r="K935" s="15"/>
      <c r="L935" s="15"/>
      <c r="M935" s="15"/>
      <c r="N935" s="15"/>
      <c r="O935" s="15"/>
    </row>
    <row r="936" spans="11:15" x14ac:dyDescent="0.2">
      <c r="K936" s="15"/>
      <c r="L936" s="15"/>
      <c r="M936" s="15"/>
      <c r="N936" s="15"/>
      <c r="O936" s="15"/>
    </row>
    <row r="937" spans="11:15" x14ac:dyDescent="0.2">
      <c r="K937" s="15"/>
      <c r="L937" s="15"/>
      <c r="M937" s="15"/>
      <c r="N937" s="15"/>
      <c r="O937" s="15"/>
    </row>
    <row r="938" spans="11:15" x14ac:dyDescent="0.2">
      <c r="K938" s="15"/>
      <c r="L938" s="15"/>
      <c r="M938" s="15"/>
      <c r="N938" s="15"/>
      <c r="O938" s="15"/>
    </row>
    <row r="939" spans="11:15" x14ac:dyDescent="0.2">
      <c r="K939" s="15"/>
      <c r="L939" s="15"/>
      <c r="M939" s="15"/>
      <c r="N939" s="15"/>
      <c r="O939" s="15"/>
    </row>
    <row r="940" spans="11:15" x14ac:dyDescent="0.2">
      <c r="K940" s="15"/>
      <c r="L940" s="15"/>
      <c r="M940" s="15"/>
      <c r="N940" s="15"/>
      <c r="O940" s="15"/>
    </row>
    <row r="941" spans="11:15" x14ac:dyDescent="0.2">
      <c r="K941" s="15"/>
      <c r="L941" s="15"/>
      <c r="M941" s="15"/>
      <c r="N941" s="15"/>
      <c r="O941" s="15"/>
    </row>
    <row r="942" spans="11:15" x14ac:dyDescent="0.2">
      <c r="K942" s="15"/>
      <c r="L942" s="15"/>
      <c r="M942" s="15"/>
      <c r="N942" s="15"/>
      <c r="O942" s="15"/>
    </row>
    <row r="943" spans="11:15" x14ac:dyDescent="0.2">
      <c r="K943" s="15"/>
      <c r="L943" s="15"/>
      <c r="M943" s="15"/>
      <c r="N943" s="15"/>
      <c r="O943" s="15"/>
    </row>
    <row r="944" spans="11:15" x14ac:dyDescent="0.2">
      <c r="K944" s="15"/>
      <c r="L944" s="15"/>
      <c r="M944" s="15"/>
      <c r="N944" s="15"/>
      <c r="O944" s="15"/>
    </row>
    <row r="945" spans="11:15" x14ac:dyDescent="0.2">
      <c r="K945" s="15"/>
      <c r="L945" s="15"/>
      <c r="M945" s="15"/>
      <c r="N945" s="15"/>
      <c r="O945" s="15"/>
    </row>
    <row r="946" spans="11:15" x14ac:dyDescent="0.2">
      <c r="K946" s="15"/>
      <c r="L946" s="15"/>
      <c r="M946" s="15"/>
      <c r="N946" s="15"/>
      <c r="O946" s="15"/>
    </row>
    <row r="947" spans="11:15" x14ac:dyDescent="0.2">
      <c r="K947" s="15"/>
      <c r="L947" s="15"/>
      <c r="M947" s="15"/>
      <c r="N947" s="15"/>
      <c r="O947" s="15"/>
    </row>
    <row r="948" spans="11:15" x14ac:dyDescent="0.2">
      <c r="K948" s="15"/>
      <c r="L948" s="15"/>
      <c r="M948" s="15"/>
      <c r="N948" s="15"/>
      <c r="O948" s="15"/>
    </row>
    <row r="949" spans="11:15" x14ac:dyDescent="0.2">
      <c r="K949" s="15"/>
      <c r="L949" s="15"/>
      <c r="M949" s="15"/>
      <c r="N949" s="15"/>
      <c r="O949" s="15"/>
    </row>
    <row r="950" spans="11:15" x14ac:dyDescent="0.2">
      <c r="K950" s="15"/>
      <c r="L950" s="15"/>
      <c r="M950" s="15"/>
      <c r="N950" s="15"/>
      <c r="O950" s="15"/>
    </row>
    <row r="951" spans="11:15" x14ac:dyDescent="0.2">
      <c r="K951" s="15"/>
      <c r="L951" s="15"/>
      <c r="M951" s="15"/>
      <c r="N951" s="15"/>
      <c r="O951" s="15"/>
    </row>
    <row r="952" spans="11:15" x14ac:dyDescent="0.2">
      <c r="K952" s="15"/>
      <c r="L952" s="15"/>
      <c r="M952" s="15"/>
      <c r="N952" s="15"/>
      <c r="O952" s="15"/>
    </row>
    <row r="953" spans="11:15" x14ac:dyDescent="0.2">
      <c r="K953" s="15"/>
      <c r="L953" s="15"/>
      <c r="M953" s="15"/>
      <c r="N953" s="15"/>
      <c r="O953" s="15"/>
    </row>
    <row r="954" spans="11:15" x14ac:dyDescent="0.2">
      <c r="K954" s="15"/>
      <c r="L954" s="15"/>
      <c r="M954" s="15"/>
      <c r="N954" s="15"/>
      <c r="O954" s="15"/>
    </row>
    <row r="955" spans="11:15" x14ac:dyDescent="0.2">
      <c r="K955" s="15"/>
      <c r="L955" s="15"/>
      <c r="M955" s="15"/>
      <c r="N955" s="15"/>
      <c r="O955" s="15"/>
    </row>
    <row r="956" spans="11:15" x14ac:dyDescent="0.2">
      <c r="K956" s="15"/>
      <c r="L956" s="15"/>
      <c r="M956" s="15"/>
      <c r="N956" s="15"/>
      <c r="O956" s="15"/>
    </row>
    <row r="957" spans="11:15" x14ac:dyDescent="0.2">
      <c r="K957" s="15"/>
      <c r="L957" s="15"/>
      <c r="M957" s="15"/>
      <c r="N957" s="15"/>
      <c r="O957" s="15"/>
    </row>
    <row r="958" spans="11:15" x14ac:dyDescent="0.2">
      <c r="K958" s="15"/>
      <c r="L958" s="15"/>
      <c r="M958" s="15"/>
      <c r="N958" s="15"/>
      <c r="O958" s="15"/>
    </row>
    <row r="959" spans="11:15" x14ac:dyDescent="0.2">
      <c r="K959" s="15"/>
      <c r="L959" s="15"/>
      <c r="M959" s="15"/>
      <c r="N959" s="15"/>
      <c r="O959" s="15"/>
    </row>
    <row r="960" spans="11:15" x14ac:dyDescent="0.2">
      <c r="K960" s="15"/>
      <c r="L960" s="15"/>
      <c r="M960" s="15"/>
      <c r="N960" s="15"/>
      <c r="O960" s="15"/>
    </row>
    <row r="961" spans="11:15" x14ac:dyDescent="0.2">
      <c r="K961" s="15"/>
      <c r="L961" s="15"/>
      <c r="M961" s="15"/>
      <c r="N961" s="15"/>
      <c r="O961" s="15"/>
    </row>
    <row r="962" spans="11:15" x14ac:dyDescent="0.2">
      <c r="K962" s="15"/>
      <c r="L962" s="15"/>
      <c r="M962" s="15"/>
      <c r="N962" s="15"/>
      <c r="O962" s="15"/>
    </row>
    <row r="963" spans="11:15" x14ac:dyDescent="0.2">
      <c r="K963" s="15"/>
      <c r="L963" s="15"/>
      <c r="M963" s="15"/>
      <c r="N963" s="15"/>
      <c r="O963" s="15"/>
    </row>
    <row r="964" spans="11:15" x14ac:dyDescent="0.2">
      <c r="K964" s="15"/>
      <c r="L964" s="15"/>
      <c r="M964" s="15"/>
      <c r="N964" s="15"/>
      <c r="O964" s="15"/>
    </row>
    <row r="965" spans="11:15" x14ac:dyDescent="0.2">
      <c r="K965" s="15"/>
      <c r="L965" s="15"/>
      <c r="M965" s="15"/>
      <c r="N965" s="15"/>
      <c r="O965" s="15"/>
    </row>
    <row r="966" spans="11:15" x14ac:dyDescent="0.2">
      <c r="K966" s="15"/>
      <c r="L966" s="15"/>
      <c r="M966" s="15"/>
      <c r="N966" s="15"/>
      <c r="O966" s="15"/>
    </row>
    <row r="967" spans="11:15" x14ac:dyDescent="0.2">
      <c r="K967" s="15"/>
      <c r="L967" s="15"/>
      <c r="M967" s="15"/>
      <c r="N967" s="15"/>
      <c r="O967" s="15"/>
    </row>
    <row r="968" spans="11:15" x14ac:dyDescent="0.2">
      <c r="K968" s="15"/>
      <c r="L968" s="15"/>
      <c r="M968" s="15"/>
      <c r="N968" s="15"/>
      <c r="O968" s="15"/>
    </row>
    <row r="969" spans="11:15" x14ac:dyDescent="0.2">
      <c r="K969" s="15"/>
      <c r="L969" s="15"/>
      <c r="M969" s="15"/>
      <c r="N969" s="15"/>
      <c r="O969" s="15"/>
    </row>
    <row r="970" spans="11:15" x14ac:dyDescent="0.2">
      <c r="K970" s="15"/>
      <c r="L970" s="15"/>
      <c r="M970" s="15"/>
      <c r="N970" s="15"/>
      <c r="O970" s="15"/>
    </row>
    <row r="971" spans="11:15" x14ac:dyDescent="0.2">
      <c r="K971" s="15"/>
      <c r="L971" s="15"/>
      <c r="M971" s="15"/>
      <c r="N971" s="15"/>
      <c r="O971" s="15"/>
    </row>
    <row r="972" spans="11:15" x14ac:dyDescent="0.2">
      <c r="K972" s="15"/>
      <c r="L972" s="15"/>
      <c r="M972" s="15"/>
      <c r="N972" s="15"/>
      <c r="O972" s="15"/>
    </row>
    <row r="973" spans="11:15" x14ac:dyDescent="0.2">
      <c r="K973" s="15"/>
      <c r="L973" s="15"/>
      <c r="M973" s="15"/>
      <c r="N973" s="15"/>
      <c r="O973" s="15"/>
    </row>
    <row r="974" spans="11:15" x14ac:dyDescent="0.2">
      <c r="K974" s="15"/>
      <c r="L974" s="15"/>
      <c r="M974" s="15"/>
      <c r="N974" s="15"/>
      <c r="O974" s="15"/>
    </row>
    <row r="975" spans="11:15" x14ac:dyDescent="0.2">
      <c r="K975" s="15"/>
      <c r="L975" s="15"/>
      <c r="M975" s="15"/>
      <c r="N975" s="15"/>
      <c r="O975" s="15"/>
    </row>
    <row r="976" spans="11:15" x14ac:dyDescent="0.2">
      <c r="K976" s="15"/>
      <c r="L976" s="15"/>
      <c r="M976" s="15"/>
      <c r="N976" s="15"/>
      <c r="O976" s="15"/>
    </row>
    <row r="977" spans="11:15" x14ac:dyDescent="0.2">
      <c r="K977" s="15"/>
      <c r="L977" s="15"/>
      <c r="M977" s="15"/>
      <c r="N977" s="15"/>
      <c r="O977" s="15"/>
    </row>
    <row r="978" spans="11:15" x14ac:dyDescent="0.2">
      <c r="K978" s="15"/>
      <c r="L978" s="15"/>
      <c r="M978" s="15"/>
      <c r="N978" s="15"/>
      <c r="O978" s="15"/>
    </row>
    <row r="979" spans="11:15" x14ac:dyDescent="0.2">
      <c r="K979" s="15"/>
      <c r="L979" s="15"/>
      <c r="M979" s="15"/>
      <c r="N979" s="15"/>
      <c r="O979" s="15"/>
    </row>
    <row r="980" spans="11:15" x14ac:dyDescent="0.2">
      <c r="K980" s="15"/>
      <c r="L980" s="15"/>
      <c r="M980" s="15"/>
      <c r="N980" s="15"/>
      <c r="O980" s="15"/>
    </row>
    <row r="981" spans="11:15" x14ac:dyDescent="0.2">
      <c r="K981" s="15"/>
      <c r="L981" s="15"/>
      <c r="M981" s="15"/>
      <c r="N981" s="15"/>
      <c r="O981" s="15"/>
    </row>
    <row r="982" spans="11:15" x14ac:dyDescent="0.2">
      <c r="K982" s="15"/>
      <c r="L982" s="15"/>
      <c r="M982" s="15"/>
      <c r="N982" s="15"/>
      <c r="O982" s="15"/>
    </row>
    <row r="983" spans="11:15" x14ac:dyDescent="0.2">
      <c r="K983" s="15"/>
      <c r="L983" s="15"/>
      <c r="M983" s="15"/>
      <c r="N983" s="15"/>
      <c r="O983" s="15"/>
    </row>
    <row r="984" spans="11:15" x14ac:dyDescent="0.2">
      <c r="K984" s="15"/>
      <c r="L984" s="15"/>
      <c r="M984" s="15"/>
      <c r="N984" s="15"/>
      <c r="O984" s="15"/>
    </row>
    <row r="985" spans="11:15" x14ac:dyDescent="0.2">
      <c r="K985" s="15"/>
      <c r="L985" s="15"/>
      <c r="M985" s="15"/>
      <c r="N985" s="15"/>
      <c r="O985" s="15"/>
    </row>
    <row r="986" spans="11:15" x14ac:dyDescent="0.2">
      <c r="K986" s="15"/>
      <c r="L986" s="15"/>
      <c r="M986" s="15"/>
      <c r="N986" s="15"/>
      <c r="O986" s="15"/>
    </row>
    <row r="987" spans="11:15" x14ac:dyDescent="0.2">
      <c r="K987" s="15"/>
      <c r="L987" s="15"/>
      <c r="M987" s="15"/>
      <c r="N987" s="15"/>
      <c r="O987" s="15"/>
    </row>
    <row r="988" spans="11:15" x14ac:dyDescent="0.2">
      <c r="K988" s="15"/>
      <c r="L988" s="15"/>
      <c r="M988" s="15"/>
      <c r="N988" s="15"/>
      <c r="O988" s="15"/>
    </row>
    <row r="989" spans="11:15" x14ac:dyDescent="0.2">
      <c r="K989" s="15"/>
      <c r="L989" s="15"/>
      <c r="M989" s="15"/>
      <c r="N989" s="15"/>
      <c r="O989" s="15"/>
    </row>
    <row r="990" spans="11:15" x14ac:dyDescent="0.2">
      <c r="K990" s="15"/>
      <c r="L990" s="15"/>
      <c r="M990" s="15"/>
      <c r="N990" s="15"/>
      <c r="O990" s="15"/>
    </row>
    <row r="991" spans="11:15" x14ac:dyDescent="0.2">
      <c r="K991" s="15"/>
      <c r="L991" s="15"/>
      <c r="M991" s="15"/>
      <c r="N991" s="15"/>
      <c r="O991" s="15"/>
    </row>
    <row r="992" spans="11:15" x14ac:dyDescent="0.2">
      <c r="K992" s="15"/>
      <c r="L992" s="15"/>
      <c r="M992" s="15"/>
      <c r="N992" s="15"/>
      <c r="O992" s="15"/>
    </row>
    <row r="993" spans="11:15" x14ac:dyDescent="0.2">
      <c r="K993" s="15"/>
      <c r="L993" s="15"/>
      <c r="M993" s="15"/>
      <c r="N993" s="15"/>
      <c r="O993" s="15"/>
    </row>
    <row r="994" spans="11:15" x14ac:dyDescent="0.2">
      <c r="K994" s="15"/>
      <c r="L994" s="15"/>
      <c r="M994" s="15"/>
      <c r="N994" s="15"/>
      <c r="O994" s="15"/>
    </row>
    <row r="995" spans="11:15" x14ac:dyDescent="0.2">
      <c r="K995" s="15"/>
      <c r="L995" s="15"/>
      <c r="M995" s="15"/>
      <c r="N995" s="15"/>
      <c r="O995" s="15"/>
    </row>
    <row r="996" spans="11:15" x14ac:dyDescent="0.2">
      <c r="K996" s="15"/>
      <c r="L996" s="15"/>
      <c r="M996" s="15"/>
      <c r="N996" s="15"/>
      <c r="O996" s="15"/>
    </row>
    <row r="997" spans="11:15" x14ac:dyDescent="0.2">
      <c r="K997" s="15"/>
      <c r="L997" s="15"/>
      <c r="M997" s="15"/>
      <c r="N997" s="15"/>
      <c r="O997" s="15"/>
    </row>
    <row r="998" spans="11:15" x14ac:dyDescent="0.2">
      <c r="K998" s="15"/>
      <c r="L998" s="15"/>
      <c r="M998" s="15"/>
      <c r="N998" s="15"/>
      <c r="O998" s="15"/>
    </row>
    <row r="999" spans="11:15" x14ac:dyDescent="0.2">
      <c r="K999" s="15"/>
      <c r="L999" s="15"/>
      <c r="M999" s="15"/>
      <c r="N999" s="15"/>
      <c r="O999" s="15"/>
    </row>
    <row r="1000" spans="11:15" x14ac:dyDescent="0.2">
      <c r="K1000" s="15"/>
      <c r="L1000" s="15"/>
      <c r="M1000" s="15"/>
      <c r="N1000" s="15"/>
      <c r="O1000" s="15"/>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01"/>
  <sheetViews>
    <sheetView workbookViewId="0">
      <selection activeCellId="1" sqref="S1:S1048576 A1:A1048576"/>
    </sheetView>
  </sheetViews>
  <sheetFormatPr baseColWidth="10" defaultRowHeight="16" x14ac:dyDescent="0.2"/>
  <cols>
    <col min="10" max="10" width="21.6640625" customWidth="1"/>
  </cols>
  <sheetData>
    <row r="1" spans="1:19" x14ac:dyDescent="0.2">
      <c r="A1" t="s">
        <v>1970</v>
      </c>
      <c r="B1" t="s">
        <v>29</v>
      </c>
      <c r="C1" t="s">
        <v>30</v>
      </c>
      <c r="D1" t="s">
        <v>31</v>
      </c>
      <c r="E1" t="s">
        <v>32</v>
      </c>
      <c r="F1" t="s">
        <v>33</v>
      </c>
      <c r="G1" t="s">
        <v>34</v>
      </c>
      <c r="H1" t="s">
        <v>35</v>
      </c>
      <c r="I1" t="s">
        <v>36</v>
      </c>
      <c r="J1" t="s">
        <v>38</v>
      </c>
      <c r="K1" t="s">
        <v>1981</v>
      </c>
      <c r="L1" t="s">
        <v>1982</v>
      </c>
      <c r="M1" t="s">
        <v>1983</v>
      </c>
      <c r="N1" t="s">
        <v>1984</v>
      </c>
      <c r="O1" t="s">
        <v>1985</v>
      </c>
      <c r="P1" t="s">
        <v>1986</v>
      </c>
      <c r="Q1" t="s">
        <v>1987</v>
      </c>
      <c r="R1" t="s">
        <v>1988</v>
      </c>
      <c r="S1" t="s">
        <v>1989</v>
      </c>
    </row>
    <row r="2" spans="1:19" x14ac:dyDescent="0.2">
      <c r="A2">
        <v>1</v>
      </c>
      <c r="B2">
        <v>500</v>
      </c>
      <c r="C2">
        <v>10</v>
      </c>
      <c r="D2">
        <v>0.1</v>
      </c>
      <c r="E2">
        <v>20</v>
      </c>
      <c r="F2">
        <v>100</v>
      </c>
      <c r="G2">
        <v>0.1</v>
      </c>
      <c r="H2">
        <v>0.1</v>
      </c>
      <c r="I2">
        <v>100</v>
      </c>
      <c r="J2" t="s">
        <v>117</v>
      </c>
      <c r="K2">
        <f t="shared" ref="K2:K65" si="0">IF(OR(B2=500,B2="50%",B2=50%),1,0)</f>
        <v>1</v>
      </c>
      <c r="L2">
        <f>IF(C2=10,1,0)</f>
        <v>1</v>
      </c>
      <c r="M2">
        <f>IF(OR(D2=0.1,D2=0.1%),1,0)</f>
        <v>1</v>
      </c>
      <c r="N2">
        <f>IF(OR(E2=20,E2=20%),1,0)</f>
        <v>1</v>
      </c>
      <c r="O2">
        <f>IF(F2=100,1,0)</f>
        <v>1</v>
      </c>
      <c r="P2">
        <f>IF(OR(G2=50%,G2=50),1,0)</f>
        <v>0</v>
      </c>
      <c r="Q2">
        <f>IF(OR(H2="5 cents",H2=0.05,H2="$0.05"),1,0)</f>
        <v>0</v>
      </c>
      <c r="R2">
        <f>IF(OR(I2="5 minutes",I2=5, I2="5 min"),1,0)</f>
        <v>0</v>
      </c>
      <c r="S2">
        <f>SUM(K2:R2)</f>
        <v>5</v>
      </c>
    </row>
    <row r="3" spans="1:19" x14ac:dyDescent="0.2">
      <c r="A3">
        <v>2</v>
      </c>
      <c r="B3">
        <v>500</v>
      </c>
      <c r="C3">
        <v>10</v>
      </c>
      <c r="D3">
        <v>1E-3</v>
      </c>
      <c r="E3">
        <v>5</v>
      </c>
      <c r="F3">
        <v>100</v>
      </c>
      <c r="G3" s="3">
        <v>0.9</v>
      </c>
      <c r="H3">
        <v>0.1</v>
      </c>
      <c r="I3" t="s">
        <v>122</v>
      </c>
      <c r="J3" t="s">
        <v>123</v>
      </c>
      <c r="K3">
        <f t="shared" si="0"/>
        <v>1</v>
      </c>
      <c r="L3">
        <f t="shared" ref="L3:L66" si="1">IF(C3=10,1,0)</f>
        <v>1</v>
      </c>
      <c r="M3">
        <f t="shared" ref="M3:M66" si="2">IF(OR(D3=0.1,D3=0.1%),1,0)</f>
        <v>1</v>
      </c>
      <c r="N3">
        <f t="shared" ref="N3:N66" si="3">IF(OR(E3=20,E3=20%),1,0)</f>
        <v>0</v>
      </c>
      <c r="O3">
        <f t="shared" ref="O3:O66" si="4">IF(F3=100,1,0)</f>
        <v>1</v>
      </c>
      <c r="P3">
        <f t="shared" ref="P3:P66" si="5">IF(OR(G3=50%,G3=50),1,0)</f>
        <v>0</v>
      </c>
      <c r="Q3">
        <f>IF(OR(H3="5 cents",H3=0.05,H3="$0.05"),1,0)</f>
        <v>0</v>
      </c>
      <c r="R3">
        <f t="shared" ref="R3:R66" si="6">IF(OR(I3="5 minutes",I3=5, I3="5 min"),1,0)</f>
        <v>0</v>
      </c>
      <c r="S3">
        <f t="shared" ref="S3:S66" si="7">SUM(K3:R3)</f>
        <v>4</v>
      </c>
    </row>
    <row r="4" spans="1:19" x14ac:dyDescent="0.2">
      <c r="A4">
        <v>3</v>
      </c>
      <c r="B4">
        <v>33</v>
      </c>
      <c r="C4">
        <v>100</v>
      </c>
      <c r="D4">
        <v>0.01</v>
      </c>
      <c r="E4">
        <v>20</v>
      </c>
      <c r="F4">
        <v>100</v>
      </c>
      <c r="G4" s="3">
        <v>0.15</v>
      </c>
      <c r="H4">
        <v>1.05</v>
      </c>
      <c r="I4">
        <v>15</v>
      </c>
      <c r="J4" t="s">
        <v>128</v>
      </c>
      <c r="K4">
        <f t="shared" si="0"/>
        <v>0</v>
      </c>
      <c r="L4">
        <f t="shared" si="1"/>
        <v>0</v>
      </c>
      <c r="M4">
        <f t="shared" si="2"/>
        <v>0</v>
      </c>
      <c r="N4">
        <f t="shared" si="3"/>
        <v>1</v>
      </c>
      <c r="O4">
        <f t="shared" si="4"/>
        <v>1</v>
      </c>
      <c r="P4">
        <f t="shared" si="5"/>
        <v>0</v>
      </c>
      <c r="Q4">
        <f>IF(OR(H4="5 cents",H4=0.05,H4="$0.05"),1,0)</f>
        <v>0</v>
      </c>
      <c r="R4">
        <f t="shared" si="6"/>
        <v>0</v>
      </c>
      <c r="S4">
        <f t="shared" si="7"/>
        <v>2</v>
      </c>
    </row>
    <row r="5" spans="1:19" x14ac:dyDescent="0.2">
      <c r="A5">
        <v>4</v>
      </c>
      <c r="B5">
        <v>500</v>
      </c>
      <c r="C5">
        <v>10</v>
      </c>
      <c r="D5" s="4">
        <v>1E-3</v>
      </c>
      <c r="E5">
        <v>20</v>
      </c>
      <c r="F5">
        <v>100</v>
      </c>
      <c r="G5" s="3">
        <v>0.09</v>
      </c>
      <c r="H5" t="s">
        <v>134</v>
      </c>
      <c r="I5">
        <v>100</v>
      </c>
      <c r="J5" t="s">
        <v>135</v>
      </c>
      <c r="K5">
        <f t="shared" si="0"/>
        <v>1</v>
      </c>
      <c r="L5">
        <f t="shared" si="1"/>
        <v>1</v>
      </c>
      <c r="M5">
        <f t="shared" si="2"/>
        <v>1</v>
      </c>
      <c r="N5">
        <f t="shared" si="3"/>
        <v>1</v>
      </c>
      <c r="O5">
        <f t="shared" si="4"/>
        <v>1</v>
      </c>
      <c r="P5">
        <f t="shared" si="5"/>
        <v>0</v>
      </c>
      <c r="Q5">
        <f>IF(OR(H5="5 cents",H5=0.05,H5="$0.05"),1,0)</f>
        <v>1</v>
      </c>
      <c r="R5">
        <f t="shared" si="6"/>
        <v>0</v>
      </c>
      <c r="S5">
        <f t="shared" si="7"/>
        <v>6</v>
      </c>
    </row>
    <row r="6" spans="1:19" x14ac:dyDescent="0.2">
      <c r="A6">
        <v>5</v>
      </c>
      <c r="B6">
        <v>500</v>
      </c>
      <c r="C6">
        <v>10</v>
      </c>
      <c r="D6">
        <v>1E-3</v>
      </c>
      <c r="E6">
        <v>20</v>
      </c>
      <c r="F6">
        <v>100</v>
      </c>
      <c r="G6">
        <v>10</v>
      </c>
      <c r="H6">
        <v>0.05</v>
      </c>
      <c r="I6">
        <v>10</v>
      </c>
      <c r="J6" t="s">
        <v>135</v>
      </c>
      <c r="K6">
        <f t="shared" si="0"/>
        <v>1</v>
      </c>
      <c r="L6">
        <f t="shared" si="1"/>
        <v>1</v>
      </c>
      <c r="M6">
        <f t="shared" si="2"/>
        <v>1</v>
      </c>
      <c r="N6">
        <f t="shared" si="3"/>
        <v>1</v>
      </c>
      <c r="O6">
        <f t="shared" si="4"/>
        <v>1</v>
      </c>
      <c r="P6">
        <f t="shared" si="5"/>
        <v>0</v>
      </c>
      <c r="Q6">
        <f>IF(OR(H6="5 cents",H6=0.05,H6="$0.05"),1,0)</f>
        <v>1</v>
      </c>
      <c r="R6">
        <f t="shared" si="6"/>
        <v>0</v>
      </c>
      <c r="S6">
        <f t="shared" si="7"/>
        <v>6</v>
      </c>
    </row>
    <row r="7" spans="1:19" x14ac:dyDescent="0.2">
      <c r="A7">
        <v>6</v>
      </c>
      <c r="B7">
        <v>500</v>
      </c>
      <c r="C7">
        <v>10</v>
      </c>
      <c r="D7" s="4">
        <v>1E-3</v>
      </c>
      <c r="E7">
        <v>20</v>
      </c>
      <c r="F7">
        <v>100</v>
      </c>
      <c r="G7">
        <v>90</v>
      </c>
      <c r="H7">
        <v>0.1</v>
      </c>
      <c r="I7">
        <v>100</v>
      </c>
      <c r="J7" t="s">
        <v>128</v>
      </c>
      <c r="K7">
        <f t="shared" si="0"/>
        <v>1</v>
      </c>
      <c r="L7">
        <f t="shared" si="1"/>
        <v>1</v>
      </c>
      <c r="M7">
        <f t="shared" si="2"/>
        <v>1</v>
      </c>
      <c r="N7">
        <f t="shared" si="3"/>
        <v>1</v>
      </c>
      <c r="O7">
        <f t="shared" si="4"/>
        <v>1</v>
      </c>
      <c r="P7">
        <f t="shared" si="5"/>
        <v>0</v>
      </c>
      <c r="Q7">
        <f t="shared" ref="Q7:Q70" si="8">IF(OR(H7="5 cents",H7=0.05,H7="$0.05"),1,0)</f>
        <v>0</v>
      </c>
      <c r="R7">
        <f t="shared" si="6"/>
        <v>0</v>
      </c>
      <c r="S7">
        <f t="shared" si="7"/>
        <v>5</v>
      </c>
    </row>
    <row r="8" spans="1:19" x14ac:dyDescent="0.2">
      <c r="A8">
        <v>7</v>
      </c>
      <c r="B8">
        <v>500</v>
      </c>
      <c r="C8">
        <v>100</v>
      </c>
      <c r="D8">
        <v>1</v>
      </c>
      <c r="E8">
        <v>20</v>
      </c>
      <c r="F8">
        <v>100</v>
      </c>
      <c r="G8">
        <v>90</v>
      </c>
      <c r="H8">
        <v>0.1</v>
      </c>
      <c r="I8" t="s">
        <v>148</v>
      </c>
      <c r="J8" t="s">
        <v>117</v>
      </c>
      <c r="K8">
        <f t="shared" si="0"/>
        <v>1</v>
      </c>
      <c r="L8">
        <f t="shared" si="1"/>
        <v>0</v>
      </c>
      <c r="M8">
        <f t="shared" si="2"/>
        <v>0</v>
      </c>
      <c r="N8">
        <f t="shared" si="3"/>
        <v>1</v>
      </c>
      <c r="O8">
        <f t="shared" si="4"/>
        <v>1</v>
      </c>
      <c r="P8">
        <f t="shared" si="5"/>
        <v>0</v>
      </c>
      <c r="Q8">
        <f t="shared" si="8"/>
        <v>0</v>
      </c>
      <c r="R8">
        <f t="shared" si="6"/>
        <v>0</v>
      </c>
      <c r="S8">
        <f t="shared" si="7"/>
        <v>3</v>
      </c>
    </row>
    <row r="9" spans="1:19" x14ac:dyDescent="0.2">
      <c r="A9">
        <v>8</v>
      </c>
      <c r="B9">
        <v>6</v>
      </c>
      <c r="C9">
        <v>78</v>
      </c>
      <c r="D9">
        <v>57</v>
      </c>
      <c r="E9">
        <v>46</v>
      </c>
      <c r="F9">
        <v>29</v>
      </c>
      <c r="G9">
        <v>57</v>
      </c>
      <c r="H9">
        <v>0.1</v>
      </c>
      <c r="I9">
        <v>500</v>
      </c>
      <c r="J9" t="s">
        <v>123</v>
      </c>
      <c r="K9">
        <f t="shared" si="0"/>
        <v>0</v>
      </c>
      <c r="L9">
        <f t="shared" si="1"/>
        <v>0</v>
      </c>
      <c r="M9">
        <f t="shared" si="2"/>
        <v>0</v>
      </c>
      <c r="N9">
        <f t="shared" si="3"/>
        <v>0</v>
      </c>
      <c r="O9">
        <f t="shared" si="4"/>
        <v>0</v>
      </c>
      <c r="P9">
        <f t="shared" si="5"/>
        <v>0</v>
      </c>
      <c r="Q9">
        <f t="shared" si="8"/>
        <v>0</v>
      </c>
      <c r="R9">
        <f t="shared" si="6"/>
        <v>0</v>
      </c>
      <c r="S9">
        <f t="shared" si="7"/>
        <v>0</v>
      </c>
    </row>
    <row r="10" spans="1:19" x14ac:dyDescent="0.2">
      <c r="A10">
        <v>9</v>
      </c>
      <c r="B10">
        <v>500</v>
      </c>
      <c r="C10">
        <v>10</v>
      </c>
      <c r="D10" s="4">
        <v>1E-3</v>
      </c>
      <c r="E10">
        <v>20</v>
      </c>
      <c r="F10">
        <v>100</v>
      </c>
      <c r="G10" s="3">
        <v>0.8</v>
      </c>
      <c r="H10">
        <v>0.05</v>
      </c>
      <c r="I10" t="s">
        <v>159</v>
      </c>
      <c r="J10" t="s">
        <v>117</v>
      </c>
      <c r="K10">
        <f t="shared" si="0"/>
        <v>1</v>
      </c>
      <c r="L10">
        <f t="shared" si="1"/>
        <v>1</v>
      </c>
      <c r="M10">
        <f t="shared" si="2"/>
        <v>1</v>
      </c>
      <c r="N10">
        <f t="shared" si="3"/>
        <v>1</v>
      </c>
      <c r="O10">
        <f t="shared" si="4"/>
        <v>1</v>
      </c>
      <c r="P10">
        <f t="shared" si="5"/>
        <v>0</v>
      </c>
      <c r="Q10">
        <f t="shared" si="8"/>
        <v>1</v>
      </c>
      <c r="R10">
        <f t="shared" si="6"/>
        <v>1</v>
      </c>
      <c r="S10">
        <f t="shared" si="7"/>
        <v>7</v>
      </c>
    </row>
    <row r="11" spans="1:19" x14ac:dyDescent="0.2">
      <c r="A11">
        <v>10</v>
      </c>
      <c r="B11">
        <v>500</v>
      </c>
      <c r="C11">
        <v>10</v>
      </c>
      <c r="D11" s="4">
        <v>1E-3</v>
      </c>
      <c r="E11">
        <v>20</v>
      </c>
      <c r="F11">
        <v>1</v>
      </c>
      <c r="G11" s="3">
        <v>0.9</v>
      </c>
      <c r="H11" s="5">
        <v>0.1</v>
      </c>
      <c r="I11" t="s">
        <v>164</v>
      </c>
      <c r="J11" t="s">
        <v>135</v>
      </c>
      <c r="K11">
        <f t="shared" si="0"/>
        <v>1</v>
      </c>
      <c r="L11">
        <f t="shared" si="1"/>
        <v>1</v>
      </c>
      <c r="M11">
        <f t="shared" si="2"/>
        <v>1</v>
      </c>
      <c r="N11">
        <f t="shared" si="3"/>
        <v>1</v>
      </c>
      <c r="O11">
        <f t="shared" si="4"/>
        <v>0</v>
      </c>
      <c r="P11">
        <f t="shared" si="5"/>
        <v>0</v>
      </c>
      <c r="Q11">
        <f t="shared" si="8"/>
        <v>0</v>
      </c>
      <c r="R11">
        <f t="shared" si="6"/>
        <v>0</v>
      </c>
      <c r="S11">
        <f t="shared" si="7"/>
        <v>4</v>
      </c>
    </row>
    <row r="12" spans="1:19" x14ac:dyDescent="0.2">
      <c r="A12">
        <v>11</v>
      </c>
      <c r="B12">
        <v>500</v>
      </c>
      <c r="C12">
        <v>1</v>
      </c>
      <c r="D12">
        <v>0.01</v>
      </c>
      <c r="E12">
        <v>20</v>
      </c>
      <c r="F12">
        <v>100</v>
      </c>
      <c r="G12">
        <v>18</v>
      </c>
      <c r="H12">
        <v>0.1</v>
      </c>
      <c r="I12" t="s">
        <v>159</v>
      </c>
      <c r="J12" t="s">
        <v>123</v>
      </c>
      <c r="K12">
        <f t="shared" si="0"/>
        <v>1</v>
      </c>
      <c r="L12">
        <f t="shared" si="1"/>
        <v>0</v>
      </c>
      <c r="M12">
        <f t="shared" si="2"/>
        <v>0</v>
      </c>
      <c r="N12">
        <f t="shared" si="3"/>
        <v>1</v>
      </c>
      <c r="O12">
        <f t="shared" si="4"/>
        <v>1</v>
      </c>
      <c r="P12">
        <f t="shared" si="5"/>
        <v>0</v>
      </c>
      <c r="Q12">
        <f t="shared" si="8"/>
        <v>0</v>
      </c>
      <c r="R12">
        <f t="shared" si="6"/>
        <v>1</v>
      </c>
      <c r="S12">
        <f t="shared" si="7"/>
        <v>4</v>
      </c>
    </row>
    <row r="13" spans="1:19" x14ac:dyDescent="0.2">
      <c r="A13">
        <v>12</v>
      </c>
      <c r="B13">
        <v>500</v>
      </c>
      <c r="C13">
        <v>10</v>
      </c>
      <c r="D13" s="4">
        <v>1E-3</v>
      </c>
      <c r="E13">
        <v>20</v>
      </c>
      <c r="F13">
        <v>100</v>
      </c>
      <c r="G13">
        <v>90</v>
      </c>
      <c r="H13" s="5">
        <v>0.05</v>
      </c>
      <c r="I13" t="s">
        <v>159</v>
      </c>
      <c r="J13" t="s">
        <v>128</v>
      </c>
      <c r="K13">
        <f t="shared" si="0"/>
        <v>1</v>
      </c>
      <c r="L13">
        <f t="shared" si="1"/>
        <v>1</v>
      </c>
      <c r="M13">
        <f t="shared" si="2"/>
        <v>1</v>
      </c>
      <c r="N13">
        <f t="shared" si="3"/>
        <v>1</v>
      </c>
      <c r="O13">
        <f t="shared" si="4"/>
        <v>1</v>
      </c>
      <c r="P13">
        <f t="shared" si="5"/>
        <v>0</v>
      </c>
      <c r="Q13">
        <f t="shared" si="8"/>
        <v>1</v>
      </c>
      <c r="R13">
        <f t="shared" si="6"/>
        <v>1</v>
      </c>
      <c r="S13">
        <f t="shared" si="7"/>
        <v>7</v>
      </c>
    </row>
    <row r="14" spans="1:19" x14ac:dyDescent="0.2">
      <c r="A14">
        <v>13</v>
      </c>
      <c r="B14">
        <v>500</v>
      </c>
      <c r="C14">
        <v>10</v>
      </c>
      <c r="D14">
        <v>1</v>
      </c>
      <c r="E14">
        <v>5</v>
      </c>
      <c r="F14">
        <v>20</v>
      </c>
      <c r="G14">
        <v>10</v>
      </c>
      <c r="H14">
        <v>0.1</v>
      </c>
      <c r="I14">
        <v>100</v>
      </c>
      <c r="J14" t="s">
        <v>135</v>
      </c>
      <c r="K14">
        <f t="shared" si="0"/>
        <v>1</v>
      </c>
      <c r="L14">
        <f t="shared" si="1"/>
        <v>1</v>
      </c>
      <c r="M14">
        <f t="shared" si="2"/>
        <v>0</v>
      </c>
      <c r="N14">
        <f t="shared" si="3"/>
        <v>0</v>
      </c>
      <c r="O14">
        <f t="shared" si="4"/>
        <v>0</v>
      </c>
      <c r="P14">
        <f t="shared" si="5"/>
        <v>0</v>
      </c>
      <c r="Q14">
        <f t="shared" si="8"/>
        <v>0</v>
      </c>
      <c r="R14">
        <f t="shared" si="6"/>
        <v>0</v>
      </c>
      <c r="S14">
        <f t="shared" si="7"/>
        <v>2</v>
      </c>
    </row>
    <row r="15" spans="1:19" x14ac:dyDescent="0.2">
      <c r="A15">
        <v>14</v>
      </c>
      <c r="B15">
        <v>500</v>
      </c>
      <c r="C15">
        <v>10</v>
      </c>
      <c r="D15">
        <v>0.1</v>
      </c>
      <c r="E15">
        <v>20</v>
      </c>
      <c r="F15">
        <v>100</v>
      </c>
      <c r="G15" s="3">
        <v>0.5</v>
      </c>
      <c r="H15" s="5">
        <v>0.05</v>
      </c>
      <c r="I15">
        <v>100</v>
      </c>
      <c r="J15" t="s">
        <v>117</v>
      </c>
      <c r="K15">
        <f t="shared" si="0"/>
        <v>1</v>
      </c>
      <c r="L15">
        <f t="shared" si="1"/>
        <v>1</v>
      </c>
      <c r="M15">
        <f t="shared" si="2"/>
        <v>1</v>
      </c>
      <c r="N15">
        <f t="shared" si="3"/>
        <v>1</v>
      </c>
      <c r="O15">
        <f t="shared" si="4"/>
        <v>1</v>
      </c>
      <c r="P15">
        <f t="shared" si="5"/>
        <v>1</v>
      </c>
      <c r="Q15">
        <f t="shared" si="8"/>
        <v>1</v>
      </c>
      <c r="R15">
        <f t="shared" si="6"/>
        <v>0</v>
      </c>
      <c r="S15">
        <f t="shared" si="7"/>
        <v>7</v>
      </c>
    </row>
    <row r="16" spans="1:19" x14ac:dyDescent="0.2">
      <c r="A16">
        <v>15</v>
      </c>
      <c r="B16">
        <v>500</v>
      </c>
      <c r="C16">
        <v>10</v>
      </c>
      <c r="D16" s="4">
        <v>1E-3</v>
      </c>
      <c r="E16" s="3">
        <v>0.2</v>
      </c>
      <c r="F16">
        <v>100</v>
      </c>
      <c r="G16" s="3">
        <v>0.01</v>
      </c>
      <c r="H16">
        <v>0.05</v>
      </c>
      <c r="I16">
        <v>100</v>
      </c>
      <c r="J16" t="s">
        <v>135</v>
      </c>
      <c r="K16">
        <f t="shared" si="0"/>
        <v>1</v>
      </c>
      <c r="L16">
        <f t="shared" si="1"/>
        <v>1</v>
      </c>
      <c r="M16">
        <f t="shared" si="2"/>
        <v>1</v>
      </c>
      <c r="N16">
        <f t="shared" si="3"/>
        <v>1</v>
      </c>
      <c r="O16">
        <f t="shared" si="4"/>
        <v>1</v>
      </c>
      <c r="P16">
        <f t="shared" si="5"/>
        <v>0</v>
      </c>
      <c r="Q16">
        <f t="shared" si="8"/>
        <v>1</v>
      </c>
      <c r="R16">
        <f t="shared" si="6"/>
        <v>0</v>
      </c>
      <c r="S16">
        <f t="shared" si="7"/>
        <v>6</v>
      </c>
    </row>
    <row r="17" spans="1:19" x14ac:dyDescent="0.2">
      <c r="A17">
        <v>16</v>
      </c>
      <c r="B17">
        <v>500</v>
      </c>
      <c r="C17">
        <v>10</v>
      </c>
      <c r="D17" s="4">
        <v>1E-3</v>
      </c>
      <c r="E17">
        <v>20</v>
      </c>
      <c r="F17">
        <v>100</v>
      </c>
      <c r="G17" s="3">
        <v>0.5</v>
      </c>
      <c r="H17" s="5">
        <v>0.1</v>
      </c>
      <c r="I17" t="s">
        <v>159</v>
      </c>
      <c r="J17" t="s">
        <v>128</v>
      </c>
      <c r="K17">
        <f t="shared" si="0"/>
        <v>1</v>
      </c>
      <c r="L17">
        <f t="shared" si="1"/>
        <v>1</v>
      </c>
      <c r="M17">
        <f t="shared" si="2"/>
        <v>1</v>
      </c>
      <c r="N17">
        <f t="shared" si="3"/>
        <v>1</v>
      </c>
      <c r="O17">
        <f t="shared" si="4"/>
        <v>1</v>
      </c>
      <c r="P17">
        <f t="shared" si="5"/>
        <v>1</v>
      </c>
      <c r="Q17">
        <f t="shared" si="8"/>
        <v>0</v>
      </c>
      <c r="R17">
        <f t="shared" si="6"/>
        <v>1</v>
      </c>
      <c r="S17">
        <f t="shared" si="7"/>
        <v>7</v>
      </c>
    </row>
    <row r="18" spans="1:19" x14ac:dyDescent="0.2">
      <c r="A18">
        <v>17</v>
      </c>
      <c r="B18">
        <v>500</v>
      </c>
      <c r="C18">
        <v>10</v>
      </c>
      <c r="D18">
        <v>0.05</v>
      </c>
      <c r="E18">
        <v>20</v>
      </c>
      <c r="F18">
        <v>100</v>
      </c>
      <c r="G18">
        <v>50</v>
      </c>
      <c r="H18">
        <v>0.05</v>
      </c>
      <c r="I18">
        <v>100</v>
      </c>
      <c r="J18" t="s">
        <v>123</v>
      </c>
      <c r="K18">
        <f t="shared" si="0"/>
        <v>1</v>
      </c>
      <c r="L18">
        <f t="shared" si="1"/>
        <v>1</v>
      </c>
      <c r="M18">
        <f t="shared" si="2"/>
        <v>0</v>
      </c>
      <c r="N18">
        <f t="shared" si="3"/>
        <v>1</v>
      </c>
      <c r="O18">
        <f t="shared" si="4"/>
        <v>1</v>
      </c>
      <c r="P18">
        <f t="shared" si="5"/>
        <v>1</v>
      </c>
      <c r="Q18">
        <f t="shared" si="8"/>
        <v>1</v>
      </c>
      <c r="R18">
        <f t="shared" si="6"/>
        <v>0</v>
      </c>
      <c r="S18">
        <f t="shared" si="7"/>
        <v>6</v>
      </c>
    </row>
    <row r="19" spans="1:19" x14ac:dyDescent="0.2">
      <c r="A19">
        <v>18</v>
      </c>
      <c r="B19">
        <v>500</v>
      </c>
      <c r="C19">
        <v>10</v>
      </c>
      <c r="D19" s="4">
        <v>1E-3</v>
      </c>
      <c r="E19">
        <v>20</v>
      </c>
      <c r="F19">
        <v>100</v>
      </c>
      <c r="G19">
        <v>90</v>
      </c>
      <c r="H19">
        <v>0.1</v>
      </c>
      <c r="I19">
        <v>100</v>
      </c>
      <c r="J19" t="s">
        <v>135</v>
      </c>
      <c r="K19">
        <f t="shared" si="0"/>
        <v>1</v>
      </c>
      <c r="L19">
        <f t="shared" si="1"/>
        <v>1</v>
      </c>
      <c r="M19">
        <f t="shared" si="2"/>
        <v>1</v>
      </c>
      <c r="N19">
        <f t="shared" si="3"/>
        <v>1</v>
      </c>
      <c r="O19">
        <f t="shared" si="4"/>
        <v>1</v>
      </c>
      <c r="P19">
        <f t="shared" si="5"/>
        <v>0</v>
      </c>
      <c r="Q19">
        <f t="shared" si="8"/>
        <v>0</v>
      </c>
      <c r="R19">
        <f t="shared" si="6"/>
        <v>0</v>
      </c>
      <c r="S19">
        <f t="shared" si="7"/>
        <v>5</v>
      </c>
    </row>
    <row r="20" spans="1:19" x14ac:dyDescent="0.2">
      <c r="A20">
        <v>19</v>
      </c>
      <c r="B20">
        <v>500</v>
      </c>
      <c r="C20">
        <v>10</v>
      </c>
      <c r="D20" s="4">
        <v>1E-3</v>
      </c>
      <c r="E20">
        <v>20</v>
      </c>
      <c r="F20">
        <v>100</v>
      </c>
      <c r="G20" s="3">
        <v>0.09</v>
      </c>
      <c r="H20">
        <v>0.05</v>
      </c>
      <c r="I20">
        <v>100</v>
      </c>
      <c r="J20" t="s">
        <v>123</v>
      </c>
      <c r="K20">
        <f t="shared" si="0"/>
        <v>1</v>
      </c>
      <c r="L20">
        <f t="shared" si="1"/>
        <v>1</v>
      </c>
      <c r="M20">
        <f t="shared" si="2"/>
        <v>1</v>
      </c>
      <c r="N20">
        <f t="shared" si="3"/>
        <v>1</v>
      </c>
      <c r="O20">
        <f t="shared" si="4"/>
        <v>1</v>
      </c>
      <c r="P20">
        <f t="shared" si="5"/>
        <v>0</v>
      </c>
      <c r="Q20">
        <f t="shared" si="8"/>
        <v>1</v>
      </c>
      <c r="R20">
        <f t="shared" si="6"/>
        <v>0</v>
      </c>
      <c r="S20">
        <f t="shared" si="7"/>
        <v>6</v>
      </c>
    </row>
    <row r="21" spans="1:19" x14ac:dyDescent="0.2">
      <c r="A21">
        <v>20</v>
      </c>
      <c r="B21">
        <v>500</v>
      </c>
      <c r="C21">
        <v>10</v>
      </c>
      <c r="D21" s="4">
        <v>1E-3</v>
      </c>
      <c r="E21">
        <v>20</v>
      </c>
      <c r="F21">
        <v>10</v>
      </c>
      <c r="G21" s="3">
        <v>0.1</v>
      </c>
      <c r="H21" t="s">
        <v>207</v>
      </c>
      <c r="I21" t="s">
        <v>208</v>
      </c>
      <c r="J21" t="s">
        <v>128</v>
      </c>
      <c r="K21">
        <f t="shared" si="0"/>
        <v>1</v>
      </c>
      <c r="L21">
        <f t="shared" si="1"/>
        <v>1</v>
      </c>
      <c r="M21">
        <f t="shared" si="2"/>
        <v>1</v>
      </c>
      <c r="N21">
        <f t="shared" si="3"/>
        <v>1</v>
      </c>
      <c r="O21">
        <f t="shared" si="4"/>
        <v>0</v>
      </c>
      <c r="P21">
        <f t="shared" si="5"/>
        <v>0</v>
      </c>
      <c r="Q21">
        <f t="shared" si="8"/>
        <v>0</v>
      </c>
      <c r="R21">
        <f t="shared" si="6"/>
        <v>0</v>
      </c>
      <c r="S21">
        <f t="shared" si="7"/>
        <v>4</v>
      </c>
    </row>
    <row r="22" spans="1:19" x14ac:dyDescent="0.2">
      <c r="A22">
        <v>21</v>
      </c>
      <c r="B22">
        <v>500</v>
      </c>
      <c r="C22">
        <v>10</v>
      </c>
      <c r="D22" s="4">
        <v>1E-3</v>
      </c>
      <c r="E22">
        <v>20</v>
      </c>
      <c r="F22">
        <v>100</v>
      </c>
      <c r="G22" s="3">
        <v>0.5</v>
      </c>
      <c r="H22">
        <v>0.05</v>
      </c>
      <c r="I22">
        <v>100</v>
      </c>
      <c r="J22" t="s">
        <v>123</v>
      </c>
      <c r="K22">
        <f t="shared" si="0"/>
        <v>1</v>
      </c>
      <c r="L22">
        <f t="shared" si="1"/>
        <v>1</v>
      </c>
      <c r="M22">
        <f t="shared" si="2"/>
        <v>1</v>
      </c>
      <c r="N22">
        <f t="shared" si="3"/>
        <v>1</v>
      </c>
      <c r="O22">
        <f t="shared" si="4"/>
        <v>1</v>
      </c>
      <c r="P22">
        <f t="shared" si="5"/>
        <v>1</v>
      </c>
      <c r="Q22">
        <f t="shared" si="8"/>
        <v>1</v>
      </c>
      <c r="R22">
        <f t="shared" si="6"/>
        <v>0</v>
      </c>
      <c r="S22">
        <f t="shared" si="7"/>
        <v>7</v>
      </c>
    </row>
    <row r="23" spans="1:19" x14ac:dyDescent="0.2">
      <c r="A23">
        <v>22</v>
      </c>
      <c r="B23">
        <v>500</v>
      </c>
      <c r="C23">
        <v>10</v>
      </c>
      <c r="D23">
        <v>1</v>
      </c>
      <c r="E23">
        <v>20</v>
      </c>
      <c r="F23">
        <v>1</v>
      </c>
      <c r="G23" t="s">
        <v>218</v>
      </c>
      <c r="H23" t="s">
        <v>219</v>
      </c>
      <c r="I23" t="s">
        <v>208</v>
      </c>
      <c r="J23" t="s">
        <v>135</v>
      </c>
      <c r="K23">
        <f t="shared" si="0"/>
        <v>1</v>
      </c>
      <c r="L23">
        <f t="shared" si="1"/>
        <v>1</v>
      </c>
      <c r="M23">
        <f t="shared" si="2"/>
        <v>0</v>
      </c>
      <c r="N23">
        <f t="shared" si="3"/>
        <v>1</v>
      </c>
      <c r="O23">
        <f t="shared" si="4"/>
        <v>0</v>
      </c>
      <c r="P23">
        <f t="shared" si="5"/>
        <v>0</v>
      </c>
      <c r="Q23">
        <f t="shared" si="8"/>
        <v>0</v>
      </c>
      <c r="R23">
        <f t="shared" si="6"/>
        <v>0</v>
      </c>
      <c r="S23">
        <f t="shared" si="7"/>
        <v>3</v>
      </c>
    </row>
    <row r="24" spans="1:19" x14ac:dyDescent="0.2">
      <c r="A24">
        <v>23</v>
      </c>
      <c r="B24">
        <v>500</v>
      </c>
      <c r="C24">
        <v>10</v>
      </c>
      <c r="D24" s="4">
        <v>1E-3</v>
      </c>
      <c r="E24" s="3">
        <v>0.2</v>
      </c>
      <c r="F24">
        <v>100</v>
      </c>
      <c r="G24" s="4">
        <v>0.16200000000000001</v>
      </c>
      <c r="H24" s="5">
        <v>0.05</v>
      </c>
      <c r="I24" t="s">
        <v>159</v>
      </c>
      <c r="J24" t="s">
        <v>123</v>
      </c>
      <c r="K24">
        <f t="shared" si="0"/>
        <v>1</v>
      </c>
      <c r="L24">
        <f t="shared" si="1"/>
        <v>1</v>
      </c>
      <c r="M24">
        <f t="shared" si="2"/>
        <v>1</v>
      </c>
      <c r="N24">
        <f t="shared" si="3"/>
        <v>1</v>
      </c>
      <c r="O24">
        <f t="shared" si="4"/>
        <v>1</v>
      </c>
      <c r="P24">
        <f t="shared" si="5"/>
        <v>0</v>
      </c>
      <c r="Q24">
        <f t="shared" si="8"/>
        <v>1</v>
      </c>
      <c r="R24">
        <f t="shared" si="6"/>
        <v>1</v>
      </c>
      <c r="S24">
        <f t="shared" si="7"/>
        <v>7</v>
      </c>
    </row>
    <row r="25" spans="1:19" x14ac:dyDescent="0.2">
      <c r="A25">
        <v>24</v>
      </c>
      <c r="B25">
        <v>500</v>
      </c>
      <c r="C25">
        <v>10</v>
      </c>
      <c r="D25">
        <v>0.5</v>
      </c>
      <c r="E25">
        <v>20</v>
      </c>
      <c r="F25">
        <v>100</v>
      </c>
      <c r="G25" s="3">
        <v>0.5</v>
      </c>
      <c r="H25">
        <v>0.1</v>
      </c>
      <c r="I25" t="s">
        <v>164</v>
      </c>
      <c r="J25" t="s">
        <v>128</v>
      </c>
      <c r="K25">
        <f t="shared" si="0"/>
        <v>1</v>
      </c>
      <c r="L25">
        <f t="shared" si="1"/>
        <v>1</v>
      </c>
      <c r="M25">
        <f t="shared" si="2"/>
        <v>0</v>
      </c>
      <c r="N25">
        <f t="shared" si="3"/>
        <v>1</v>
      </c>
      <c r="O25">
        <f t="shared" si="4"/>
        <v>1</v>
      </c>
      <c r="P25">
        <f t="shared" si="5"/>
        <v>1</v>
      </c>
      <c r="Q25">
        <f t="shared" si="8"/>
        <v>0</v>
      </c>
      <c r="R25">
        <f t="shared" si="6"/>
        <v>0</v>
      </c>
      <c r="S25">
        <f t="shared" si="7"/>
        <v>5</v>
      </c>
    </row>
    <row r="26" spans="1:19" x14ac:dyDescent="0.2">
      <c r="A26">
        <v>25</v>
      </c>
      <c r="B26" s="3">
        <v>0.6</v>
      </c>
      <c r="C26" s="3">
        <v>0.01</v>
      </c>
      <c r="D26" s="3">
        <v>0.01</v>
      </c>
      <c r="E26" s="3">
        <v>0.02</v>
      </c>
      <c r="F26">
        <v>100</v>
      </c>
      <c r="G26" s="3">
        <v>0.01</v>
      </c>
      <c r="H26">
        <v>0.1</v>
      </c>
      <c r="I26">
        <v>100</v>
      </c>
      <c r="J26" t="s">
        <v>128</v>
      </c>
      <c r="K26">
        <f t="shared" si="0"/>
        <v>0</v>
      </c>
      <c r="L26">
        <f t="shared" si="1"/>
        <v>0</v>
      </c>
      <c r="M26">
        <f t="shared" si="2"/>
        <v>0</v>
      </c>
      <c r="N26">
        <f t="shared" si="3"/>
        <v>0</v>
      </c>
      <c r="O26">
        <f t="shared" si="4"/>
        <v>1</v>
      </c>
      <c r="P26">
        <f t="shared" si="5"/>
        <v>0</v>
      </c>
      <c r="Q26">
        <f t="shared" si="8"/>
        <v>0</v>
      </c>
      <c r="R26">
        <f t="shared" si="6"/>
        <v>0</v>
      </c>
      <c r="S26">
        <f t="shared" si="7"/>
        <v>1</v>
      </c>
    </row>
    <row r="27" spans="1:19" x14ac:dyDescent="0.2">
      <c r="A27">
        <v>26</v>
      </c>
      <c r="B27">
        <v>500</v>
      </c>
      <c r="C27">
        <v>10</v>
      </c>
      <c r="D27">
        <v>1E-3</v>
      </c>
      <c r="E27">
        <v>20</v>
      </c>
      <c r="F27">
        <v>100</v>
      </c>
      <c r="G27" s="3">
        <v>0.09</v>
      </c>
      <c r="H27">
        <v>0.05</v>
      </c>
      <c r="I27">
        <v>5</v>
      </c>
      <c r="J27" t="s">
        <v>117</v>
      </c>
      <c r="K27">
        <f t="shared" si="0"/>
        <v>1</v>
      </c>
      <c r="L27">
        <f t="shared" si="1"/>
        <v>1</v>
      </c>
      <c r="M27">
        <f t="shared" si="2"/>
        <v>1</v>
      </c>
      <c r="N27">
        <f t="shared" si="3"/>
        <v>1</v>
      </c>
      <c r="O27">
        <f t="shared" si="4"/>
        <v>1</v>
      </c>
      <c r="P27">
        <f t="shared" si="5"/>
        <v>0</v>
      </c>
      <c r="Q27">
        <f t="shared" si="8"/>
        <v>1</v>
      </c>
      <c r="R27">
        <f t="shared" si="6"/>
        <v>1</v>
      </c>
      <c r="S27">
        <f t="shared" si="7"/>
        <v>7</v>
      </c>
    </row>
    <row r="28" spans="1:19" x14ac:dyDescent="0.2">
      <c r="A28">
        <v>27</v>
      </c>
      <c r="B28">
        <v>500</v>
      </c>
      <c r="C28">
        <v>10</v>
      </c>
      <c r="D28">
        <v>1E-3</v>
      </c>
      <c r="E28">
        <v>20</v>
      </c>
      <c r="F28">
        <v>100</v>
      </c>
      <c r="G28" s="3">
        <v>0.09</v>
      </c>
      <c r="H28" t="s">
        <v>241</v>
      </c>
      <c r="I28" t="s">
        <v>159</v>
      </c>
      <c r="J28" t="s">
        <v>135</v>
      </c>
      <c r="K28">
        <f t="shared" si="0"/>
        <v>1</v>
      </c>
      <c r="L28">
        <f t="shared" si="1"/>
        <v>1</v>
      </c>
      <c r="M28">
        <f t="shared" si="2"/>
        <v>1</v>
      </c>
      <c r="N28">
        <f t="shared" si="3"/>
        <v>1</v>
      </c>
      <c r="O28">
        <f t="shared" si="4"/>
        <v>1</v>
      </c>
      <c r="P28">
        <f t="shared" si="5"/>
        <v>0</v>
      </c>
      <c r="Q28">
        <f t="shared" si="8"/>
        <v>0</v>
      </c>
      <c r="R28">
        <f t="shared" si="6"/>
        <v>1</v>
      </c>
      <c r="S28">
        <f t="shared" si="7"/>
        <v>6</v>
      </c>
    </row>
    <row r="29" spans="1:19" x14ac:dyDescent="0.2">
      <c r="A29">
        <v>28</v>
      </c>
      <c r="B29">
        <v>500</v>
      </c>
      <c r="C29">
        <v>10</v>
      </c>
      <c r="D29" s="4">
        <v>1E-4</v>
      </c>
      <c r="E29">
        <v>20</v>
      </c>
      <c r="F29">
        <v>100</v>
      </c>
      <c r="G29">
        <v>50</v>
      </c>
      <c r="H29" s="5">
        <v>0.1</v>
      </c>
      <c r="I29" t="s">
        <v>164</v>
      </c>
      <c r="J29" t="s">
        <v>128</v>
      </c>
      <c r="K29">
        <f t="shared" si="0"/>
        <v>1</v>
      </c>
      <c r="L29">
        <f t="shared" si="1"/>
        <v>1</v>
      </c>
      <c r="M29">
        <f t="shared" si="2"/>
        <v>0</v>
      </c>
      <c r="N29">
        <f t="shared" si="3"/>
        <v>1</v>
      </c>
      <c r="O29">
        <f t="shared" si="4"/>
        <v>1</v>
      </c>
      <c r="P29">
        <f t="shared" si="5"/>
        <v>1</v>
      </c>
      <c r="Q29">
        <f t="shared" si="8"/>
        <v>0</v>
      </c>
      <c r="R29">
        <f t="shared" si="6"/>
        <v>0</v>
      </c>
      <c r="S29">
        <f t="shared" si="7"/>
        <v>5</v>
      </c>
    </row>
    <row r="30" spans="1:19" x14ac:dyDescent="0.2">
      <c r="A30">
        <v>29</v>
      </c>
      <c r="B30">
        <v>500</v>
      </c>
      <c r="C30">
        <v>10</v>
      </c>
      <c r="D30" s="4">
        <v>1E-3</v>
      </c>
      <c r="E30" s="3">
        <v>0.2</v>
      </c>
      <c r="F30">
        <v>100</v>
      </c>
      <c r="G30" s="3">
        <v>0.5</v>
      </c>
      <c r="H30">
        <v>0.05</v>
      </c>
      <c r="I30" t="s">
        <v>159</v>
      </c>
      <c r="J30" t="s">
        <v>117</v>
      </c>
      <c r="K30">
        <f t="shared" si="0"/>
        <v>1</v>
      </c>
      <c r="L30">
        <f t="shared" si="1"/>
        <v>1</v>
      </c>
      <c r="M30">
        <f t="shared" si="2"/>
        <v>1</v>
      </c>
      <c r="N30">
        <f t="shared" si="3"/>
        <v>1</v>
      </c>
      <c r="O30">
        <f t="shared" si="4"/>
        <v>1</v>
      </c>
      <c r="P30">
        <f t="shared" si="5"/>
        <v>1</v>
      </c>
      <c r="Q30">
        <f t="shared" si="8"/>
        <v>1</v>
      </c>
      <c r="R30">
        <f t="shared" si="6"/>
        <v>1</v>
      </c>
      <c r="S30">
        <f t="shared" si="7"/>
        <v>8</v>
      </c>
    </row>
    <row r="31" spans="1:19" x14ac:dyDescent="0.2">
      <c r="A31">
        <v>30</v>
      </c>
      <c r="B31">
        <v>500</v>
      </c>
      <c r="C31">
        <v>10</v>
      </c>
      <c r="D31">
        <v>0.1</v>
      </c>
      <c r="E31">
        <v>20</v>
      </c>
      <c r="F31">
        <v>100</v>
      </c>
      <c r="G31" s="3">
        <v>0.9</v>
      </c>
      <c r="H31">
        <v>0.5</v>
      </c>
      <c r="I31">
        <v>5</v>
      </c>
      <c r="J31" t="s">
        <v>135</v>
      </c>
      <c r="K31">
        <f t="shared" si="0"/>
        <v>1</v>
      </c>
      <c r="L31">
        <f t="shared" si="1"/>
        <v>1</v>
      </c>
      <c r="M31">
        <f t="shared" si="2"/>
        <v>1</v>
      </c>
      <c r="N31">
        <f t="shared" si="3"/>
        <v>1</v>
      </c>
      <c r="O31">
        <f t="shared" si="4"/>
        <v>1</v>
      </c>
      <c r="P31">
        <f t="shared" si="5"/>
        <v>0</v>
      </c>
      <c r="Q31">
        <f t="shared" si="8"/>
        <v>0</v>
      </c>
      <c r="R31">
        <f t="shared" si="6"/>
        <v>1</v>
      </c>
      <c r="S31">
        <f t="shared" si="7"/>
        <v>6</v>
      </c>
    </row>
    <row r="32" spans="1:19" x14ac:dyDescent="0.2">
      <c r="A32">
        <v>31</v>
      </c>
      <c r="B32">
        <v>500</v>
      </c>
      <c r="C32">
        <v>10</v>
      </c>
      <c r="D32" s="4">
        <v>1E-3</v>
      </c>
      <c r="E32">
        <v>20</v>
      </c>
      <c r="F32">
        <v>100</v>
      </c>
      <c r="G32" s="3">
        <v>0.9</v>
      </c>
      <c r="H32" s="5">
        <v>0.05</v>
      </c>
      <c r="I32" t="s">
        <v>159</v>
      </c>
      <c r="J32" t="s">
        <v>128</v>
      </c>
      <c r="K32">
        <f t="shared" si="0"/>
        <v>1</v>
      </c>
      <c r="L32">
        <f t="shared" si="1"/>
        <v>1</v>
      </c>
      <c r="M32">
        <f t="shared" si="2"/>
        <v>1</v>
      </c>
      <c r="N32">
        <f t="shared" si="3"/>
        <v>1</v>
      </c>
      <c r="O32">
        <f t="shared" si="4"/>
        <v>1</v>
      </c>
      <c r="P32">
        <f t="shared" si="5"/>
        <v>0</v>
      </c>
      <c r="Q32">
        <f t="shared" si="8"/>
        <v>1</v>
      </c>
      <c r="R32">
        <f t="shared" si="6"/>
        <v>1</v>
      </c>
      <c r="S32">
        <f t="shared" si="7"/>
        <v>7</v>
      </c>
    </row>
    <row r="33" spans="1:19" x14ac:dyDescent="0.2">
      <c r="A33">
        <v>32</v>
      </c>
      <c r="B33">
        <v>500</v>
      </c>
      <c r="C33">
        <v>10</v>
      </c>
      <c r="D33">
        <v>0.1</v>
      </c>
      <c r="E33">
        <v>20</v>
      </c>
      <c r="F33">
        <v>1</v>
      </c>
      <c r="G33" s="3">
        <v>0.09</v>
      </c>
      <c r="H33">
        <v>1.05</v>
      </c>
      <c r="I33">
        <v>5</v>
      </c>
      <c r="J33" t="s">
        <v>135</v>
      </c>
      <c r="K33">
        <f t="shared" si="0"/>
        <v>1</v>
      </c>
      <c r="L33">
        <f t="shared" si="1"/>
        <v>1</v>
      </c>
      <c r="M33">
        <f t="shared" si="2"/>
        <v>1</v>
      </c>
      <c r="N33">
        <f t="shared" si="3"/>
        <v>1</v>
      </c>
      <c r="O33">
        <f t="shared" si="4"/>
        <v>0</v>
      </c>
      <c r="P33">
        <f t="shared" si="5"/>
        <v>0</v>
      </c>
      <c r="Q33">
        <f t="shared" si="8"/>
        <v>0</v>
      </c>
      <c r="R33">
        <f t="shared" si="6"/>
        <v>1</v>
      </c>
      <c r="S33">
        <f t="shared" si="7"/>
        <v>5</v>
      </c>
    </row>
    <row r="34" spans="1:19" x14ac:dyDescent="0.2">
      <c r="A34">
        <v>33</v>
      </c>
      <c r="B34">
        <v>200</v>
      </c>
      <c r="C34">
        <v>100</v>
      </c>
      <c r="D34">
        <v>10</v>
      </c>
      <c r="E34">
        <v>20</v>
      </c>
      <c r="F34">
        <v>100</v>
      </c>
      <c r="G34" t="s">
        <v>268</v>
      </c>
      <c r="H34" t="s">
        <v>269</v>
      </c>
      <c r="I34" t="s">
        <v>148</v>
      </c>
      <c r="J34" t="s">
        <v>128</v>
      </c>
      <c r="K34">
        <f t="shared" si="0"/>
        <v>0</v>
      </c>
      <c r="L34">
        <f t="shared" si="1"/>
        <v>0</v>
      </c>
      <c r="M34">
        <f t="shared" si="2"/>
        <v>0</v>
      </c>
      <c r="N34">
        <f t="shared" si="3"/>
        <v>1</v>
      </c>
      <c r="O34">
        <f t="shared" si="4"/>
        <v>1</v>
      </c>
      <c r="P34">
        <f t="shared" si="5"/>
        <v>0</v>
      </c>
      <c r="Q34">
        <f t="shared" si="8"/>
        <v>0</v>
      </c>
      <c r="R34">
        <f t="shared" si="6"/>
        <v>0</v>
      </c>
      <c r="S34">
        <f t="shared" si="7"/>
        <v>2</v>
      </c>
    </row>
    <row r="35" spans="1:19" x14ac:dyDescent="0.2">
      <c r="A35">
        <v>34</v>
      </c>
      <c r="B35">
        <v>510</v>
      </c>
      <c r="C35">
        <v>10</v>
      </c>
      <c r="D35">
        <v>1</v>
      </c>
      <c r="E35">
        <v>20</v>
      </c>
      <c r="F35">
        <v>100</v>
      </c>
      <c r="G35" s="3">
        <v>0.1</v>
      </c>
      <c r="H35">
        <v>0.1</v>
      </c>
      <c r="I35">
        <v>100</v>
      </c>
      <c r="J35" t="s">
        <v>117</v>
      </c>
      <c r="K35">
        <f t="shared" si="0"/>
        <v>0</v>
      </c>
      <c r="L35">
        <f t="shared" si="1"/>
        <v>1</v>
      </c>
      <c r="M35">
        <f t="shared" si="2"/>
        <v>0</v>
      </c>
      <c r="N35">
        <f t="shared" si="3"/>
        <v>1</v>
      </c>
      <c r="O35">
        <f t="shared" si="4"/>
        <v>1</v>
      </c>
      <c r="P35">
        <f t="shared" si="5"/>
        <v>0</v>
      </c>
      <c r="Q35">
        <f t="shared" si="8"/>
        <v>0</v>
      </c>
      <c r="R35">
        <f t="shared" si="6"/>
        <v>0</v>
      </c>
      <c r="S35">
        <f t="shared" si="7"/>
        <v>3</v>
      </c>
    </row>
    <row r="36" spans="1:19" x14ac:dyDescent="0.2">
      <c r="A36">
        <v>35</v>
      </c>
      <c r="B36">
        <v>500</v>
      </c>
      <c r="C36">
        <v>10</v>
      </c>
      <c r="D36">
        <v>1E-3</v>
      </c>
      <c r="E36">
        <v>20</v>
      </c>
      <c r="F36">
        <v>100</v>
      </c>
      <c r="G36">
        <v>9</v>
      </c>
      <c r="H36">
        <v>0.05</v>
      </c>
      <c r="I36">
        <v>5</v>
      </c>
      <c r="J36" t="s">
        <v>135</v>
      </c>
      <c r="K36">
        <f t="shared" si="0"/>
        <v>1</v>
      </c>
      <c r="L36">
        <f t="shared" si="1"/>
        <v>1</v>
      </c>
      <c r="M36">
        <f t="shared" si="2"/>
        <v>1</v>
      </c>
      <c r="N36">
        <f t="shared" si="3"/>
        <v>1</v>
      </c>
      <c r="O36">
        <f t="shared" si="4"/>
        <v>1</v>
      </c>
      <c r="P36">
        <f t="shared" si="5"/>
        <v>0</v>
      </c>
      <c r="Q36">
        <f t="shared" si="8"/>
        <v>1</v>
      </c>
      <c r="R36">
        <f t="shared" si="6"/>
        <v>1</v>
      </c>
      <c r="S36">
        <f t="shared" si="7"/>
        <v>7</v>
      </c>
    </row>
    <row r="37" spans="1:19" x14ac:dyDescent="0.2">
      <c r="A37">
        <v>36</v>
      </c>
      <c r="B37">
        <v>500</v>
      </c>
      <c r="C37">
        <v>10</v>
      </c>
      <c r="D37" s="4">
        <v>1E-3</v>
      </c>
      <c r="E37">
        <v>20</v>
      </c>
      <c r="F37">
        <v>100</v>
      </c>
      <c r="G37">
        <v>90</v>
      </c>
      <c r="H37">
        <v>0.05</v>
      </c>
      <c r="I37" t="s">
        <v>159</v>
      </c>
      <c r="J37" t="s">
        <v>117</v>
      </c>
      <c r="K37">
        <f t="shared" si="0"/>
        <v>1</v>
      </c>
      <c r="L37">
        <f t="shared" si="1"/>
        <v>1</v>
      </c>
      <c r="M37">
        <f t="shared" si="2"/>
        <v>1</v>
      </c>
      <c r="N37">
        <f t="shared" si="3"/>
        <v>1</v>
      </c>
      <c r="O37">
        <f t="shared" si="4"/>
        <v>1</v>
      </c>
      <c r="P37">
        <f t="shared" si="5"/>
        <v>0</v>
      </c>
      <c r="Q37">
        <f t="shared" si="8"/>
        <v>1</v>
      </c>
      <c r="R37">
        <f t="shared" si="6"/>
        <v>1</v>
      </c>
      <c r="S37">
        <f t="shared" si="7"/>
        <v>7</v>
      </c>
    </row>
    <row r="38" spans="1:19" x14ac:dyDescent="0.2">
      <c r="A38">
        <v>37</v>
      </c>
      <c r="B38">
        <v>500</v>
      </c>
      <c r="C38">
        <v>10</v>
      </c>
      <c r="D38" s="3">
        <v>0.01</v>
      </c>
      <c r="E38" s="3">
        <v>0.2</v>
      </c>
      <c r="F38">
        <v>100</v>
      </c>
      <c r="G38" s="3">
        <v>0.18</v>
      </c>
      <c r="H38" s="5">
        <v>0.05</v>
      </c>
      <c r="I38">
        <v>5</v>
      </c>
      <c r="J38" t="s">
        <v>123</v>
      </c>
      <c r="K38">
        <f t="shared" si="0"/>
        <v>1</v>
      </c>
      <c r="L38">
        <f t="shared" si="1"/>
        <v>1</v>
      </c>
      <c r="M38">
        <f t="shared" si="2"/>
        <v>0</v>
      </c>
      <c r="N38">
        <f t="shared" si="3"/>
        <v>1</v>
      </c>
      <c r="O38">
        <f t="shared" si="4"/>
        <v>1</v>
      </c>
      <c r="P38">
        <f t="shared" si="5"/>
        <v>0</v>
      </c>
      <c r="Q38">
        <f t="shared" si="8"/>
        <v>1</v>
      </c>
      <c r="R38">
        <f t="shared" si="6"/>
        <v>1</v>
      </c>
      <c r="S38">
        <f t="shared" si="7"/>
        <v>6</v>
      </c>
    </row>
    <row r="39" spans="1:19" x14ac:dyDescent="0.2">
      <c r="A39">
        <v>38</v>
      </c>
      <c r="B39">
        <v>500</v>
      </c>
      <c r="C39">
        <v>10</v>
      </c>
      <c r="D39">
        <v>0.1</v>
      </c>
      <c r="E39">
        <v>20</v>
      </c>
      <c r="F39">
        <v>100</v>
      </c>
      <c r="G39" s="3">
        <v>0.5</v>
      </c>
      <c r="H39" t="s">
        <v>134</v>
      </c>
      <c r="I39" t="s">
        <v>159</v>
      </c>
      <c r="J39" t="s">
        <v>135</v>
      </c>
      <c r="K39">
        <f t="shared" si="0"/>
        <v>1</v>
      </c>
      <c r="L39">
        <f t="shared" si="1"/>
        <v>1</v>
      </c>
      <c r="M39">
        <f t="shared" si="2"/>
        <v>1</v>
      </c>
      <c r="N39">
        <f t="shared" si="3"/>
        <v>1</v>
      </c>
      <c r="O39">
        <f t="shared" si="4"/>
        <v>1</v>
      </c>
      <c r="P39">
        <f t="shared" si="5"/>
        <v>1</v>
      </c>
      <c r="Q39">
        <f t="shared" si="8"/>
        <v>1</v>
      </c>
      <c r="R39">
        <f t="shared" si="6"/>
        <v>1</v>
      </c>
      <c r="S39">
        <f t="shared" si="7"/>
        <v>8</v>
      </c>
    </row>
    <row r="40" spans="1:19" x14ac:dyDescent="0.2">
      <c r="A40">
        <v>39</v>
      </c>
      <c r="B40">
        <v>500</v>
      </c>
      <c r="C40">
        <v>10</v>
      </c>
      <c r="D40">
        <v>0.1</v>
      </c>
      <c r="E40">
        <v>20</v>
      </c>
      <c r="F40">
        <v>100</v>
      </c>
      <c r="G40">
        <v>50</v>
      </c>
      <c r="H40">
        <v>0.05</v>
      </c>
      <c r="I40">
        <v>100</v>
      </c>
      <c r="J40" t="s">
        <v>128</v>
      </c>
      <c r="K40">
        <f t="shared" si="0"/>
        <v>1</v>
      </c>
      <c r="L40">
        <f t="shared" si="1"/>
        <v>1</v>
      </c>
      <c r="M40">
        <f t="shared" si="2"/>
        <v>1</v>
      </c>
      <c r="N40">
        <f t="shared" si="3"/>
        <v>1</v>
      </c>
      <c r="O40">
        <f t="shared" si="4"/>
        <v>1</v>
      </c>
      <c r="P40">
        <f t="shared" si="5"/>
        <v>1</v>
      </c>
      <c r="Q40">
        <f t="shared" si="8"/>
        <v>1</v>
      </c>
      <c r="R40">
        <f t="shared" si="6"/>
        <v>0</v>
      </c>
      <c r="S40">
        <f t="shared" si="7"/>
        <v>7</v>
      </c>
    </row>
    <row r="41" spans="1:19" x14ac:dyDescent="0.2">
      <c r="A41">
        <v>40</v>
      </c>
      <c r="B41">
        <v>500</v>
      </c>
      <c r="C41">
        <v>10</v>
      </c>
      <c r="D41">
        <v>0.01</v>
      </c>
      <c r="E41">
        <v>20</v>
      </c>
      <c r="F41">
        <v>100</v>
      </c>
      <c r="G41" s="3">
        <v>0.9</v>
      </c>
      <c r="H41">
        <v>0.05</v>
      </c>
      <c r="I41">
        <v>5</v>
      </c>
      <c r="J41" t="s">
        <v>123</v>
      </c>
      <c r="K41">
        <f t="shared" si="0"/>
        <v>1</v>
      </c>
      <c r="L41">
        <f t="shared" si="1"/>
        <v>1</v>
      </c>
      <c r="M41">
        <f t="shared" si="2"/>
        <v>0</v>
      </c>
      <c r="N41">
        <f t="shared" si="3"/>
        <v>1</v>
      </c>
      <c r="O41">
        <f t="shared" si="4"/>
        <v>1</v>
      </c>
      <c r="P41">
        <f t="shared" si="5"/>
        <v>0</v>
      </c>
      <c r="Q41">
        <f t="shared" si="8"/>
        <v>1</v>
      </c>
      <c r="R41">
        <f t="shared" si="6"/>
        <v>1</v>
      </c>
      <c r="S41">
        <f t="shared" si="7"/>
        <v>6</v>
      </c>
    </row>
    <row r="42" spans="1:19" x14ac:dyDescent="0.2">
      <c r="A42">
        <v>41</v>
      </c>
      <c r="B42">
        <v>500</v>
      </c>
      <c r="C42">
        <v>10</v>
      </c>
      <c r="D42">
        <v>1</v>
      </c>
      <c r="E42">
        <v>2</v>
      </c>
      <c r="F42">
        <v>100</v>
      </c>
      <c r="G42" t="s">
        <v>303</v>
      </c>
      <c r="H42" t="s">
        <v>241</v>
      </c>
      <c r="I42" t="s">
        <v>164</v>
      </c>
      <c r="J42" t="s">
        <v>123</v>
      </c>
      <c r="K42">
        <f t="shared" si="0"/>
        <v>1</v>
      </c>
      <c r="L42">
        <f t="shared" si="1"/>
        <v>1</v>
      </c>
      <c r="M42">
        <f t="shared" si="2"/>
        <v>0</v>
      </c>
      <c r="N42">
        <f t="shared" si="3"/>
        <v>0</v>
      </c>
      <c r="O42">
        <f t="shared" si="4"/>
        <v>1</v>
      </c>
      <c r="P42">
        <f t="shared" si="5"/>
        <v>0</v>
      </c>
      <c r="Q42">
        <f t="shared" si="8"/>
        <v>0</v>
      </c>
      <c r="R42">
        <f t="shared" si="6"/>
        <v>0</v>
      </c>
      <c r="S42">
        <f t="shared" si="7"/>
        <v>3</v>
      </c>
    </row>
    <row r="43" spans="1:19" x14ac:dyDescent="0.2">
      <c r="A43">
        <v>42</v>
      </c>
      <c r="B43">
        <v>250</v>
      </c>
      <c r="C43" t="s">
        <v>309</v>
      </c>
      <c r="D43" s="3">
        <v>0.01</v>
      </c>
      <c r="E43">
        <v>20</v>
      </c>
      <c r="F43">
        <v>100</v>
      </c>
      <c r="G43" t="s">
        <v>310</v>
      </c>
      <c r="H43" s="5">
        <v>0.1</v>
      </c>
      <c r="I43" t="s">
        <v>159</v>
      </c>
      <c r="J43" t="s">
        <v>117</v>
      </c>
      <c r="K43">
        <f t="shared" si="0"/>
        <v>0</v>
      </c>
      <c r="L43">
        <f t="shared" si="1"/>
        <v>0</v>
      </c>
      <c r="M43">
        <f t="shared" si="2"/>
        <v>0</v>
      </c>
      <c r="N43">
        <f t="shared" si="3"/>
        <v>1</v>
      </c>
      <c r="O43">
        <f t="shared" si="4"/>
        <v>1</v>
      </c>
      <c r="P43">
        <f t="shared" si="5"/>
        <v>0</v>
      </c>
      <c r="Q43">
        <f t="shared" si="8"/>
        <v>0</v>
      </c>
      <c r="R43">
        <f t="shared" si="6"/>
        <v>1</v>
      </c>
      <c r="S43">
        <f t="shared" si="7"/>
        <v>3</v>
      </c>
    </row>
    <row r="44" spans="1:19" x14ac:dyDescent="0.2">
      <c r="A44">
        <v>43</v>
      </c>
      <c r="B44">
        <v>500</v>
      </c>
      <c r="C44">
        <v>10</v>
      </c>
      <c r="D44">
        <v>0.1</v>
      </c>
      <c r="E44">
        <v>20</v>
      </c>
      <c r="F44">
        <v>100</v>
      </c>
      <c r="G44">
        <v>7</v>
      </c>
      <c r="H44">
        <v>0.1</v>
      </c>
      <c r="I44">
        <v>100</v>
      </c>
      <c r="J44" t="s">
        <v>117</v>
      </c>
      <c r="K44">
        <f t="shared" si="0"/>
        <v>1</v>
      </c>
      <c r="L44">
        <f t="shared" si="1"/>
        <v>1</v>
      </c>
      <c r="M44">
        <f t="shared" si="2"/>
        <v>1</v>
      </c>
      <c r="N44">
        <f t="shared" si="3"/>
        <v>1</v>
      </c>
      <c r="O44">
        <f t="shared" si="4"/>
        <v>1</v>
      </c>
      <c r="P44">
        <f t="shared" si="5"/>
        <v>0</v>
      </c>
      <c r="Q44">
        <f t="shared" si="8"/>
        <v>0</v>
      </c>
      <c r="R44">
        <f t="shared" si="6"/>
        <v>0</v>
      </c>
      <c r="S44">
        <f t="shared" si="7"/>
        <v>5</v>
      </c>
    </row>
    <row r="45" spans="1:19" x14ac:dyDescent="0.2">
      <c r="A45">
        <v>44</v>
      </c>
      <c r="B45">
        <v>500</v>
      </c>
      <c r="C45">
        <v>10</v>
      </c>
      <c r="D45">
        <v>0.1</v>
      </c>
      <c r="E45">
        <v>20</v>
      </c>
      <c r="F45">
        <v>100</v>
      </c>
      <c r="G45" s="3">
        <v>0.5</v>
      </c>
      <c r="H45">
        <v>0.05</v>
      </c>
      <c r="I45">
        <v>5</v>
      </c>
      <c r="J45" t="s">
        <v>117</v>
      </c>
      <c r="K45">
        <f t="shared" si="0"/>
        <v>1</v>
      </c>
      <c r="L45">
        <f t="shared" si="1"/>
        <v>1</v>
      </c>
      <c r="M45">
        <f t="shared" si="2"/>
        <v>1</v>
      </c>
      <c r="N45">
        <f t="shared" si="3"/>
        <v>1</v>
      </c>
      <c r="O45">
        <f t="shared" si="4"/>
        <v>1</v>
      </c>
      <c r="P45">
        <f t="shared" si="5"/>
        <v>1</v>
      </c>
      <c r="Q45">
        <f t="shared" si="8"/>
        <v>1</v>
      </c>
      <c r="R45">
        <f t="shared" si="6"/>
        <v>1</v>
      </c>
      <c r="S45">
        <f t="shared" si="7"/>
        <v>8</v>
      </c>
    </row>
    <row r="46" spans="1:19" x14ac:dyDescent="0.2">
      <c r="A46">
        <v>45</v>
      </c>
      <c r="B46">
        <v>765</v>
      </c>
      <c r="C46">
        <v>0.25</v>
      </c>
      <c r="D46">
        <v>1</v>
      </c>
      <c r="E46">
        <v>10</v>
      </c>
      <c r="F46">
        <v>150</v>
      </c>
      <c r="G46">
        <v>25</v>
      </c>
      <c r="H46">
        <v>0.1</v>
      </c>
      <c r="I46">
        <v>20</v>
      </c>
      <c r="J46" t="s">
        <v>128</v>
      </c>
      <c r="K46">
        <f t="shared" si="0"/>
        <v>0</v>
      </c>
      <c r="L46">
        <f t="shared" si="1"/>
        <v>0</v>
      </c>
      <c r="M46">
        <f t="shared" si="2"/>
        <v>0</v>
      </c>
      <c r="N46">
        <f t="shared" si="3"/>
        <v>0</v>
      </c>
      <c r="O46">
        <f t="shared" si="4"/>
        <v>0</v>
      </c>
      <c r="P46">
        <f t="shared" si="5"/>
        <v>0</v>
      </c>
      <c r="Q46">
        <f t="shared" si="8"/>
        <v>0</v>
      </c>
      <c r="R46">
        <f t="shared" si="6"/>
        <v>0</v>
      </c>
      <c r="S46">
        <f t="shared" si="7"/>
        <v>0</v>
      </c>
    </row>
    <row r="47" spans="1:19" x14ac:dyDescent="0.2">
      <c r="A47">
        <v>46</v>
      </c>
      <c r="B47">
        <v>500</v>
      </c>
      <c r="C47">
        <v>10</v>
      </c>
      <c r="D47" t="s">
        <v>328</v>
      </c>
      <c r="E47">
        <v>20</v>
      </c>
      <c r="F47">
        <v>100</v>
      </c>
      <c r="G47" t="s">
        <v>329</v>
      </c>
      <c r="H47" t="s">
        <v>241</v>
      </c>
      <c r="I47">
        <v>100</v>
      </c>
      <c r="J47" t="s">
        <v>135</v>
      </c>
      <c r="K47">
        <f t="shared" si="0"/>
        <v>1</v>
      </c>
      <c r="L47">
        <f t="shared" si="1"/>
        <v>1</v>
      </c>
      <c r="M47">
        <f t="shared" si="2"/>
        <v>0</v>
      </c>
      <c r="N47">
        <f t="shared" si="3"/>
        <v>1</v>
      </c>
      <c r="O47">
        <f t="shared" si="4"/>
        <v>1</v>
      </c>
      <c r="P47">
        <f t="shared" si="5"/>
        <v>0</v>
      </c>
      <c r="Q47">
        <f t="shared" si="8"/>
        <v>0</v>
      </c>
      <c r="R47">
        <f t="shared" si="6"/>
        <v>0</v>
      </c>
      <c r="S47">
        <f t="shared" si="7"/>
        <v>4</v>
      </c>
    </row>
    <row r="48" spans="1:19" x14ac:dyDescent="0.2">
      <c r="A48">
        <v>47</v>
      </c>
      <c r="B48">
        <v>50</v>
      </c>
      <c r="C48">
        <v>10</v>
      </c>
      <c r="D48" t="s">
        <v>334</v>
      </c>
      <c r="E48">
        <v>20</v>
      </c>
      <c r="F48">
        <v>100</v>
      </c>
      <c r="G48" t="s">
        <v>335</v>
      </c>
      <c r="H48">
        <v>10</v>
      </c>
      <c r="I48">
        <v>140</v>
      </c>
      <c r="J48" t="s">
        <v>117</v>
      </c>
      <c r="K48">
        <f t="shared" si="0"/>
        <v>0</v>
      </c>
      <c r="L48">
        <f t="shared" si="1"/>
        <v>1</v>
      </c>
      <c r="M48">
        <f t="shared" si="2"/>
        <v>0</v>
      </c>
      <c r="N48">
        <f t="shared" si="3"/>
        <v>1</v>
      </c>
      <c r="O48">
        <f t="shared" si="4"/>
        <v>1</v>
      </c>
      <c r="P48">
        <f t="shared" si="5"/>
        <v>0</v>
      </c>
      <c r="Q48">
        <f t="shared" si="8"/>
        <v>0</v>
      </c>
      <c r="R48">
        <f t="shared" si="6"/>
        <v>0</v>
      </c>
      <c r="S48">
        <f t="shared" si="7"/>
        <v>3</v>
      </c>
    </row>
    <row r="49" spans="1:19" x14ac:dyDescent="0.2">
      <c r="A49">
        <v>48</v>
      </c>
      <c r="B49">
        <v>500</v>
      </c>
      <c r="C49">
        <v>10</v>
      </c>
      <c r="D49">
        <v>1E-3</v>
      </c>
      <c r="E49">
        <v>20</v>
      </c>
      <c r="F49">
        <v>100</v>
      </c>
      <c r="G49" s="3">
        <v>0.01</v>
      </c>
      <c r="H49">
        <v>0.105</v>
      </c>
      <c r="I49" t="s">
        <v>159</v>
      </c>
      <c r="J49" t="s">
        <v>117</v>
      </c>
      <c r="K49">
        <f t="shared" si="0"/>
        <v>1</v>
      </c>
      <c r="L49">
        <f t="shared" si="1"/>
        <v>1</v>
      </c>
      <c r="M49">
        <f t="shared" si="2"/>
        <v>1</v>
      </c>
      <c r="N49">
        <f t="shared" si="3"/>
        <v>1</v>
      </c>
      <c r="O49">
        <f t="shared" si="4"/>
        <v>1</v>
      </c>
      <c r="P49">
        <f t="shared" si="5"/>
        <v>0</v>
      </c>
      <c r="Q49">
        <f t="shared" si="8"/>
        <v>0</v>
      </c>
      <c r="R49">
        <f t="shared" si="6"/>
        <v>1</v>
      </c>
      <c r="S49">
        <f t="shared" si="7"/>
        <v>6</v>
      </c>
    </row>
    <row r="50" spans="1:19" x14ac:dyDescent="0.2">
      <c r="A50">
        <v>49</v>
      </c>
      <c r="B50">
        <v>500</v>
      </c>
      <c r="C50">
        <v>10</v>
      </c>
      <c r="D50">
        <v>0.1</v>
      </c>
      <c r="E50">
        <v>20</v>
      </c>
      <c r="F50">
        <v>10</v>
      </c>
      <c r="G50" s="3">
        <v>0.9</v>
      </c>
      <c r="H50" s="5">
        <v>0.1</v>
      </c>
      <c r="I50" t="s">
        <v>164</v>
      </c>
      <c r="J50" t="s">
        <v>123</v>
      </c>
      <c r="K50">
        <f t="shared" si="0"/>
        <v>1</v>
      </c>
      <c r="L50">
        <f t="shared" si="1"/>
        <v>1</v>
      </c>
      <c r="M50">
        <f t="shared" si="2"/>
        <v>1</v>
      </c>
      <c r="N50">
        <f t="shared" si="3"/>
        <v>1</v>
      </c>
      <c r="O50">
        <f t="shared" si="4"/>
        <v>0</v>
      </c>
      <c r="P50">
        <f t="shared" si="5"/>
        <v>0</v>
      </c>
      <c r="Q50">
        <f t="shared" si="8"/>
        <v>0</v>
      </c>
      <c r="R50">
        <f t="shared" si="6"/>
        <v>0</v>
      </c>
      <c r="S50">
        <f t="shared" si="7"/>
        <v>4</v>
      </c>
    </row>
    <row r="51" spans="1:19" x14ac:dyDescent="0.2">
      <c r="A51">
        <v>50</v>
      </c>
      <c r="B51">
        <v>500</v>
      </c>
      <c r="C51">
        <v>10</v>
      </c>
      <c r="D51">
        <v>0.1</v>
      </c>
      <c r="E51">
        <v>20</v>
      </c>
      <c r="F51">
        <v>100</v>
      </c>
      <c r="G51">
        <v>50</v>
      </c>
      <c r="H51">
        <v>0.1</v>
      </c>
      <c r="I51">
        <v>2500</v>
      </c>
      <c r="J51" t="s">
        <v>117</v>
      </c>
      <c r="K51">
        <f t="shared" si="0"/>
        <v>1</v>
      </c>
      <c r="L51">
        <f t="shared" si="1"/>
        <v>1</v>
      </c>
      <c r="M51">
        <f t="shared" si="2"/>
        <v>1</v>
      </c>
      <c r="N51">
        <f t="shared" si="3"/>
        <v>1</v>
      </c>
      <c r="O51">
        <f t="shared" si="4"/>
        <v>1</v>
      </c>
      <c r="P51">
        <f t="shared" si="5"/>
        <v>1</v>
      </c>
      <c r="Q51">
        <f t="shared" si="8"/>
        <v>0</v>
      </c>
      <c r="R51">
        <f t="shared" si="6"/>
        <v>0</v>
      </c>
      <c r="S51">
        <f t="shared" si="7"/>
        <v>6</v>
      </c>
    </row>
    <row r="52" spans="1:19" x14ac:dyDescent="0.2">
      <c r="A52">
        <v>51</v>
      </c>
      <c r="B52">
        <v>500</v>
      </c>
      <c r="C52">
        <v>10</v>
      </c>
      <c r="D52" s="4">
        <v>1E-3</v>
      </c>
      <c r="E52" s="3">
        <v>0.2</v>
      </c>
      <c r="F52">
        <v>100</v>
      </c>
      <c r="G52" s="3">
        <v>0.1</v>
      </c>
      <c r="H52">
        <v>0.1</v>
      </c>
      <c r="I52">
        <v>5</v>
      </c>
      <c r="J52" t="s">
        <v>117</v>
      </c>
      <c r="K52">
        <f t="shared" si="0"/>
        <v>1</v>
      </c>
      <c r="L52">
        <f t="shared" si="1"/>
        <v>1</v>
      </c>
      <c r="M52">
        <f t="shared" si="2"/>
        <v>1</v>
      </c>
      <c r="N52">
        <f t="shared" si="3"/>
        <v>1</v>
      </c>
      <c r="O52">
        <f t="shared" si="4"/>
        <v>1</v>
      </c>
      <c r="P52">
        <f t="shared" si="5"/>
        <v>0</v>
      </c>
      <c r="Q52">
        <f t="shared" si="8"/>
        <v>0</v>
      </c>
      <c r="R52">
        <f t="shared" si="6"/>
        <v>1</v>
      </c>
      <c r="S52">
        <f t="shared" si="7"/>
        <v>6</v>
      </c>
    </row>
    <row r="53" spans="1:19" x14ac:dyDescent="0.2">
      <c r="A53">
        <v>52</v>
      </c>
      <c r="B53">
        <v>500</v>
      </c>
      <c r="C53">
        <v>10</v>
      </c>
      <c r="D53" s="4">
        <v>1E-3</v>
      </c>
      <c r="E53">
        <v>20</v>
      </c>
      <c r="F53">
        <v>100</v>
      </c>
      <c r="G53" s="3">
        <v>0.1</v>
      </c>
      <c r="H53" s="5">
        <v>0.05</v>
      </c>
      <c r="I53" t="s">
        <v>159</v>
      </c>
      <c r="J53" t="s">
        <v>135</v>
      </c>
      <c r="K53">
        <f t="shared" si="0"/>
        <v>1</v>
      </c>
      <c r="L53">
        <f t="shared" si="1"/>
        <v>1</v>
      </c>
      <c r="M53">
        <f t="shared" si="2"/>
        <v>1</v>
      </c>
      <c r="N53">
        <f t="shared" si="3"/>
        <v>1</v>
      </c>
      <c r="O53">
        <f t="shared" si="4"/>
        <v>1</v>
      </c>
      <c r="P53">
        <f t="shared" si="5"/>
        <v>0</v>
      </c>
      <c r="Q53">
        <f t="shared" si="8"/>
        <v>1</v>
      </c>
      <c r="R53">
        <f t="shared" si="6"/>
        <v>1</v>
      </c>
      <c r="S53">
        <f t="shared" si="7"/>
        <v>7</v>
      </c>
    </row>
    <row r="54" spans="1:19" x14ac:dyDescent="0.2">
      <c r="A54">
        <v>53</v>
      </c>
      <c r="B54">
        <v>500</v>
      </c>
      <c r="C54">
        <v>10</v>
      </c>
      <c r="D54">
        <v>0.1</v>
      </c>
      <c r="E54">
        <v>20</v>
      </c>
      <c r="F54">
        <v>100</v>
      </c>
      <c r="G54" s="3">
        <v>0.5</v>
      </c>
      <c r="H54" t="s">
        <v>134</v>
      </c>
      <c r="I54" t="s">
        <v>159</v>
      </c>
      <c r="J54" t="s">
        <v>128</v>
      </c>
      <c r="K54">
        <f t="shared" si="0"/>
        <v>1</v>
      </c>
      <c r="L54">
        <f t="shared" si="1"/>
        <v>1</v>
      </c>
      <c r="M54">
        <f t="shared" si="2"/>
        <v>1</v>
      </c>
      <c r="N54">
        <f t="shared" si="3"/>
        <v>1</v>
      </c>
      <c r="O54">
        <f t="shared" si="4"/>
        <v>1</v>
      </c>
      <c r="P54">
        <f t="shared" si="5"/>
        <v>1</v>
      </c>
      <c r="Q54">
        <f t="shared" si="8"/>
        <v>1</v>
      </c>
      <c r="R54">
        <f t="shared" si="6"/>
        <v>1</v>
      </c>
      <c r="S54">
        <f t="shared" si="7"/>
        <v>8</v>
      </c>
    </row>
    <row r="55" spans="1:19" x14ac:dyDescent="0.2">
      <c r="A55">
        <v>54</v>
      </c>
      <c r="B55">
        <v>400</v>
      </c>
      <c r="C55">
        <v>10</v>
      </c>
      <c r="D55" s="4">
        <v>1E-3</v>
      </c>
      <c r="E55">
        <v>20</v>
      </c>
      <c r="F55">
        <v>100</v>
      </c>
      <c r="G55" s="3">
        <v>0.9</v>
      </c>
      <c r="H55" s="5">
        <v>0.05</v>
      </c>
      <c r="I55" t="s">
        <v>208</v>
      </c>
      <c r="J55" t="s">
        <v>123</v>
      </c>
      <c r="K55">
        <f t="shared" si="0"/>
        <v>0</v>
      </c>
      <c r="L55">
        <f t="shared" si="1"/>
        <v>1</v>
      </c>
      <c r="M55">
        <f t="shared" si="2"/>
        <v>1</v>
      </c>
      <c r="N55">
        <f t="shared" si="3"/>
        <v>1</v>
      </c>
      <c r="O55">
        <f t="shared" si="4"/>
        <v>1</v>
      </c>
      <c r="P55">
        <f t="shared" si="5"/>
        <v>0</v>
      </c>
      <c r="Q55">
        <f t="shared" si="8"/>
        <v>1</v>
      </c>
      <c r="R55">
        <f t="shared" si="6"/>
        <v>0</v>
      </c>
      <c r="S55">
        <f t="shared" si="7"/>
        <v>5</v>
      </c>
    </row>
    <row r="56" spans="1:19" x14ac:dyDescent="0.2">
      <c r="A56">
        <v>55</v>
      </c>
      <c r="B56">
        <v>500</v>
      </c>
      <c r="C56">
        <v>10</v>
      </c>
      <c r="D56">
        <v>0.1</v>
      </c>
      <c r="E56">
        <v>20</v>
      </c>
      <c r="F56">
        <v>100</v>
      </c>
      <c r="G56" s="3">
        <v>0.09</v>
      </c>
      <c r="H56">
        <v>0.1</v>
      </c>
      <c r="I56">
        <v>10</v>
      </c>
      <c r="J56" t="s">
        <v>123</v>
      </c>
      <c r="K56">
        <f t="shared" si="0"/>
        <v>1</v>
      </c>
      <c r="L56">
        <f t="shared" si="1"/>
        <v>1</v>
      </c>
      <c r="M56">
        <f t="shared" si="2"/>
        <v>1</v>
      </c>
      <c r="N56">
        <f t="shared" si="3"/>
        <v>1</v>
      </c>
      <c r="O56">
        <f t="shared" si="4"/>
        <v>1</v>
      </c>
      <c r="P56">
        <f t="shared" si="5"/>
        <v>0</v>
      </c>
      <c r="Q56">
        <f t="shared" si="8"/>
        <v>0</v>
      </c>
      <c r="R56">
        <f t="shared" si="6"/>
        <v>0</v>
      </c>
      <c r="S56">
        <f t="shared" si="7"/>
        <v>5</v>
      </c>
    </row>
    <row r="57" spans="1:19" x14ac:dyDescent="0.2">
      <c r="A57">
        <v>56</v>
      </c>
      <c r="B57">
        <v>500</v>
      </c>
      <c r="C57">
        <v>10</v>
      </c>
      <c r="D57" s="4">
        <v>1E-3</v>
      </c>
      <c r="E57">
        <v>20</v>
      </c>
      <c r="F57">
        <v>100</v>
      </c>
      <c r="G57" s="3">
        <v>0.5</v>
      </c>
      <c r="H57">
        <v>0.05</v>
      </c>
      <c r="I57" t="s">
        <v>159</v>
      </c>
      <c r="J57" t="s">
        <v>128</v>
      </c>
      <c r="K57">
        <f t="shared" si="0"/>
        <v>1</v>
      </c>
      <c r="L57">
        <f t="shared" si="1"/>
        <v>1</v>
      </c>
      <c r="M57">
        <f t="shared" si="2"/>
        <v>1</v>
      </c>
      <c r="N57">
        <f t="shared" si="3"/>
        <v>1</v>
      </c>
      <c r="O57">
        <f t="shared" si="4"/>
        <v>1</v>
      </c>
      <c r="P57">
        <f t="shared" si="5"/>
        <v>1</v>
      </c>
      <c r="Q57">
        <f t="shared" si="8"/>
        <v>1</v>
      </c>
      <c r="R57">
        <f t="shared" si="6"/>
        <v>1</v>
      </c>
      <c r="S57">
        <f t="shared" si="7"/>
        <v>8</v>
      </c>
    </row>
    <row r="58" spans="1:19" x14ac:dyDescent="0.2">
      <c r="A58">
        <v>57</v>
      </c>
      <c r="B58">
        <v>500</v>
      </c>
      <c r="C58">
        <v>10</v>
      </c>
      <c r="D58">
        <v>0.01</v>
      </c>
      <c r="E58">
        <v>20</v>
      </c>
      <c r="F58">
        <v>100</v>
      </c>
      <c r="G58">
        <v>18</v>
      </c>
      <c r="H58">
        <v>0.05</v>
      </c>
      <c r="I58" t="s">
        <v>379</v>
      </c>
      <c r="J58" t="s">
        <v>117</v>
      </c>
      <c r="K58">
        <f t="shared" si="0"/>
        <v>1</v>
      </c>
      <c r="L58">
        <f t="shared" si="1"/>
        <v>1</v>
      </c>
      <c r="M58">
        <f t="shared" si="2"/>
        <v>0</v>
      </c>
      <c r="N58">
        <f t="shared" si="3"/>
        <v>1</v>
      </c>
      <c r="O58">
        <f t="shared" si="4"/>
        <v>1</v>
      </c>
      <c r="P58">
        <f t="shared" si="5"/>
        <v>0</v>
      </c>
      <c r="Q58">
        <f t="shared" si="8"/>
        <v>1</v>
      </c>
      <c r="R58">
        <f t="shared" si="6"/>
        <v>0</v>
      </c>
      <c r="S58">
        <f t="shared" si="7"/>
        <v>5</v>
      </c>
    </row>
    <row r="59" spans="1:19" x14ac:dyDescent="0.2">
      <c r="A59">
        <v>58</v>
      </c>
      <c r="B59">
        <v>500</v>
      </c>
      <c r="C59">
        <v>10</v>
      </c>
      <c r="D59" s="4">
        <v>1E-3</v>
      </c>
      <c r="E59">
        <v>20</v>
      </c>
      <c r="F59">
        <v>100</v>
      </c>
      <c r="G59" s="3">
        <v>0.18</v>
      </c>
      <c r="H59">
        <v>0.05</v>
      </c>
      <c r="I59" t="s">
        <v>385</v>
      </c>
      <c r="J59" t="s">
        <v>128</v>
      </c>
      <c r="K59">
        <f t="shared" si="0"/>
        <v>1</v>
      </c>
      <c r="L59">
        <f t="shared" si="1"/>
        <v>1</v>
      </c>
      <c r="M59">
        <f t="shared" si="2"/>
        <v>1</v>
      </c>
      <c r="N59">
        <f t="shared" si="3"/>
        <v>1</v>
      </c>
      <c r="O59">
        <f t="shared" si="4"/>
        <v>1</v>
      </c>
      <c r="P59">
        <f t="shared" si="5"/>
        <v>0</v>
      </c>
      <c r="Q59">
        <f t="shared" si="8"/>
        <v>1</v>
      </c>
      <c r="R59">
        <f t="shared" si="6"/>
        <v>1</v>
      </c>
      <c r="S59">
        <f t="shared" si="7"/>
        <v>7</v>
      </c>
    </row>
    <row r="60" spans="1:19" x14ac:dyDescent="0.2">
      <c r="A60">
        <v>59</v>
      </c>
      <c r="B60">
        <v>500</v>
      </c>
      <c r="C60">
        <v>10</v>
      </c>
      <c r="D60" s="4">
        <v>1E-3</v>
      </c>
      <c r="E60">
        <v>20</v>
      </c>
      <c r="F60">
        <v>100</v>
      </c>
      <c r="G60" s="3">
        <v>0.9</v>
      </c>
      <c r="H60" s="5">
        <v>0.05</v>
      </c>
      <c r="I60" t="s">
        <v>148</v>
      </c>
      <c r="J60" t="s">
        <v>123</v>
      </c>
      <c r="K60">
        <f t="shared" si="0"/>
        <v>1</v>
      </c>
      <c r="L60">
        <f t="shared" si="1"/>
        <v>1</v>
      </c>
      <c r="M60">
        <f t="shared" si="2"/>
        <v>1</v>
      </c>
      <c r="N60">
        <f t="shared" si="3"/>
        <v>1</v>
      </c>
      <c r="O60">
        <f t="shared" si="4"/>
        <v>1</v>
      </c>
      <c r="P60">
        <f t="shared" si="5"/>
        <v>0</v>
      </c>
      <c r="Q60">
        <f t="shared" si="8"/>
        <v>1</v>
      </c>
      <c r="R60">
        <f t="shared" si="6"/>
        <v>0</v>
      </c>
      <c r="S60">
        <f t="shared" si="7"/>
        <v>6</v>
      </c>
    </row>
    <row r="61" spans="1:19" x14ac:dyDescent="0.2">
      <c r="A61">
        <v>60</v>
      </c>
      <c r="B61">
        <v>500</v>
      </c>
      <c r="C61">
        <v>10</v>
      </c>
      <c r="D61" s="3">
        <v>0.01</v>
      </c>
      <c r="E61">
        <v>5</v>
      </c>
      <c r="F61">
        <v>100</v>
      </c>
      <c r="G61" s="3">
        <v>0.1</v>
      </c>
      <c r="H61">
        <v>0.1</v>
      </c>
      <c r="I61">
        <v>5</v>
      </c>
      <c r="J61" t="s">
        <v>123</v>
      </c>
      <c r="K61">
        <f t="shared" si="0"/>
        <v>1</v>
      </c>
      <c r="L61">
        <f t="shared" si="1"/>
        <v>1</v>
      </c>
      <c r="M61">
        <f t="shared" si="2"/>
        <v>0</v>
      </c>
      <c r="N61">
        <f t="shared" si="3"/>
        <v>0</v>
      </c>
      <c r="O61">
        <f t="shared" si="4"/>
        <v>1</v>
      </c>
      <c r="P61">
        <f t="shared" si="5"/>
        <v>0</v>
      </c>
      <c r="Q61">
        <f t="shared" si="8"/>
        <v>0</v>
      </c>
      <c r="R61">
        <f t="shared" si="6"/>
        <v>1</v>
      </c>
      <c r="S61">
        <f t="shared" si="7"/>
        <v>4</v>
      </c>
    </row>
    <row r="62" spans="1:19" x14ac:dyDescent="0.2">
      <c r="A62">
        <v>61</v>
      </c>
      <c r="B62">
        <v>500</v>
      </c>
      <c r="C62">
        <v>1</v>
      </c>
      <c r="D62">
        <v>1</v>
      </c>
      <c r="E62">
        <v>20</v>
      </c>
      <c r="F62">
        <v>10</v>
      </c>
      <c r="G62">
        <v>10</v>
      </c>
      <c r="H62">
        <v>0.1</v>
      </c>
      <c r="I62">
        <v>100</v>
      </c>
      <c r="J62" t="s">
        <v>123</v>
      </c>
      <c r="K62">
        <f t="shared" si="0"/>
        <v>1</v>
      </c>
      <c r="L62">
        <f t="shared" si="1"/>
        <v>0</v>
      </c>
      <c r="M62">
        <f t="shared" si="2"/>
        <v>0</v>
      </c>
      <c r="N62">
        <f t="shared" si="3"/>
        <v>1</v>
      </c>
      <c r="O62">
        <f t="shared" si="4"/>
        <v>0</v>
      </c>
      <c r="P62">
        <f t="shared" si="5"/>
        <v>0</v>
      </c>
      <c r="Q62">
        <f t="shared" si="8"/>
        <v>0</v>
      </c>
      <c r="R62">
        <f t="shared" si="6"/>
        <v>0</v>
      </c>
      <c r="S62">
        <f t="shared" si="7"/>
        <v>2</v>
      </c>
    </row>
    <row r="63" spans="1:19" x14ac:dyDescent="0.2">
      <c r="A63">
        <v>62</v>
      </c>
      <c r="B63">
        <v>500</v>
      </c>
      <c r="C63">
        <v>10</v>
      </c>
      <c r="D63" s="4">
        <v>1E-3</v>
      </c>
      <c r="E63">
        <v>20</v>
      </c>
      <c r="F63">
        <v>100</v>
      </c>
      <c r="G63" s="3">
        <v>0.5</v>
      </c>
      <c r="H63" t="s">
        <v>134</v>
      </c>
      <c r="I63" t="s">
        <v>404</v>
      </c>
      <c r="J63" t="s">
        <v>117</v>
      </c>
      <c r="K63">
        <f t="shared" si="0"/>
        <v>1</v>
      </c>
      <c r="L63">
        <f t="shared" si="1"/>
        <v>1</v>
      </c>
      <c r="M63">
        <f t="shared" si="2"/>
        <v>1</v>
      </c>
      <c r="N63">
        <f t="shared" si="3"/>
        <v>1</v>
      </c>
      <c r="O63">
        <f t="shared" si="4"/>
        <v>1</v>
      </c>
      <c r="P63">
        <f t="shared" si="5"/>
        <v>1</v>
      </c>
      <c r="Q63">
        <f t="shared" si="8"/>
        <v>1</v>
      </c>
      <c r="R63">
        <f t="shared" si="6"/>
        <v>0</v>
      </c>
      <c r="S63">
        <f t="shared" si="7"/>
        <v>7</v>
      </c>
    </row>
    <row r="64" spans="1:19" x14ac:dyDescent="0.2">
      <c r="A64">
        <v>63</v>
      </c>
      <c r="B64">
        <v>6</v>
      </c>
      <c r="C64">
        <v>1</v>
      </c>
      <c r="D64">
        <v>1</v>
      </c>
      <c r="E64">
        <v>20</v>
      </c>
      <c r="F64">
        <v>100</v>
      </c>
      <c r="G64" t="s">
        <v>409</v>
      </c>
      <c r="H64" t="s">
        <v>241</v>
      </c>
      <c r="I64" t="s">
        <v>164</v>
      </c>
      <c r="J64" t="s">
        <v>117</v>
      </c>
      <c r="K64">
        <f t="shared" si="0"/>
        <v>0</v>
      </c>
      <c r="L64">
        <f t="shared" si="1"/>
        <v>0</v>
      </c>
      <c r="M64">
        <f t="shared" si="2"/>
        <v>0</v>
      </c>
      <c r="N64">
        <f t="shared" si="3"/>
        <v>1</v>
      </c>
      <c r="O64">
        <f t="shared" si="4"/>
        <v>1</v>
      </c>
      <c r="P64">
        <f t="shared" si="5"/>
        <v>0</v>
      </c>
      <c r="Q64">
        <f t="shared" si="8"/>
        <v>0</v>
      </c>
      <c r="R64">
        <f t="shared" si="6"/>
        <v>0</v>
      </c>
      <c r="S64">
        <f t="shared" si="7"/>
        <v>2</v>
      </c>
    </row>
    <row r="65" spans="1:19" x14ac:dyDescent="0.2">
      <c r="A65">
        <v>64</v>
      </c>
      <c r="B65">
        <v>500</v>
      </c>
      <c r="C65">
        <v>10</v>
      </c>
      <c r="D65">
        <v>0.1</v>
      </c>
      <c r="E65" s="3">
        <v>0.2</v>
      </c>
      <c r="F65">
        <v>100</v>
      </c>
      <c r="G65" s="3">
        <v>0.1</v>
      </c>
      <c r="H65">
        <v>0.05</v>
      </c>
      <c r="I65">
        <v>5</v>
      </c>
      <c r="J65" t="s">
        <v>128</v>
      </c>
      <c r="K65">
        <f t="shared" si="0"/>
        <v>1</v>
      </c>
      <c r="L65">
        <f t="shared" si="1"/>
        <v>1</v>
      </c>
      <c r="M65">
        <f t="shared" si="2"/>
        <v>1</v>
      </c>
      <c r="N65">
        <f t="shared" si="3"/>
        <v>1</v>
      </c>
      <c r="O65">
        <f t="shared" si="4"/>
        <v>1</v>
      </c>
      <c r="P65">
        <f t="shared" si="5"/>
        <v>0</v>
      </c>
      <c r="Q65">
        <f t="shared" si="8"/>
        <v>1</v>
      </c>
      <c r="R65">
        <f t="shared" si="6"/>
        <v>1</v>
      </c>
      <c r="S65">
        <f t="shared" si="7"/>
        <v>7</v>
      </c>
    </row>
    <row r="66" spans="1:19" x14ac:dyDescent="0.2">
      <c r="A66">
        <v>65</v>
      </c>
      <c r="B66">
        <v>500</v>
      </c>
      <c r="C66">
        <v>10</v>
      </c>
      <c r="D66" s="4">
        <v>1E-3</v>
      </c>
      <c r="E66" s="3">
        <v>0.2</v>
      </c>
      <c r="F66">
        <v>100</v>
      </c>
      <c r="G66" s="3">
        <v>0.9</v>
      </c>
      <c r="H66">
        <v>0.05</v>
      </c>
      <c r="I66" t="s">
        <v>159</v>
      </c>
      <c r="J66" t="s">
        <v>117</v>
      </c>
      <c r="K66">
        <f t="shared" ref="K66:K115" si="9">IF(OR(B66=500,B66="50%",B66=50%),1,0)</f>
        <v>1</v>
      </c>
      <c r="L66">
        <f t="shared" si="1"/>
        <v>1</v>
      </c>
      <c r="M66">
        <f t="shared" si="2"/>
        <v>1</v>
      </c>
      <c r="N66">
        <f t="shared" si="3"/>
        <v>1</v>
      </c>
      <c r="O66">
        <f t="shared" si="4"/>
        <v>1</v>
      </c>
      <c r="P66">
        <f t="shared" si="5"/>
        <v>0</v>
      </c>
      <c r="Q66">
        <f t="shared" si="8"/>
        <v>1</v>
      </c>
      <c r="R66">
        <f t="shared" si="6"/>
        <v>1</v>
      </c>
      <c r="S66">
        <f t="shared" si="7"/>
        <v>7</v>
      </c>
    </row>
    <row r="67" spans="1:19" x14ac:dyDescent="0.2">
      <c r="A67">
        <v>66</v>
      </c>
      <c r="B67">
        <v>500</v>
      </c>
      <c r="C67">
        <v>10</v>
      </c>
      <c r="D67" s="4">
        <v>1E-3</v>
      </c>
      <c r="E67" s="3">
        <v>0.2</v>
      </c>
      <c r="F67">
        <v>10</v>
      </c>
      <c r="G67" s="3">
        <v>0.5</v>
      </c>
      <c r="H67" s="5">
        <v>0.1</v>
      </c>
      <c r="I67" t="s">
        <v>164</v>
      </c>
      <c r="J67" t="s">
        <v>135</v>
      </c>
      <c r="K67">
        <f t="shared" si="9"/>
        <v>1</v>
      </c>
      <c r="L67">
        <f t="shared" ref="L67:L130" si="10">IF(C67=10,1,0)</f>
        <v>1</v>
      </c>
      <c r="M67">
        <f t="shared" ref="M67:M130" si="11">IF(OR(D67=0.1,D67=0.1%),1,0)</f>
        <v>1</v>
      </c>
      <c r="N67">
        <f t="shared" ref="N67:N130" si="12">IF(OR(E67=20,E67=20%),1,0)</f>
        <v>1</v>
      </c>
      <c r="O67">
        <f t="shared" ref="O67:O130" si="13">IF(F67=100,1,0)</f>
        <v>0</v>
      </c>
      <c r="P67">
        <f t="shared" ref="P67:P130" si="14">IF(OR(G67=50%,G67=50),1,0)</f>
        <v>1</v>
      </c>
      <c r="Q67">
        <f t="shared" si="8"/>
        <v>0</v>
      </c>
      <c r="R67">
        <f t="shared" ref="R67:R130" si="15">IF(OR(I67="5 minutes",I67=5, I67="5 min"),1,0)</f>
        <v>0</v>
      </c>
      <c r="S67">
        <f t="shared" ref="S67:S130" si="16">SUM(K67:R67)</f>
        <v>5</v>
      </c>
    </row>
    <row r="68" spans="1:19" x14ac:dyDescent="0.2">
      <c r="A68">
        <v>67</v>
      </c>
      <c r="B68">
        <v>6</v>
      </c>
      <c r="C68">
        <v>10</v>
      </c>
      <c r="D68">
        <v>10</v>
      </c>
      <c r="E68">
        <v>5</v>
      </c>
      <c r="F68">
        <v>200</v>
      </c>
      <c r="G68">
        <v>9</v>
      </c>
      <c r="H68">
        <v>0.5</v>
      </c>
      <c r="I68">
        <v>100</v>
      </c>
      <c r="J68" t="s">
        <v>128</v>
      </c>
      <c r="K68">
        <f t="shared" si="9"/>
        <v>0</v>
      </c>
      <c r="L68">
        <f t="shared" si="10"/>
        <v>1</v>
      </c>
      <c r="M68">
        <f t="shared" si="11"/>
        <v>0</v>
      </c>
      <c r="N68">
        <f t="shared" si="12"/>
        <v>0</v>
      </c>
      <c r="O68">
        <f t="shared" si="13"/>
        <v>0</v>
      </c>
      <c r="P68">
        <f t="shared" si="14"/>
        <v>0</v>
      </c>
      <c r="Q68">
        <f t="shared" si="8"/>
        <v>0</v>
      </c>
      <c r="R68">
        <f t="shared" si="15"/>
        <v>0</v>
      </c>
      <c r="S68">
        <f t="shared" si="16"/>
        <v>1</v>
      </c>
    </row>
    <row r="69" spans="1:19" x14ac:dyDescent="0.2">
      <c r="A69">
        <v>68</v>
      </c>
      <c r="B69">
        <v>500</v>
      </c>
      <c r="C69">
        <v>10</v>
      </c>
      <c r="D69" s="4">
        <v>1E-3</v>
      </c>
      <c r="E69">
        <v>20</v>
      </c>
      <c r="F69">
        <v>10</v>
      </c>
      <c r="G69" s="3">
        <v>0.9</v>
      </c>
      <c r="H69" s="5">
        <v>0.05</v>
      </c>
      <c r="I69" t="s">
        <v>159</v>
      </c>
      <c r="J69" t="s">
        <v>123</v>
      </c>
      <c r="K69">
        <f t="shared" si="9"/>
        <v>1</v>
      </c>
      <c r="L69">
        <f t="shared" si="10"/>
        <v>1</v>
      </c>
      <c r="M69">
        <f t="shared" si="11"/>
        <v>1</v>
      </c>
      <c r="N69">
        <f t="shared" si="12"/>
        <v>1</v>
      </c>
      <c r="O69">
        <f t="shared" si="13"/>
        <v>0</v>
      </c>
      <c r="P69">
        <f t="shared" si="14"/>
        <v>0</v>
      </c>
      <c r="Q69">
        <f t="shared" si="8"/>
        <v>1</v>
      </c>
      <c r="R69">
        <f t="shared" si="15"/>
        <v>1</v>
      </c>
      <c r="S69">
        <f t="shared" si="16"/>
        <v>6</v>
      </c>
    </row>
    <row r="70" spans="1:19" x14ac:dyDescent="0.2">
      <c r="A70">
        <v>69</v>
      </c>
      <c r="B70">
        <v>500</v>
      </c>
      <c r="C70">
        <v>10</v>
      </c>
      <c r="D70">
        <v>1</v>
      </c>
      <c r="E70">
        <v>5</v>
      </c>
      <c r="F70">
        <v>100</v>
      </c>
      <c r="G70">
        <v>1</v>
      </c>
      <c r="H70">
        <v>0.1</v>
      </c>
      <c r="I70">
        <v>5</v>
      </c>
      <c r="J70" t="s">
        <v>128</v>
      </c>
      <c r="K70">
        <f t="shared" si="9"/>
        <v>1</v>
      </c>
      <c r="L70">
        <f t="shared" si="10"/>
        <v>1</v>
      </c>
      <c r="M70">
        <f t="shared" si="11"/>
        <v>0</v>
      </c>
      <c r="N70">
        <f t="shared" si="12"/>
        <v>0</v>
      </c>
      <c r="O70">
        <f t="shared" si="13"/>
        <v>1</v>
      </c>
      <c r="P70">
        <f t="shared" si="14"/>
        <v>0</v>
      </c>
      <c r="Q70">
        <f t="shared" si="8"/>
        <v>0</v>
      </c>
      <c r="R70">
        <f t="shared" si="15"/>
        <v>1</v>
      </c>
      <c r="S70">
        <f t="shared" si="16"/>
        <v>4</v>
      </c>
    </row>
    <row r="71" spans="1:19" x14ac:dyDescent="0.2">
      <c r="A71">
        <v>70</v>
      </c>
      <c r="B71">
        <v>500</v>
      </c>
      <c r="C71">
        <v>10</v>
      </c>
      <c r="D71">
        <v>1E-3</v>
      </c>
      <c r="E71">
        <v>20</v>
      </c>
      <c r="F71">
        <v>100</v>
      </c>
      <c r="G71">
        <v>10</v>
      </c>
      <c r="H71">
        <v>0.1</v>
      </c>
      <c r="I71" t="s">
        <v>159</v>
      </c>
      <c r="J71" t="s">
        <v>123</v>
      </c>
      <c r="K71">
        <f t="shared" si="9"/>
        <v>1</v>
      </c>
      <c r="L71">
        <f t="shared" si="10"/>
        <v>1</v>
      </c>
      <c r="M71">
        <f t="shared" si="11"/>
        <v>1</v>
      </c>
      <c r="N71">
        <f t="shared" si="12"/>
        <v>1</v>
      </c>
      <c r="O71">
        <f t="shared" si="13"/>
        <v>1</v>
      </c>
      <c r="P71">
        <f t="shared" si="14"/>
        <v>0</v>
      </c>
      <c r="Q71">
        <f t="shared" ref="Q71:Q134" si="17">IF(OR(H71="5 cents",H71=0.05,H71="$0.05"),1,0)</f>
        <v>0</v>
      </c>
      <c r="R71">
        <f t="shared" si="15"/>
        <v>1</v>
      </c>
      <c r="S71">
        <f t="shared" si="16"/>
        <v>6</v>
      </c>
    </row>
    <row r="72" spans="1:19" x14ac:dyDescent="0.2">
      <c r="A72">
        <v>71</v>
      </c>
      <c r="B72">
        <v>500</v>
      </c>
      <c r="C72">
        <v>10</v>
      </c>
      <c r="D72" s="4">
        <v>1E-3</v>
      </c>
      <c r="E72">
        <v>20</v>
      </c>
      <c r="F72">
        <v>100</v>
      </c>
      <c r="G72" s="3">
        <v>0.1</v>
      </c>
      <c r="H72">
        <v>0.05</v>
      </c>
      <c r="I72" t="s">
        <v>404</v>
      </c>
      <c r="J72" t="s">
        <v>135</v>
      </c>
      <c r="K72">
        <f t="shared" si="9"/>
        <v>1</v>
      </c>
      <c r="L72">
        <f t="shared" si="10"/>
        <v>1</v>
      </c>
      <c r="M72">
        <f t="shared" si="11"/>
        <v>1</v>
      </c>
      <c r="N72">
        <f t="shared" si="12"/>
        <v>1</v>
      </c>
      <c r="O72">
        <f t="shared" si="13"/>
        <v>1</v>
      </c>
      <c r="P72">
        <f t="shared" si="14"/>
        <v>0</v>
      </c>
      <c r="Q72">
        <f t="shared" si="17"/>
        <v>1</v>
      </c>
      <c r="R72">
        <f t="shared" si="15"/>
        <v>0</v>
      </c>
      <c r="S72">
        <f t="shared" si="16"/>
        <v>6</v>
      </c>
    </row>
    <row r="73" spans="1:19" x14ac:dyDescent="0.2">
      <c r="A73">
        <v>72</v>
      </c>
      <c r="B73">
        <v>500</v>
      </c>
      <c r="C73">
        <v>10</v>
      </c>
      <c r="D73">
        <v>0.01</v>
      </c>
      <c r="E73">
        <v>20</v>
      </c>
      <c r="F73">
        <v>100</v>
      </c>
      <c r="G73">
        <v>90</v>
      </c>
      <c r="H73">
        <v>0.05</v>
      </c>
      <c r="I73">
        <v>5</v>
      </c>
      <c r="J73" t="s">
        <v>135</v>
      </c>
      <c r="K73">
        <f t="shared" si="9"/>
        <v>1</v>
      </c>
      <c r="L73">
        <f t="shared" si="10"/>
        <v>1</v>
      </c>
      <c r="M73">
        <f t="shared" si="11"/>
        <v>0</v>
      </c>
      <c r="N73">
        <f t="shared" si="12"/>
        <v>1</v>
      </c>
      <c r="O73">
        <f t="shared" si="13"/>
        <v>1</v>
      </c>
      <c r="P73">
        <f t="shared" si="14"/>
        <v>0</v>
      </c>
      <c r="Q73">
        <f t="shared" si="17"/>
        <v>1</v>
      </c>
      <c r="R73">
        <f t="shared" si="15"/>
        <v>1</v>
      </c>
      <c r="S73">
        <f t="shared" si="16"/>
        <v>6</v>
      </c>
    </row>
    <row r="74" spans="1:19" x14ac:dyDescent="0.2">
      <c r="A74">
        <v>73</v>
      </c>
      <c r="B74">
        <v>500</v>
      </c>
      <c r="C74">
        <v>10</v>
      </c>
      <c r="D74" t="s">
        <v>451</v>
      </c>
      <c r="E74" s="3">
        <v>0.2</v>
      </c>
      <c r="F74">
        <v>100</v>
      </c>
      <c r="G74" s="3">
        <v>0.05</v>
      </c>
      <c r="H74" t="s">
        <v>241</v>
      </c>
      <c r="I74" t="s">
        <v>452</v>
      </c>
      <c r="J74" t="s">
        <v>123</v>
      </c>
      <c r="K74">
        <f t="shared" si="9"/>
        <v>1</v>
      </c>
      <c r="L74">
        <f t="shared" si="10"/>
        <v>1</v>
      </c>
      <c r="M74">
        <f t="shared" si="11"/>
        <v>0</v>
      </c>
      <c r="N74">
        <f t="shared" si="12"/>
        <v>1</v>
      </c>
      <c r="O74">
        <f t="shared" si="13"/>
        <v>1</v>
      </c>
      <c r="P74">
        <f t="shared" si="14"/>
        <v>0</v>
      </c>
      <c r="Q74">
        <f t="shared" si="17"/>
        <v>0</v>
      </c>
      <c r="R74">
        <f t="shared" si="15"/>
        <v>0</v>
      </c>
      <c r="S74">
        <f t="shared" si="16"/>
        <v>4</v>
      </c>
    </row>
    <row r="75" spans="1:19" x14ac:dyDescent="0.2">
      <c r="A75">
        <v>74</v>
      </c>
      <c r="B75">
        <v>500</v>
      </c>
      <c r="C75">
        <v>10</v>
      </c>
      <c r="D75">
        <v>0.1</v>
      </c>
      <c r="E75">
        <v>20</v>
      </c>
      <c r="F75">
        <v>100</v>
      </c>
      <c r="G75" s="3">
        <v>0.9</v>
      </c>
      <c r="H75">
        <v>0.05</v>
      </c>
      <c r="I75" t="s">
        <v>159</v>
      </c>
      <c r="J75" t="s">
        <v>128</v>
      </c>
      <c r="K75">
        <f t="shared" si="9"/>
        <v>1</v>
      </c>
      <c r="L75">
        <f t="shared" si="10"/>
        <v>1</v>
      </c>
      <c r="M75">
        <f t="shared" si="11"/>
        <v>1</v>
      </c>
      <c r="N75">
        <f t="shared" si="12"/>
        <v>1</v>
      </c>
      <c r="O75">
        <f t="shared" si="13"/>
        <v>1</v>
      </c>
      <c r="P75">
        <f t="shared" si="14"/>
        <v>0</v>
      </c>
      <c r="Q75">
        <f t="shared" si="17"/>
        <v>1</v>
      </c>
      <c r="R75">
        <f t="shared" si="15"/>
        <v>1</v>
      </c>
      <c r="S75">
        <f t="shared" si="16"/>
        <v>7</v>
      </c>
    </row>
    <row r="76" spans="1:19" x14ac:dyDescent="0.2">
      <c r="A76">
        <v>75</v>
      </c>
      <c r="B76">
        <v>500</v>
      </c>
      <c r="C76">
        <v>10</v>
      </c>
      <c r="D76" s="4">
        <v>1.0000000000000001E-5</v>
      </c>
      <c r="E76">
        <v>20</v>
      </c>
      <c r="F76">
        <v>100</v>
      </c>
      <c r="G76" s="3">
        <v>0.1</v>
      </c>
      <c r="H76">
        <v>0.1</v>
      </c>
      <c r="I76">
        <v>100</v>
      </c>
      <c r="J76" t="s">
        <v>117</v>
      </c>
      <c r="K76">
        <f t="shared" si="9"/>
        <v>1</v>
      </c>
      <c r="L76">
        <f t="shared" si="10"/>
        <v>1</v>
      </c>
      <c r="M76">
        <f t="shared" si="11"/>
        <v>0</v>
      </c>
      <c r="N76">
        <f t="shared" si="12"/>
        <v>1</v>
      </c>
      <c r="O76">
        <f t="shared" si="13"/>
        <v>1</v>
      </c>
      <c r="P76">
        <f t="shared" si="14"/>
        <v>0</v>
      </c>
      <c r="Q76">
        <f t="shared" si="17"/>
        <v>0</v>
      </c>
      <c r="R76">
        <f t="shared" si="15"/>
        <v>0</v>
      </c>
      <c r="S76">
        <f t="shared" si="16"/>
        <v>4</v>
      </c>
    </row>
    <row r="77" spans="1:19" x14ac:dyDescent="0.2">
      <c r="A77">
        <v>76</v>
      </c>
      <c r="B77">
        <v>500</v>
      </c>
      <c r="C77">
        <v>10</v>
      </c>
      <c r="D77">
        <v>0.1</v>
      </c>
      <c r="E77">
        <v>20</v>
      </c>
      <c r="F77">
        <v>100</v>
      </c>
      <c r="G77">
        <v>95</v>
      </c>
      <c r="H77">
        <v>0.1</v>
      </c>
      <c r="I77">
        <v>1</v>
      </c>
      <c r="J77" t="s">
        <v>135</v>
      </c>
      <c r="K77">
        <f t="shared" si="9"/>
        <v>1</v>
      </c>
      <c r="L77">
        <f t="shared" si="10"/>
        <v>1</v>
      </c>
      <c r="M77">
        <f t="shared" si="11"/>
        <v>1</v>
      </c>
      <c r="N77">
        <f t="shared" si="12"/>
        <v>1</v>
      </c>
      <c r="O77">
        <f t="shared" si="13"/>
        <v>1</v>
      </c>
      <c r="P77">
        <f t="shared" si="14"/>
        <v>0</v>
      </c>
      <c r="Q77">
        <f t="shared" si="17"/>
        <v>0</v>
      </c>
      <c r="R77">
        <f t="shared" si="15"/>
        <v>0</v>
      </c>
      <c r="S77">
        <f t="shared" si="16"/>
        <v>5</v>
      </c>
    </row>
    <row r="78" spans="1:19" x14ac:dyDescent="0.2">
      <c r="A78">
        <v>77</v>
      </c>
      <c r="B78">
        <v>500</v>
      </c>
      <c r="C78">
        <v>5</v>
      </c>
      <c r="D78">
        <v>10</v>
      </c>
      <c r="E78">
        <v>25</v>
      </c>
      <c r="F78">
        <v>100</v>
      </c>
      <c r="G78">
        <v>50</v>
      </c>
      <c r="H78">
        <v>10</v>
      </c>
      <c r="I78">
        <v>100</v>
      </c>
      <c r="J78" t="s">
        <v>128</v>
      </c>
      <c r="K78">
        <f t="shared" si="9"/>
        <v>1</v>
      </c>
      <c r="L78">
        <f t="shared" si="10"/>
        <v>0</v>
      </c>
      <c r="M78">
        <f t="shared" si="11"/>
        <v>0</v>
      </c>
      <c r="N78">
        <f t="shared" si="12"/>
        <v>0</v>
      </c>
      <c r="O78">
        <f t="shared" si="13"/>
        <v>1</v>
      </c>
      <c r="P78">
        <f t="shared" si="14"/>
        <v>1</v>
      </c>
      <c r="Q78">
        <f t="shared" si="17"/>
        <v>0</v>
      </c>
      <c r="R78">
        <f t="shared" si="15"/>
        <v>0</v>
      </c>
      <c r="S78">
        <f t="shared" si="16"/>
        <v>3</v>
      </c>
    </row>
    <row r="79" spans="1:19" x14ac:dyDescent="0.2">
      <c r="A79">
        <v>78</v>
      </c>
      <c r="B79">
        <v>500</v>
      </c>
      <c r="C79">
        <v>10</v>
      </c>
      <c r="D79">
        <v>0.01</v>
      </c>
      <c r="E79">
        <v>20</v>
      </c>
      <c r="F79">
        <v>100</v>
      </c>
      <c r="G79">
        <v>9</v>
      </c>
      <c r="H79">
        <v>0.1</v>
      </c>
      <c r="I79" t="s">
        <v>164</v>
      </c>
      <c r="J79" t="s">
        <v>117</v>
      </c>
      <c r="K79">
        <f t="shared" si="9"/>
        <v>1</v>
      </c>
      <c r="L79">
        <f t="shared" si="10"/>
        <v>1</v>
      </c>
      <c r="M79">
        <f t="shared" si="11"/>
        <v>0</v>
      </c>
      <c r="N79">
        <f t="shared" si="12"/>
        <v>1</v>
      </c>
      <c r="O79">
        <f t="shared" si="13"/>
        <v>1</v>
      </c>
      <c r="P79">
        <f t="shared" si="14"/>
        <v>0</v>
      </c>
      <c r="Q79">
        <f t="shared" si="17"/>
        <v>0</v>
      </c>
      <c r="R79">
        <f t="shared" si="15"/>
        <v>0</v>
      </c>
      <c r="S79">
        <f t="shared" si="16"/>
        <v>4</v>
      </c>
    </row>
    <row r="80" spans="1:19" x14ac:dyDescent="0.2">
      <c r="A80">
        <v>79</v>
      </c>
      <c r="B80">
        <v>500</v>
      </c>
      <c r="C80">
        <v>10</v>
      </c>
      <c r="D80">
        <v>0.1</v>
      </c>
      <c r="E80">
        <v>20</v>
      </c>
      <c r="F80">
        <v>100</v>
      </c>
      <c r="G80">
        <v>50</v>
      </c>
      <c r="H80">
        <v>0.05</v>
      </c>
      <c r="I80" t="s">
        <v>159</v>
      </c>
      <c r="J80" t="s">
        <v>135</v>
      </c>
      <c r="K80">
        <f t="shared" si="9"/>
        <v>1</v>
      </c>
      <c r="L80">
        <f t="shared" si="10"/>
        <v>1</v>
      </c>
      <c r="M80">
        <f t="shared" si="11"/>
        <v>1</v>
      </c>
      <c r="N80">
        <f t="shared" si="12"/>
        <v>1</v>
      </c>
      <c r="O80">
        <f t="shared" si="13"/>
        <v>1</v>
      </c>
      <c r="P80">
        <f t="shared" si="14"/>
        <v>1</v>
      </c>
      <c r="Q80">
        <f t="shared" si="17"/>
        <v>1</v>
      </c>
      <c r="R80">
        <f t="shared" si="15"/>
        <v>1</v>
      </c>
      <c r="S80">
        <f t="shared" si="16"/>
        <v>8</v>
      </c>
    </row>
    <row r="81" spans="1:19" x14ac:dyDescent="0.2">
      <c r="A81">
        <v>80</v>
      </c>
      <c r="B81">
        <v>500</v>
      </c>
      <c r="C81">
        <v>1</v>
      </c>
      <c r="D81">
        <v>5</v>
      </c>
      <c r="E81">
        <v>25</v>
      </c>
      <c r="F81">
        <v>1</v>
      </c>
      <c r="G81">
        <v>15</v>
      </c>
      <c r="H81">
        <v>0.5</v>
      </c>
      <c r="I81">
        <v>25</v>
      </c>
      <c r="J81" t="s">
        <v>123</v>
      </c>
      <c r="K81">
        <f t="shared" si="9"/>
        <v>1</v>
      </c>
      <c r="L81">
        <f t="shared" si="10"/>
        <v>0</v>
      </c>
      <c r="M81">
        <f t="shared" si="11"/>
        <v>0</v>
      </c>
      <c r="N81">
        <f t="shared" si="12"/>
        <v>0</v>
      </c>
      <c r="O81">
        <f t="shared" si="13"/>
        <v>0</v>
      </c>
      <c r="P81">
        <f t="shared" si="14"/>
        <v>0</v>
      </c>
      <c r="Q81">
        <f t="shared" si="17"/>
        <v>0</v>
      </c>
      <c r="R81">
        <f t="shared" si="15"/>
        <v>0</v>
      </c>
      <c r="S81">
        <f t="shared" si="16"/>
        <v>1</v>
      </c>
    </row>
    <row r="82" spans="1:19" x14ac:dyDescent="0.2">
      <c r="A82">
        <v>81</v>
      </c>
      <c r="B82">
        <v>500</v>
      </c>
      <c r="C82">
        <v>10</v>
      </c>
      <c r="D82">
        <v>0.01</v>
      </c>
      <c r="E82">
        <v>20</v>
      </c>
      <c r="F82">
        <v>100</v>
      </c>
      <c r="G82">
        <v>9</v>
      </c>
      <c r="H82">
        <v>0.1</v>
      </c>
      <c r="I82">
        <v>100</v>
      </c>
      <c r="J82" t="s">
        <v>117</v>
      </c>
      <c r="K82">
        <f t="shared" si="9"/>
        <v>1</v>
      </c>
      <c r="L82">
        <f t="shared" si="10"/>
        <v>1</v>
      </c>
      <c r="M82">
        <f t="shared" si="11"/>
        <v>0</v>
      </c>
      <c r="N82">
        <f t="shared" si="12"/>
        <v>1</v>
      </c>
      <c r="O82">
        <f t="shared" si="13"/>
        <v>1</v>
      </c>
      <c r="P82">
        <f t="shared" si="14"/>
        <v>0</v>
      </c>
      <c r="Q82">
        <f t="shared" si="17"/>
        <v>0</v>
      </c>
      <c r="R82">
        <f t="shared" si="15"/>
        <v>0</v>
      </c>
      <c r="S82">
        <f t="shared" si="16"/>
        <v>4</v>
      </c>
    </row>
    <row r="83" spans="1:19" x14ac:dyDescent="0.2">
      <c r="A83">
        <v>82</v>
      </c>
      <c r="B83">
        <v>600</v>
      </c>
      <c r="C83">
        <v>0.1</v>
      </c>
      <c r="D83">
        <v>1</v>
      </c>
      <c r="E83">
        <v>0.02</v>
      </c>
      <c r="F83">
        <v>1</v>
      </c>
      <c r="G83" t="s">
        <v>489</v>
      </c>
      <c r="H83">
        <v>0.1</v>
      </c>
      <c r="I83">
        <v>100</v>
      </c>
      <c r="J83" t="s">
        <v>117</v>
      </c>
      <c r="K83">
        <f t="shared" si="9"/>
        <v>0</v>
      </c>
      <c r="L83">
        <f t="shared" si="10"/>
        <v>0</v>
      </c>
      <c r="M83">
        <f t="shared" si="11"/>
        <v>0</v>
      </c>
      <c r="N83">
        <f t="shared" si="12"/>
        <v>0</v>
      </c>
      <c r="O83">
        <f t="shared" si="13"/>
        <v>0</v>
      </c>
      <c r="P83">
        <f t="shared" si="14"/>
        <v>0</v>
      </c>
      <c r="Q83">
        <f t="shared" si="17"/>
        <v>0</v>
      </c>
      <c r="R83">
        <f t="shared" si="15"/>
        <v>0</v>
      </c>
      <c r="S83">
        <f t="shared" si="16"/>
        <v>0</v>
      </c>
    </row>
    <row r="84" spans="1:19" x14ac:dyDescent="0.2">
      <c r="A84">
        <v>83</v>
      </c>
      <c r="B84">
        <v>100</v>
      </c>
      <c r="C84">
        <v>10</v>
      </c>
      <c r="D84">
        <v>5</v>
      </c>
      <c r="E84">
        <v>15</v>
      </c>
      <c r="F84">
        <v>100</v>
      </c>
      <c r="G84" s="3">
        <v>0.1</v>
      </c>
      <c r="H84">
        <v>0.1</v>
      </c>
      <c r="I84">
        <v>100</v>
      </c>
      <c r="J84" t="s">
        <v>128</v>
      </c>
      <c r="K84">
        <f t="shared" si="9"/>
        <v>0</v>
      </c>
      <c r="L84">
        <f t="shared" si="10"/>
        <v>1</v>
      </c>
      <c r="M84">
        <f t="shared" si="11"/>
        <v>0</v>
      </c>
      <c r="N84">
        <f t="shared" si="12"/>
        <v>0</v>
      </c>
      <c r="O84">
        <f t="shared" si="13"/>
        <v>1</v>
      </c>
      <c r="P84">
        <f t="shared" si="14"/>
        <v>0</v>
      </c>
      <c r="Q84">
        <f t="shared" si="17"/>
        <v>0</v>
      </c>
      <c r="R84">
        <f t="shared" si="15"/>
        <v>0</v>
      </c>
      <c r="S84">
        <f t="shared" si="16"/>
        <v>2</v>
      </c>
    </row>
    <row r="85" spans="1:19" x14ac:dyDescent="0.2">
      <c r="A85">
        <v>84</v>
      </c>
      <c r="B85">
        <v>500</v>
      </c>
      <c r="C85">
        <v>100</v>
      </c>
      <c r="D85" s="4">
        <v>1E-3</v>
      </c>
      <c r="E85">
        <v>20</v>
      </c>
      <c r="F85">
        <v>100</v>
      </c>
      <c r="G85">
        <v>0.9</v>
      </c>
      <c r="H85">
        <v>0.1</v>
      </c>
      <c r="I85" t="s">
        <v>208</v>
      </c>
      <c r="J85" t="s">
        <v>135</v>
      </c>
      <c r="K85">
        <f t="shared" si="9"/>
        <v>1</v>
      </c>
      <c r="L85">
        <f t="shared" si="10"/>
        <v>0</v>
      </c>
      <c r="M85">
        <f t="shared" si="11"/>
        <v>1</v>
      </c>
      <c r="N85">
        <f t="shared" si="12"/>
        <v>1</v>
      </c>
      <c r="O85">
        <f t="shared" si="13"/>
        <v>1</v>
      </c>
      <c r="P85">
        <f t="shared" si="14"/>
        <v>0</v>
      </c>
      <c r="Q85">
        <f t="shared" si="17"/>
        <v>0</v>
      </c>
      <c r="R85">
        <f t="shared" si="15"/>
        <v>0</v>
      </c>
      <c r="S85">
        <f t="shared" si="16"/>
        <v>4</v>
      </c>
    </row>
    <row r="86" spans="1:19" x14ac:dyDescent="0.2">
      <c r="A86">
        <v>85</v>
      </c>
      <c r="B86">
        <v>200</v>
      </c>
      <c r="C86">
        <v>3</v>
      </c>
      <c r="D86" s="3">
        <v>0.05</v>
      </c>
      <c r="E86">
        <v>20</v>
      </c>
      <c r="F86">
        <v>100</v>
      </c>
      <c r="G86" t="s">
        <v>503</v>
      </c>
      <c r="H86">
        <v>0.1</v>
      </c>
      <c r="I86">
        <v>20</v>
      </c>
      <c r="J86" t="s">
        <v>128</v>
      </c>
      <c r="K86">
        <f t="shared" si="9"/>
        <v>0</v>
      </c>
      <c r="L86">
        <f t="shared" si="10"/>
        <v>0</v>
      </c>
      <c r="M86">
        <f t="shared" si="11"/>
        <v>0</v>
      </c>
      <c r="N86">
        <f t="shared" si="12"/>
        <v>1</v>
      </c>
      <c r="O86">
        <f t="shared" si="13"/>
        <v>1</v>
      </c>
      <c r="P86">
        <f t="shared" si="14"/>
        <v>0</v>
      </c>
      <c r="Q86">
        <f t="shared" si="17"/>
        <v>0</v>
      </c>
      <c r="R86">
        <f t="shared" si="15"/>
        <v>0</v>
      </c>
      <c r="S86">
        <f t="shared" si="16"/>
        <v>2</v>
      </c>
    </row>
    <row r="87" spans="1:19" x14ac:dyDescent="0.2">
      <c r="A87">
        <v>86</v>
      </c>
      <c r="B87">
        <v>500</v>
      </c>
      <c r="C87">
        <v>10</v>
      </c>
      <c r="D87">
        <v>0.1</v>
      </c>
      <c r="E87">
        <v>20</v>
      </c>
      <c r="F87">
        <v>100</v>
      </c>
      <c r="G87" s="3">
        <v>0.5</v>
      </c>
      <c r="H87">
        <v>0.05</v>
      </c>
      <c r="I87" t="s">
        <v>159</v>
      </c>
      <c r="J87" t="s">
        <v>128</v>
      </c>
      <c r="K87">
        <f t="shared" si="9"/>
        <v>1</v>
      </c>
      <c r="L87">
        <f t="shared" si="10"/>
        <v>1</v>
      </c>
      <c r="M87">
        <f t="shared" si="11"/>
        <v>1</v>
      </c>
      <c r="N87">
        <f t="shared" si="12"/>
        <v>1</v>
      </c>
      <c r="O87">
        <f t="shared" si="13"/>
        <v>1</v>
      </c>
      <c r="P87">
        <f t="shared" si="14"/>
        <v>1</v>
      </c>
      <c r="Q87">
        <f t="shared" si="17"/>
        <v>1</v>
      </c>
      <c r="R87">
        <f t="shared" si="15"/>
        <v>1</v>
      </c>
      <c r="S87">
        <f t="shared" si="16"/>
        <v>8</v>
      </c>
    </row>
    <row r="88" spans="1:19" x14ac:dyDescent="0.2">
      <c r="A88">
        <v>87</v>
      </c>
      <c r="B88">
        <v>500</v>
      </c>
      <c r="C88">
        <v>10</v>
      </c>
      <c r="D88">
        <v>0.1</v>
      </c>
      <c r="E88">
        <v>20</v>
      </c>
      <c r="F88">
        <v>100</v>
      </c>
      <c r="G88">
        <v>18</v>
      </c>
      <c r="H88" s="5">
        <v>0.05</v>
      </c>
      <c r="I88" t="s">
        <v>208</v>
      </c>
      <c r="J88" t="s">
        <v>123</v>
      </c>
      <c r="K88">
        <f t="shared" si="9"/>
        <v>1</v>
      </c>
      <c r="L88">
        <f t="shared" si="10"/>
        <v>1</v>
      </c>
      <c r="M88">
        <f t="shared" si="11"/>
        <v>1</v>
      </c>
      <c r="N88">
        <f t="shared" si="12"/>
        <v>1</v>
      </c>
      <c r="O88">
        <f t="shared" si="13"/>
        <v>1</v>
      </c>
      <c r="P88">
        <f t="shared" si="14"/>
        <v>0</v>
      </c>
      <c r="Q88">
        <f t="shared" si="17"/>
        <v>1</v>
      </c>
      <c r="R88">
        <f t="shared" si="15"/>
        <v>0</v>
      </c>
      <c r="S88">
        <f t="shared" si="16"/>
        <v>6</v>
      </c>
    </row>
    <row r="89" spans="1:19" x14ac:dyDescent="0.2">
      <c r="A89">
        <v>88</v>
      </c>
      <c r="B89">
        <v>500</v>
      </c>
      <c r="C89">
        <v>5</v>
      </c>
      <c r="D89" s="3">
        <v>0.01</v>
      </c>
      <c r="E89" s="3">
        <v>0.05</v>
      </c>
      <c r="F89">
        <v>100</v>
      </c>
      <c r="G89" s="3">
        <v>0.25</v>
      </c>
      <c r="H89" t="s">
        <v>241</v>
      </c>
      <c r="I89" t="s">
        <v>516</v>
      </c>
      <c r="J89" t="s">
        <v>123</v>
      </c>
      <c r="K89">
        <f t="shared" si="9"/>
        <v>1</v>
      </c>
      <c r="L89">
        <f t="shared" si="10"/>
        <v>0</v>
      </c>
      <c r="M89">
        <f t="shared" si="11"/>
        <v>0</v>
      </c>
      <c r="N89">
        <f t="shared" si="12"/>
        <v>0</v>
      </c>
      <c r="O89">
        <f t="shared" si="13"/>
        <v>1</v>
      </c>
      <c r="P89">
        <f t="shared" si="14"/>
        <v>0</v>
      </c>
      <c r="Q89">
        <f t="shared" si="17"/>
        <v>0</v>
      </c>
      <c r="R89">
        <f t="shared" si="15"/>
        <v>0</v>
      </c>
      <c r="S89">
        <f t="shared" si="16"/>
        <v>2</v>
      </c>
    </row>
    <row r="90" spans="1:19" x14ac:dyDescent="0.2">
      <c r="A90">
        <v>89</v>
      </c>
      <c r="B90">
        <v>500</v>
      </c>
      <c r="C90">
        <v>10</v>
      </c>
      <c r="D90" s="4">
        <v>1E-3</v>
      </c>
      <c r="E90" s="3">
        <v>0.2</v>
      </c>
      <c r="F90">
        <v>100</v>
      </c>
      <c r="G90" s="3">
        <v>0.5</v>
      </c>
      <c r="H90" s="5">
        <v>0.05</v>
      </c>
      <c r="I90" t="s">
        <v>164</v>
      </c>
      <c r="J90" t="s">
        <v>123</v>
      </c>
      <c r="K90">
        <f t="shared" si="9"/>
        <v>1</v>
      </c>
      <c r="L90">
        <f t="shared" si="10"/>
        <v>1</v>
      </c>
      <c r="M90">
        <f t="shared" si="11"/>
        <v>1</v>
      </c>
      <c r="N90">
        <f t="shared" si="12"/>
        <v>1</v>
      </c>
      <c r="O90">
        <f t="shared" si="13"/>
        <v>1</v>
      </c>
      <c r="P90">
        <f t="shared" si="14"/>
        <v>1</v>
      </c>
      <c r="Q90">
        <f t="shared" si="17"/>
        <v>1</v>
      </c>
      <c r="R90">
        <f t="shared" si="15"/>
        <v>0</v>
      </c>
      <c r="S90">
        <f t="shared" si="16"/>
        <v>7</v>
      </c>
    </row>
    <row r="91" spans="1:19" x14ac:dyDescent="0.2">
      <c r="A91">
        <v>90</v>
      </c>
      <c r="B91">
        <v>500</v>
      </c>
      <c r="C91">
        <v>1</v>
      </c>
      <c r="D91">
        <v>0.1</v>
      </c>
      <c r="E91">
        <v>20</v>
      </c>
      <c r="F91">
        <v>100</v>
      </c>
      <c r="G91">
        <v>10</v>
      </c>
      <c r="H91">
        <v>0.1</v>
      </c>
      <c r="I91" t="s">
        <v>159</v>
      </c>
      <c r="J91" t="s">
        <v>123</v>
      </c>
      <c r="K91">
        <f t="shared" si="9"/>
        <v>1</v>
      </c>
      <c r="L91">
        <f t="shared" si="10"/>
        <v>0</v>
      </c>
      <c r="M91">
        <f t="shared" si="11"/>
        <v>1</v>
      </c>
      <c r="N91">
        <f t="shared" si="12"/>
        <v>1</v>
      </c>
      <c r="O91">
        <f t="shared" si="13"/>
        <v>1</v>
      </c>
      <c r="P91">
        <f t="shared" si="14"/>
        <v>0</v>
      </c>
      <c r="Q91">
        <f t="shared" si="17"/>
        <v>0</v>
      </c>
      <c r="R91">
        <f t="shared" si="15"/>
        <v>1</v>
      </c>
      <c r="S91">
        <f t="shared" si="16"/>
        <v>5</v>
      </c>
    </row>
    <row r="92" spans="1:19" x14ac:dyDescent="0.2">
      <c r="A92">
        <v>91</v>
      </c>
      <c r="B92">
        <v>500</v>
      </c>
      <c r="C92">
        <v>10</v>
      </c>
      <c r="D92" s="4">
        <v>1E-3</v>
      </c>
      <c r="E92">
        <v>20</v>
      </c>
      <c r="F92">
        <v>100</v>
      </c>
      <c r="G92" s="3">
        <v>0.5</v>
      </c>
      <c r="H92">
        <v>0.05</v>
      </c>
      <c r="I92" t="s">
        <v>159</v>
      </c>
      <c r="J92" t="s">
        <v>117</v>
      </c>
      <c r="K92">
        <f t="shared" si="9"/>
        <v>1</v>
      </c>
      <c r="L92">
        <f t="shared" si="10"/>
        <v>1</v>
      </c>
      <c r="M92">
        <f t="shared" si="11"/>
        <v>1</v>
      </c>
      <c r="N92">
        <f t="shared" si="12"/>
        <v>1</v>
      </c>
      <c r="O92">
        <f t="shared" si="13"/>
        <v>1</v>
      </c>
      <c r="P92">
        <f t="shared" si="14"/>
        <v>1</v>
      </c>
      <c r="Q92">
        <f t="shared" si="17"/>
        <v>1</v>
      </c>
      <c r="R92">
        <f t="shared" si="15"/>
        <v>1</v>
      </c>
      <c r="S92">
        <f t="shared" si="16"/>
        <v>8</v>
      </c>
    </row>
    <row r="93" spans="1:19" x14ac:dyDescent="0.2">
      <c r="A93">
        <v>92</v>
      </c>
      <c r="B93">
        <v>500</v>
      </c>
      <c r="C93">
        <v>10</v>
      </c>
      <c r="D93" s="4">
        <v>1E-4</v>
      </c>
      <c r="E93" s="3">
        <v>0.2</v>
      </c>
      <c r="F93">
        <v>100</v>
      </c>
      <c r="G93" t="s">
        <v>537</v>
      </c>
      <c r="H93" t="s">
        <v>241</v>
      </c>
      <c r="I93" t="s">
        <v>159</v>
      </c>
      <c r="J93" t="s">
        <v>123</v>
      </c>
      <c r="K93">
        <f t="shared" si="9"/>
        <v>1</v>
      </c>
      <c r="L93">
        <f t="shared" si="10"/>
        <v>1</v>
      </c>
      <c r="M93">
        <f t="shared" si="11"/>
        <v>0</v>
      </c>
      <c r="N93">
        <f t="shared" si="12"/>
        <v>1</v>
      </c>
      <c r="O93">
        <f t="shared" si="13"/>
        <v>1</v>
      </c>
      <c r="P93">
        <f t="shared" si="14"/>
        <v>0</v>
      </c>
      <c r="Q93">
        <f t="shared" si="17"/>
        <v>0</v>
      </c>
      <c r="R93">
        <f t="shared" si="15"/>
        <v>1</v>
      </c>
      <c r="S93">
        <f t="shared" si="16"/>
        <v>5</v>
      </c>
    </row>
    <row r="94" spans="1:19" x14ac:dyDescent="0.2">
      <c r="A94">
        <v>93</v>
      </c>
      <c r="B94">
        <v>4000</v>
      </c>
      <c r="C94" s="3">
        <v>0.01</v>
      </c>
      <c r="D94">
        <v>120</v>
      </c>
      <c r="E94">
        <v>2</v>
      </c>
      <c r="F94">
        <v>100</v>
      </c>
      <c r="G94" s="3">
        <v>0.1</v>
      </c>
      <c r="H94">
        <v>0.05</v>
      </c>
      <c r="I94" t="s">
        <v>385</v>
      </c>
      <c r="J94" t="s">
        <v>128</v>
      </c>
      <c r="K94">
        <f t="shared" si="9"/>
        <v>0</v>
      </c>
      <c r="L94">
        <f t="shared" si="10"/>
        <v>0</v>
      </c>
      <c r="M94">
        <f t="shared" si="11"/>
        <v>0</v>
      </c>
      <c r="N94">
        <f t="shared" si="12"/>
        <v>0</v>
      </c>
      <c r="O94">
        <f t="shared" si="13"/>
        <v>1</v>
      </c>
      <c r="P94">
        <f t="shared" si="14"/>
        <v>0</v>
      </c>
      <c r="Q94">
        <f t="shared" si="17"/>
        <v>1</v>
      </c>
      <c r="R94">
        <f t="shared" si="15"/>
        <v>1</v>
      </c>
      <c r="S94">
        <f t="shared" si="16"/>
        <v>3</v>
      </c>
    </row>
    <row r="95" spans="1:19" x14ac:dyDescent="0.2">
      <c r="A95">
        <v>94</v>
      </c>
      <c r="B95">
        <v>500</v>
      </c>
      <c r="C95">
        <v>10</v>
      </c>
      <c r="D95" t="s">
        <v>547</v>
      </c>
      <c r="E95">
        <v>20</v>
      </c>
      <c r="F95">
        <v>100</v>
      </c>
      <c r="G95" s="3">
        <v>0.1</v>
      </c>
      <c r="H95">
        <v>0.1</v>
      </c>
      <c r="I95">
        <v>500</v>
      </c>
      <c r="J95" t="s">
        <v>128</v>
      </c>
      <c r="K95">
        <f t="shared" si="9"/>
        <v>1</v>
      </c>
      <c r="L95">
        <f t="shared" si="10"/>
        <v>1</v>
      </c>
      <c r="M95">
        <f t="shared" si="11"/>
        <v>0</v>
      </c>
      <c r="N95">
        <f t="shared" si="12"/>
        <v>1</v>
      </c>
      <c r="O95">
        <f t="shared" si="13"/>
        <v>1</v>
      </c>
      <c r="P95">
        <f t="shared" si="14"/>
        <v>0</v>
      </c>
      <c r="Q95">
        <f t="shared" si="17"/>
        <v>0</v>
      </c>
      <c r="R95">
        <f t="shared" si="15"/>
        <v>0</v>
      </c>
      <c r="S95">
        <f t="shared" si="16"/>
        <v>4</v>
      </c>
    </row>
    <row r="96" spans="1:19" x14ac:dyDescent="0.2">
      <c r="A96">
        <v>95</v>
      </c>
      <c r="B96">
        <v>500</v>
      </c>
      <c r="C96">
        <v>10</v>
      </c>
      <c r="D96">
        <v>1</v>
      </c>
      <c r="E96">
        <v>20</v>
      </c>
      <c r="F96">
        <v>100</v>
      </c>
      <c r="G96" s="7">
        <v>45179</v>
      </c>
      <c r="H96">
        <v>0.1</v>
      </c>
      <c r="I96">
        <v>100</v>
      </c>
      <c r="J96" t="s">
        <v>123</v>
      </c>
      <c r="K96">
        <f t="shared" si="9"/>
        <v>1</v>
      </c>
      <c r="L96">
        <f t="shared" si="10"/>
        <v>1</v>
      </c>
      <c r="M96">
        <f t="shared" si="11"/>
        <v>0</v>
      </c>
      <c r="N96">
        <f t="shared" si="12"/>
        <v>1</v>
      </c>
      <c r="O96">
        <f t="shared" si="13"/>
        <v>1</v>
      </c>
      <c r="P96">
        <f t="shared" si="14"/>
        <v>0</v>
      </c>
      <c r="Q96">
        <f t="shared" si="17"/>
        <v>0</v>
      </c>
      <c r="R96">
        <f t="shared" si="15"/>
        <v>0</v>
      </c>
      <c r="S96">
        <f t="shared" si="16"/>
        <v>4</v>
      </c>
    </row>
    <row r="97" spans="1:19" x14ac:dyDescent="0.2">
      <c r="A97">
        <v>96</v>
      </c>
      <c r="B97">
        <v>500</v>
      </c>
      <c r="C97">
        <v>10</v>
      </c>
      <c r="D97">
        <v>0.1</v>
      </c>
      <c r="E97">
        <v>20</v>
      </c>
      <c r="F97">
        <v>100</v>
      </c>
      <c r="G97" s="3">
        <v>0.09</v>
      </c>
      <c r="H97">
        <v>0.05</v>
      </c>
      <c r="I97" t="s">
        <v>164</v>
      </c>
      <c r="J97" t="s">
        <v>128</v>
      </c>
      <c r="K97">
        <f t="shared" si="9"/>
        <v>1</v>
      </c>
      <c r="L97">
        <f t="shared" si="10"/>
        <v>1</v>
      </c>
      <c r="M97">
        <f t="shared" si="11"/>
        <v>1</v>
      </c>
      <c r="N97">
        <f t="shared" si="12"/>
        <v>1</v>
      </c>
      <c r="O97">
        <f t="shared" si="13"/>
        <v>1</v>
      </c>
      <c r="P97">
        <f t="shared" si="14"/>
        <v>0</v>
      </c>
      <c r="Q97">
        <f t="shared" si="17"/>
        <v>1</v>
      </c>
      <c r="R97">
        <f t="shared" si="15"/>
        <v>0</v>
      </c>
      <c r="S97">
        <f t="shared" si="16"/>
        <v>6</v>
      </c>
    </row>
    <row r="98" spans="1:19" x14ac:dyDescent="0.2">
      <c r="A98">
        <v>97</v>
      </c>
      <c r="B98">
        <v>500</v>
      </c>
      <c r="C98">
        <v>10</v>
      </c>
      <c r="D98" s="4">
        <v>1E-3</v>
      </c>
      <c r="E98" s="3">
        <v>0.2</v>
      </c>
      <c r="F98">
        <v>100</v>
      </c>
      <c r="G98" s="3">
        <v>0.5</v>
      </c>
      <c r="H98" s="5">
        <v>0.1</v>
      </c>
      <c r="I98" t="s">
        <v>164</v>
      </c>
      <c r="J98" t="s">
        <v>135</v>
      </c>
      <c r="K98">
        <f t="shared" si="9"/>
        <v>1</v>
      </c>
      <c r="L98">
        <f t="shared" si="10"/>
        <v>1</v>
      </c>
      <c r="M98">
        <f t="shared" si="11"/>
        <v>1</v>
      </c>
      <c r="N98">
        <f t="shared" si="12"/>
        <v>1</v>
      </c>
      <c r="O98">
        <f t="shared" si="13"/>
        <v>1</v>
      </c>
      <c r="P98">
        <f t="shared" si="14"/>
        <v>1</v>
      </c>
      <c r="Q98">
        <f t="shared" si="17"/>
        <v>0</v>
      </c>
      <c r="R98">
        <f t="shared" si="15"/>
        <v>0</v>
      </c>
      <c r="S98">
        <f t="shared" si="16"/>
        <v>6</v>
      </c>
    </row>
    <row r="99" spans="1:19" x14ac:dyDescent="0.2">
      <c r="A99">
        <v>98</v>
      </c>
      <c r="B99">
        <v>500</v>
      </c>
      <c r="C99">
        <v>11</v>
      </c>
      <c r="D99">
        <v>1</v>
      </c>
      <c r="E99">
        <v>20</v>
      </c>
      <c r="F99">
        <v>10</v>
      </c>
      <c r="G99">
        <v>5</v>
      </c>
      <c r="H99">
        <v>0.1</v>
      </c>
      <c r="I99">
        <v>5</v>
      </c>
      <c r="J99" t="s">
        <v>117</v>
      </c>
      <c r="K99">
        <f t="shared" si="9"/>
        <v>1</v>
      </c>
      <c r="L99">
        <f t="shared" si="10"/>
        <v>0</v>
      </c>
      <c r="M99">
        <f t="shared" si="11"/>
        <v>0</v>
      </c>
      <c r="N99">
        <f t="shared" si="12"/>
        <v>1</v>
      </c>
      <c r="O99">
        <f t="shared" si="13"/>
        <v>0</v>
      </c>
      <c r="P99">
        <f t="shared" si="14"/>
        <v>0</v>
      </c>
      <c r="Q99">
        <f t="shared" si="17"/>
        <v>0</v>
      </c>
      <c r="R99">
        <f t="shared" si="15"/>
        <v>1</v>
      </c>
      <c r="S99">
        <f t="shared" si="16"/>
        <v>3</v>
      </c>
    </row>
    <row r="100" spans="1:19" x14ac:dyDescent="0.2">
      <c r="A100">
        <v>99</v>
      </c>
      <c r="B100">
        <v>500</v>
      </c>
      <c r="C100">
        <v>10</v>
      </c>
      <c r="D100">
        <v>10</v>
      </c>
      <c r="E100">
        <v>20</v>
      </c>
      <c r="F100">
        <v>1</v>
      </c>
      <c r="G100">
        <v>10</v>
      </c>
      <c r="H100">
        <v>0.1</v>
      </c>
      <c r="I100">
        <v>100</v>
      </c>
      <c r="J100" t="s">
        <v>128</v>
      </c>
      <c r="K100">
        <f t="shared" si="9"/>
        <v>1</v>
      </c>
      <c r="L100">
        <f t="shared" si="10"/>
        <v>1</v>
      </c>
      <c r="M100">
        <f t="shared" si="11"/>
        <v>0</v>
      </c>
      <c r="N100">
        <f t="shared" si="12"/>
        <v>1</v>
      </c>
      <c r="O100">
        <f t="shared" si="13"/>
        <v>0</v>
      </c>
      <c r="P100">
        <f t="shared" si="14"/>
        <v>0</v>
      </c>
      <c r="Q100">
        <f t="shared" si="17"/>
        <v>0</v>
      </c>
      <c r="R100">
        <f t="shared" si="15"/>
        <v>0</v>
      </c>
      <c r="S100">
        <f t="shared" si="16"/>
        <v>3</v>
      </c>
    </row>
    <row r="101" spans="1:19" x14ac:dyDescent="0.2">
      <c r="A101">
        <v>100</v>
      </c>
      <c r="B101">
        <v>500</v>
      </c>
      <c r="C101">
        <v>10</v>
      </c>
      <c r="D101" s="4">
        <v>1E-3</v>
      </c>
      <c r="E101" s="3">
        <v>0.2</v>
      </c>
      <c r="F101">
        <v>100</v>
      </c>
      <c r="G101" t="s">
        <v>576</v>
      </c>
      <c r="H101">
        <v>0.05</v>
      </c>
      <c r="I101" t="s">
        <v>164</v>
      </c>
      <c r="J101" t="s">
        <v>135</v>
      </c>
      <c r="K101">
        <f t="shared" si="9"/>
        <v>1</v>
      </c>
      <c r="L101">
        <f t="shared" si="10"/>
        <v>1</v>
      </c>
      <c r="M101">
        <f t="shared" si="11"/>
        <v>1</v>
      </c>
      <c r="N101">
        <f t="shared" si="12"/>
        <v>1</v>
      </c>
      <c r="O101">
        <f t="shared" si="13"/>
        <v>1</v>
      </c>
      <c r="P101">
        <f t="shared" si="14"/>
        <v>0</v>
      </c>
      <c r="Q101">
        <f t="shared" si="17"/>
        <v>1</v>
      </c>
      <c r="R101">
        <f t="shared" si="15"/>
        <v>0</v>
      </c>
      <c r="S101">
        <f t="shared" si="16"/>
        <v>6</v>
      </c>
    </row>
    <row r="102" spans="1:19" x14ac:dyDescent="0.2">
      <c r="A102">
        <v>101</v>
      </c>
      <c r="B102">
        <v>500</v>
      </c>
      <c r="C102">
        <v>10</v>
      </c>
      <c r="D102">
        <v>0.1</v>
      </c>
      <c r="E102">
        <v>20</v>
      </c>
      <c r="F102">
        <v>100</v>
      </c>
      <c r="G102">
        <v>18</v>
      </c>
      <c r="H102">
        <v>5</v>
      </c>
      <c r="I102">
        <v>5</v>
      </c>
      <c r="J102" t="s">
        <v>135</v>
      </c>
      <c r="K102">
        <f t="shared" si="9"/>
        <v>1</v>
      </c>
      <c r="L102">
        <f t="shared" si="10"/>
        <v>1</v>
      </c>
      <c r="M102">
        <f t="shared" si="11"/>
        <v>1</v>
      </c>
      <c r="N102">
        <f t="shared" si="12"/>
        <v>1</v>
      </c>
      <c r="O102">
        <f t="shared" si="13"/>
        <v>1</v>
      </c>
      <c r="P102">
        <f t="shared" si="14"/>
        <v>0</v>
      </c>
      <c r="Q102">
        <f t="shared" si="17"/>
        <v>0</v>
      </c>
      <c r="R102">
        <f t="shared" si="15"/>
        <v>1</v>
      </c>
      <c r="S102">
        <f t="shared" si="16"/>
        <v>6</v>
      </c>
    </row>
    <row r="103" spans="1:19" x14ac:dyDescent="0.2">
      <c r="A103">
        <v>102</v>
      </c>
      <c r="B103">
        <v>500</v>
      </c>
      <c r="C103">
        <v>10</v>
      </c>
      <c r="D103">
        <v>0.1</v>
      </c>
      <c r="E103">
        <v>20</v>
      </c>
      <c r="F103">
        <v>100</v>
      </c>
      <c r="G103">
        <v>50</v>
      </c>
      <c r="H103">
        <v>5</v>
      </c>
      <c r="I103" t="s">
        <v>159</v>
      </c>
      <c r="J103" t="s">
        <v>117</v>
      </c>
      <c r="K103">
        <f t="shared" si="9"/>
        <v>1</v>
      </c>
      <c r="L103">
        <f t="shared" si="10"/>
        <v>1</v>
      </c>
      <c r="M103">
        <f t="shared" si="11"/>
        <v>1</v>
      </c>
      <c r="N103">
        <f t="shared" si="12"/>
        <v>1</v>
      </c>
      <c r="O103">
        <f t="shared" si="13"/>
        <v>1</v>
      </c>
      <c r="P103">
        <f t="shared" si="14"/>
        <v>1</v>
      </c>
      <c r="Q103">
        <f t="shared" si="17"/>
        <v>0</v>
      </c>
      <c r="R103">
        <f t="shared" si="15"/>
        <v>1</v>
      </c>
      <c r="S103">
        <f t="shared" si="16"/>
        <v>7</v>
      </c>
    </row>
    <row r="104" spans="1:19" x14ac:dyDescent="0.2">
      <c r="A104">
        <v>103</v>
      </c>
      <c r="B104">
        <v>500</v>
      </c>
      <c r="C104">
        <v>10</v>
      </c>
      <c r="D104">
        <v>0.1</v>
      </c>
      <c r="E104">
        <v>20</v>
      </c>
      <c r="F104">
        <v>100</v>
      </c>
      <c r="G104" t="s">
        <v>590</v>
      </c>
      <c r="H104">
        <v>0.1</v>
      </c>
      <c r="I104">
        <v>100</v>
      </c>
      <c r="J104" t="s">
        <v>117</v>
      </c>
      <c r="K104">
        <f t="shared" si="9"/>
        <v>1</v>
      </c>
      <c r="L104">
        <f t="shared" si="10"/>
        <v>1</v>
      </c>
      <c r="M104">
        <f t="shared" si="11"/>
        <v>1</v>
      </c>
      <c r="N104">
        <f t="shared" si="12"/>
        <v>1</v>
      </c>
      <c r="O104">
        <f t="shared" si="13"/>
        <v>1</v>
      </c>
      <c r="P104">
        <f t="shared" si="14"/>
        <v>0</v>
      </c>
      <c r="Q104">
        <f t="shared" si="17"/>
        <v>0</v>
      </c>
      <c r="R104">
        <f t="shared" si="15"/>
        <v>0</v>
      </c>
      <c r="S104">
        <f t="shared" si="16"/>
        <v>5</v>
      </c>
    </row>
    <row r="105" spans="1:19" x14ac:dyDescent="0.2">
      <c r="A105">
        <v>104</v>
      </c>
      <c r="B105">
        <v>500</v>
      </c>
      <c r="C105">
        <v>10</v>
      </c>
      <c r="D105" s="4">
        <v>1E-3</v>
      </c>
      <c r="E105" s="3">
        <v>0.2</v>
      </c>
      <c r="F105">
        <v>100</v>
      </c>
      <c r="G105" s="3">
        <v>0.18</v>
      </c>
      <c r="H105" s="5">
        <v>0.05</v>
      </c>
      <c r="I105" t="s">
        <v>159</v>
      </c>
      <c r="J105" t="s">
        <v>123</v>
      </c>
      <c r="K105">
        <f t="shared" si="9"/>
        <v>1</v>
      </c>
      <c r="L105">
        <f t="shared" si="10"/>
        <v>1</v>
      </c>
      <c r="M105">
        <f t="shared" si="11"/>
        <v>1</v>
      </c>
      <c r="N105">
        <f t="shared" si="12"/>
        <v>1</v>
      </c>
      <c r="O105">
        <f t="shared" si="13"/>
        <v>1</v>
      </c>
      <c r="P105">
        <f t="shared" si="14"/>
        <v>0</v>
      </c>
      <c r="Q105">
        <f t="shared" si="17"/>
        <v>1</v>
      </c>
      <c r="R105">
        <f t="shared" si="15"/>
        <v>1</v>
      </c>
      <c r="S105">
        <f t="shared" si="16"/>
        <v>7</v>
      </c>
    </row>
    <row r="106" spans="1:19" x14ac:dyDescent="0.2">
      <c r="A106">
        <v>105</v>
      </c>
      <c r="B106">
        <v>500</v>
      </c>
      <c r="C106">
        <v>10</v>
      </c>
      <c r="D106">
        <v>1</v>
      </c>
      <c r="E106">
        <v>20</v>
      </c>
      <c r="F106">
        <v>100</v>
      </c>
      <c r="G106">
        <v>10</v>
      </c>
      <c r="H106">
        <v>0.1</v>
      </c>
      <c r="I106">
        <v>500</v>
      </c>
      <c r="J106" t="s">
        <v>123</v>
      </c>
      <c r="K106">
        <f t="shared" si="9"/>
        <v>1</v>
      </c>
      <c r="L106">
        <f t="shared" si="10"/>
        <v>1</v>
      </c>
      <c r="M106">
        <f t="shared" si="11"/>
        <v>0</v>
      </c>
      <c r="N106">
        <f t="shared" si="12"/>
        <v>1</v>
      </c>
      <c r="O106">
        <f t="shared" si="13"/>
        <v>1</v>
      </c>
      <c r="P106">
        <f t="shared" si="14"/>
        <v>0</v>
      </c>
      <c r="Q106">
        <f t="shared" si="17"/>
        <v>0</v>
      </c>
      <c r="R106">
        <f t="shared" si="15"/>
        <v>0</v>
      </c>
      <c r="S106">
        <f t="shared" si="16"/>
        <v>4</v>
      </c>
    </row>
    <row r="107" spans="1:19" x14ac:dyDescent="0.2">
      <c r="A107">
        <v>106</v>
      </c>
      <c r="B107">
        <v>500</v>
      </c>
      <c r="C107">
        <v>10</v>
      </c>
      <c r="D107" s="4">
        <v>1E-3</v>
      </c>
      <c r="E107" s="3">
        <v>0.2</v>
      </c>
      <c r="F107">
        <v>100</v>
      </c>
      <c r="G107" s="3">
        <v>0.5</v>
      </c>
      <c r="H107">
        <v>0.05</v>
      </c>
      <c r="I107" t="s">
        <v>159</v>
      </c>
      <c r="J107" t="s">
        <v>135</v>
      </c>
      <c r="K107">
        <f t="shared" si="9"/>
        <v>1</v>
      </c>
      <c r="L107">
        <f t="shared" si="10"/>
        <v>1</v>
      </c>
      <c r="M107">
        <f t="shared" si="11"/>
        <v>1</v>
      </c>
      <c r="N107">
        <f t="shared" si="12"/>
        <v>1</v>
      </c>
      <c r="O107">
        <f t="shared" si="13"/>
        <v>1</v>
      </c>
      <c r="P107">
        <f t="shared" si="14"/>
        <v>1</v>
      </c>
      <c r="Q107">
        <f t="shared" si="17"/>
        <v>1</v>
      </c>
      <c r="R107">
        <f t="shared" si="15"/>
        <v>1</v>
      </c>
      <c r="S107">
        <f t="shared" si="16"/>
        <v>8</v>
      </c>
    </row>
    <row r="108" spans="1:19" x14ac:dyDescent="0.2">
      <c r="A108">
        <v>107</v>
      </c>
      <c r="B108">
        <v>500</v>
      </c>
      <c r="C108">
        <v>10</v>
      </c>
      <c r="D108">
        <v>0.5</v>
      </c>
      <c r="E108">
        <v>20</v>
      </c>
      <c r="F108">
        <v>100</v>
      </c>
      <c r="G108">
        <v>0.9</v>
      </c>
      <c r="H108">
        <v>0.1</v>
      </c>
      <c r="I108" t="s">
        <v>208</v>
      </c>
      <c r="J108" t="s">
        <v>117</v>
      </c>
      <c r="K108">
        <f t="shared" si="9"/>
        <v>1</v>
      </c>
      <c r="L108">
        <f t="shared" si="10"/>
        <v>1</v>
      </c>
      <c r="M108">
        <f t="shared" si="11"/>
        <v>0</v>
      </c>
      <c r="N108">
        <f t="shared" si="12"/>
        <v>1</v>
      </c>
      <c r="O108">
        <f t="shared" si="13"/>
        <v>1</v>
      </c>
      <c r="P108">
        <f t="shared" si="14"/>
        <v>0</v>
      </c>
      <c r="Q108">
        <f t="shared" si="17"/>
        <v>0</v>
      </c>
      <c r="R108">
        <f t="shared" si="15"/>
        <v>0</v>
      </c>
      <c r="S108">
        <f t="shared" si="16"/>
        <v>4</v>
      </c>
    </row>
    <row r="109" spans="1:19" x14ac:dyDescent="0.2">
      <c r="A109">
        <v>108</v>
      </c>
      <c r="B109">
        <v>500</v>
      </c>
      <c r="C109">
        <v>10</v>
      </c>
      <c r="D109" t="s">
        <v>612</v>
      </c>
      <c r="E109">
        <v>20</v>
      </c>
      <c r="F109">
        <v>100</v>
      </c>
      <c r="G109">
        <v>9</v>
      </c>
      <c r="H109" t="s">
        <v>241</v>
      </c>
      <c r="I109">
        <v>5</v>
      </c>
      <c r="J109" t="s">
        <v>135</v>
      </c>
      <c r="K109">
        <f t="shared" si="9"/>
        <v>1</v>
      </c>
      <c r="L109">
        <f t="shared" si="10"/>
        <v>1</v>
      </c>
      <c r="M109">
        <f t="shared" si="11"/>
        <v>0</v>
      </c>
      <c r="N109">
        <f t="shared" si="12"/>
        <v>1</v>
      </c>
      <c r="O109">
        <f t="shared" si="13"/>
        <v>1</v>
      </c>
      <c r="P109">
        <f t="shared" si="14"/>
        <v>0</v>
      </c>
      <c r="Q109">
        <f t="shared" si="17"/>
        <v>0</v>
      </c>
      <c r="R109">
        <f t="shared" si="15"/>
        <v>1</v>
      </c>
      <c r="S109">
        <f t="shared" si="16"/>
        <v>5</v>
      </c>
    </row>
    <row r="110" spans="1:19" x14ac:dyDescent="0.2">
      <c r="A110">
        <v>109</v>
      </c>
      <c r="B110">
        <v>500</v>
      </c>
      <c r="C110">
        <v>10</v>
      </c>
      <c r="D110">
        <v>1</v>
      </c>
      <c r="E110">
        <v>20</v>
      </c>
      <c r="F110">
        <v>100</v>
      </c>
      <c r="G110">
        <v>10</v>
      </c>
      <c r="H110">
        <v>10</v>
      </c>
      <c r="I110">
        <v>5</v>
      </c>
      <c r="J110" t="s">
        <v>135</v>
      </c>
      <c r="K110">
        <f t="shared" si="9"/>
        <v>1</v>
      </c>
      <c r="L110">
        <f t="shared" si="10"/>
        <v>1</v>
      </c>
      <c r="M110">
        <f t="shared" si="11"/>
        <v>0</v>
      </c>
      <c r="N110">
        <f t="shared" si="12"/>
        <v>1</v>
      </c>
      <c r="O110">
        <f t="shared" si="13"/>
        <v>1</v>
      </c>
      <c r="P110">
        <f t="shared" si="14"/>
        <v>0</v>
      </c>
      <c r="Q110">
        <f t="shared" si="17"/>
        <v>0</v>
      </c>
      <c r="R110">
        <f t="shared" si="15"/>
        <v>1</v>
      </c>
      <c r="S110">
        <f t="shared" si="16"/>
        <v>5</v>
      </c>
    </row>
    <row r="111" spans="1:19" x14ac:dyDescent="0.2">
      <c r="A111">
        <v>110</v>
      </c>
      <c r="B111">
        <v>500</v>
      </c>
      <c r="C111">
        <v>10</v>
      </c>
      <c r="D111">
        <v>1</v>
      </c>
      <c r="E111">
        <v>20</v>
      </c>
      <c r="F111">
        <v>100</v>
      </c>
      <c r="G111">
        <v>9</v>
      </c>
      <c r="H111">
        <v>0.1</v>
      </c>
      <c r="I111">
        <v>5</v>
      </c>
      <c r="J111" t="s">
        <v>123</v>
      </c>
      <c r="K111">
        <f t="shared" si="9"/>
        <v>1</v>
      </c>
      <c r="L111">
        <f t="shared" si="10"/>
        <v>1</v>
      </c>
      <c r="M111">
        <f t="shared" si="11"/>
        <v>0</v>
      </c>
      <c r="N111">
        <f t="shared" si="12"/>
        <v>1</v>
      </c>
      <c r="O111">
        <f t="shared" si="13"/>
        <v>1</v>
      </c>
      <c r="P111">
        <f t="shared" si="14"/>
        <v>0</v>
      </c>
      <c r="Q111">
        <f t="shared" si="17"/>
        <v>0</v>
      </c>
      <c r="R111">
        <f t="shared" si="15"/>
        <v>1</v>
      </c>
      <c r="S111">
        <f t="shared" si="16"/>
        <v>5</v>
      </c>
    </row>
    <row r="112" spans="1:19" x14ac:dyDescent="0.2">
      <c r="A112">
        <v>111</v>
      </c>
      <c r="B112">
        <v>500</v>
      </c>
      <c r="C112">
        <v>10</v>
      </c>
      <c r="D112">
        <v>0.1</v>
      </c>
      <c r="E112">
        <v>20</v>
      </c>
      <c r="F112">
        <v>100</v>
      </c>
      <c r="G112" t="s">
        <v>625</v>
      </c>
      <c r="H112">
        <v>0.1</v>
      </c>
      <c r="I112" t="s">
        <v>164</v>
      </c>
      <c r="J112" t="s">
        <v>135</v>
      </c>
      <c r="K112">
        <f t="shared" si="9"/>
        <v>1</v>
      </c>
      <c r="L112">
        <f t="shared" si="10"/>
        <v>1</v>
      </c>
      <c r="M112">
        <f t="shared" si="11"/>
        <v>1</v>
      </c>
      <c r="N112">
        <f t="shared" si="12"/>
        <v>1</v>
      </c>
      <c r="O112">
        <f t="shared" si="13"/>
        <v>1</v>
      </c>
      <c r="P112">
        <f t="shared" si="14"/>
        <v>0</v>
      </c>
      <c r="Q112">
        <f t="shared" si="17"/>
        <v>0</v>
      </c>
      <c r="R112">
        <f t="shared" si="15"/>
        <v>0</v>
      </c>
      <c r="S112">
        <f t="shared" si="16"/>
        <v>5</v>
      </c>
    </row>
    <row r="113" spans="1:19" x14ac:dyDescent="0.2">
      <c r="A113">
        <v>112</v>
      </c>
      <c r="B113">
        <v>400</v>
      </c>
      <c r="C113">
        <v>10</v>
      </c>
      <c r="D113">
        <v>10</v>
      </c>
      <c r="E113">
        <v>20</v>
      </c>
      <c r="F113">
        <v>10</v>
      </c>
      <c r="G113">
        <v>10</v>
      </c>
      <c r="H113">
        <v>0.1</v>
      </c>
      <c r="I113">
        <v>100</v>
      </c>
      <c r="J113" t="s">
        <v>128</v>
      </c>
      <c r="K113">
        <f t="shared" si="9"/>
        <v>0</v>
      </c>
      <c r="L113">
        <f t="shared" si="10"/>
        <v>1</v>
      </c>
      <c r="M113">
        <f t="shared" si="11"/>
        <v>0</v>
      </c>
      <c r="N113">
        <f t="shared" si="12"/>
        <v>1</v>
      </c>
      <c r="O113">
        <f t="shared" si="13"/>
        <v>0</v>
      </c>
      <c r="P113">
        <f t="shared" si="14"/>
        <v>0</v>
      </c>
      <c r="Q113">
        <f t="shared" si="17"/>
        <v>0</v>
      </c>
      <c r="R113">
        <f t="shared" si="15"/>
        <v>0</v>
      </c>
      <c r="S113">
        <f t="shared" si="16"/>
        <v>2</v>
      </c>
    </row>
    <row r="114" spans="1:19" x14ac:dyDescent="0.2">
      <c r="A114">
        <v>113</v>
      </c>
      <c r="B114">
        <v>500</v>
      </c>
      <c r="C114">
        <v>10</v>
      </c>
      <c r="D114" s="4">
        <v>1E-3</v>
      </c>
      <c r="E114">
        <v>20</v>
      </c>
      <c r="F114" s="3">
        <v>0.01</v>
      </c>
      <c r="G114" s="3">
        <v>0.1</v>
      </c>
      <c r="H114">
        <v>0.1</v>
      </c>
      <c r="I114" t="s">
        <v>164</v>
      </c>
      <c r="J114" t="s">
        <v>128</v>
      </c>
      <c r="K114">
        <f t="shared" si="9"/>
        <v>1</v>
      </c>
      <c r="L114">
        <f t="shared" si="10"/>
        <v>1</v>
      </c>
      <c r="M114">
        <f t="shared" si="11"/>
        <v>1</v>
      </c>
      <c r="N114">
        <f t="shared" si="12"/>
        <v>1</v>
      </c>
      <c r="O114">
        <f t="shared" si="13"/>
        <v>0</v>
      </c>
      <c r="P114">
        <f t="shared" si="14"/>
        <v>0</v>
      </c>
      <c r="Q114">
        <f t="shared" si="17"/>
        <v>0</v>
      </c>
      <c r="R114">
        <f t="shared" si="15"/>
        <v>0</v>
      </c>
      <c r="S114">
        <f t="shared" si="16"/>
        <v>4</v>
      </c>
    </row>
    <row r="115" spans="1:19" x14ac:dyDescent="0.2">
      <c r="A115">
        <v>114</v>
      </c>
      <c r="B115">
        <v>500</v>
      </c>
      <c r="C115">
        <v>10</v>
      </c>
      <c r="D115">
        <v>0.01</v>
      </c>
      <c r="E115">
        <v>20</v>
      </c>
      <c r="F115">
        <v>100</v>
      </c>
      <c r="G115">
        <v>90</v>
      </c>
      <c r="H115">
        <v>0.1</v>
      </c>
      <c r="I115">
        <v>5</v>
      </c>
      <c r="J115" t="s">
        <v>117</v>
      </c>
      <c r="K115">
        <f t="shared" si="9"/>
        <v>1</v>
      </c>
      <c r="L115">
        <f t="shared" si="10"/>
        <v>1</v>
      </c>
      <c r="M115">
        <f t="shared" si="11"/>
        <v>0</v>
      </c>
      <c r="N115">
        <f t="shared" si="12"/>
        <v>1</v>
      </c>
      <c r="O115">
        <f t="shared" si="13"/>
        <v>1</v>
      </c>
      <c r="P115">
        <f t="shared" si="14"/>
        <v>0</v>
      </c>
      <c r="Q115">
        <f t="shared" si="17"/>
        <v>0</v>
      </c>
      <c r="R115">
        <f t="shared" si="15"/>
        <v>1</v>
      </c>
      <c r="S115">
        <f t="shared" si="16"/>
        <v>5</v>
      </c>
    </row>
    <row r="116" spans="1:19" x14ac:dyDescent="0.2">
      <c r="A116">
        <v>115</v>
      </c>
      <c r="B116" s="3">
        <v>0.5</v>
      </c>
      <c r="C116">
        <v>10</v>
      </c>
      <c r="D116" s="3">
        <v>0.01</v>
      </c>
      <c r="E116" s="3">
        <v>0.2</v>
      </c>
      <c r="F116">
        <v>100</v>
      </c>
      <c r="G116" s="3">
        <v>0.1</v>
      </c>
      <c r="H116">
        <v>1.05</v>
      </c>
      <c r="I116" t="s">
        <v>643</v>
      </c>
      <c r="J116" t="s">
        <v>128</v>
      </c>
      <c r="K116">
        <f>IF(OR(B116=500,B116="50%",B116=50%),1,0)</f>
        <v>1</v>
      </c>
      <c r="L116">
        <f t="shared" si="10"/>
        <v>1</v>
      </c>
      <c r="M116">
        <f t="shared" si="11"/>
        <v>0</v>
      </c>
      <c r="N116">
        <f t="shared" si="12"/>
        <v>1</v>
      </c>
      <c r="O116">
        <f t="shared" si="13"/>
        <v>1</v>
      </c>
      <c r="P116">
        <f t="shared" si="14"/>
        <v>0</v>
      </c>
      <c r="Q116">
        <f t="shared" si="17"/>
        <v>0</v>
      </c>
      <c r="R116">
        <f t="shared" si="15"/>
        <v>0</v>
      </c>
      <c r="S116">
        <f t="shared" si="16"/>
        <v>4</v>
      </c>
    </row>
    <row r="117" spans="1:19" x14ac:dyDescent="0.2">
      <c r="A117">
        <v>116</v>
      </c>
      <c r="B117">
        <v>500</v>
      </c>
      <c r="C117">
        <v>10</v>
      </c>
      <c r="D117" s="4">
        <v>1E-3</v>
      </c>
      <c r="E117">
        <v>20</v>
      </c>
      <c r="F117">
        <v>100</v>
      </c>
      <c r="G117" s="3">
        <v>0.1</v>
      </c>
      <c r="H117">
        <v>0.1</v>
      </c>
      <c r="I117" t="s">
        <v>159</v>
      </c>
      <c r="J117" t="s">
        <v>128</v>
      </c>
      <c r="K117">
        <f t="shared" ref="K117:K180" si="18">IF(OR(B117=500,B117="50%",B117=50%),1,0)</f>
        <v>1</v>
      </c>
      <c r="L117">
        <f t="shared" si="10"/>
        <v>1</v>
      </c>
      <c r="M117">
        <f t="shared" si="11"/>
        <v>1</v>
      </c>
      <c r="N117">
        <f t="shared" si="12"/>
        <v>1</v>
      </c>
      <c r="O117">
        <f t="shared" si="13"/>
        <v>1</v>
      </c>
      <c r="P117">
        <f t="shared" si="14"/>
        <v>0</v>
      </c>
      <c r="Q117">
        <f t="shared" si="17"/>
        <v>0</v>
      </c>
      <c r="R117">
        <f t="shared" si="15"/>
        <v>1</v>
      </c>
      <c r="S117">
        <f t="shared" si="16"/>
        <v>6</v>
      </c>
    </row>
    <row r="118" spans="1:19" x14ac:dyDescent="0.2">
      <c r="A118">
        <v>117</v>
      </c>
      <c r="B118">
        <v>500</v>
      </c>
      <c r="C118">
        <v>10</v>
      </c>
      <c r="D118">
        <v>1E-3</v>
      </c>
      <c r="E118">
        <v>20</v>
      </c>
      <c r="F118">
        <v>100</v>
      </c>
      <c r="G118" s="3">
        <v>0.1</v>
      </c>
      <c r="H118">
        <v>0.05</v>
      </c>
      <c r="I118">
        <v>5</v>
      </c>
      <c r="J118" t="s">
        <v>135</v>
      </c>
      <c r="K118">
        <f t="shared" si="18"/>
        <v>1</v>
      </c>
      <c r="L118">
        <f t="shared" si="10"/>
        <v>1</v>
      </c>
      <c r="M118">
        <f t="shared" si="11"/>
        <v>1</v>
      </c>
      <c r="N118">
        <f t="shared" si="12"/>
        <v>1</v>
      </c>
      <c r="O118">
        <f t="shared" si="13"/>
        <v>1</v>
      </c>
      <c r="P118">
        <f t="shared" si="14"/>
        <v>0</v>
      </c>
      <c r="Q118">
        <f t="shared" si="17"/>
        <v>1</v>
      </c>
      <c r="R118">
        <f t="shared" si="15"/>
        <v>1</v>
      </c>
      <c r="S118">
        <f t="shared" si="16"/>
        <v>7</v>
      </c>
    </row>
    <row r="119" spans="1:19" x14ac:dyDescent="0.2">
      <c r="A119">
        <v>118</v>
      </c>
      <c r="B119">
        <v>500</v>
      </c>
      <c r="C119">
        <v>0.01</v>
      </c>
      <c r="D119">
        <v>0.01</v>
      </c>
      <c r="E119">
        <v>20</v>
      </c>
      <c r="F119">
        <v>1</v>
      </c>
      <c r="G119">
        <v>50</v>
      </c>
      <c r="H119">
        <v>0.05</v>
      </c>
      <c r="I119">
        <v>1</v>
      </c>
      <c r="J119" t="s">
        <v>128</v>
      </c>
      <c r="K119">
        <f t="shared" si="18"/>
        <v>1</v>
      </c>
      <c r="L119">
        <f t="shared" si="10"/>
        <v>0</v>
      </c>
      <c r="M119">
        <f t="shared" si="11"/>
        <v>0</v>
      </c>
      <c r="N119">
        <f t="shared" si="12"/>
        <v>1</v>
      </c>
      <c r="O119">
        <f t="shared" si="13"/>
        <v>0</v>
      </c>
      <c r="P119">
        <f t="shared" si="14"/>
        <v>1</v>
      </c>
      <c r="Q119">
        <f t="shared" si="17"/>
        <v>1</v>
      </c>
      <c r="R119">
        <f t="shared" si="15"/>
        <v>0</v>
      </c>
      <c r="S119">
        <f t="shared" si="16"/>
        <v>4</v>
      </c>
    </row>
    <row r="120" spans="1:19" x14ac:dyDescent="0.2">
      <c r="A120">
        <v>119</v>
      </c>
      <c r="B120">
        <v>50</v>
      </c>
      <c r="C120">
        <v>10</v>
      </c>
      <c r="D120">
        <v>1</v>
      </c>
      <c r="E120">
        <v>5</v>
      </c>
      <c r="F120">
        <v>100</v>
      </c>
      <c r="G120" s="3">
        <v>0.2</v>
      </c>
      <c r="H120">
        <v>0.1</v>
      </c>
      <c r="I120">
        <v>100</v>
      </c>
      <c r="J120" t="s">
        <v>123</v>
      </c>
      <c r="K120">
        <f t="shared" si="18"/>
        <v>0</v>
      </c>
      <c r="L120">
        <f t="shared" si="10"/>
        <v>1</v>
      </c>
      <c r="M120">
        <f t="shared" si="11"/>
        <v>0</v>
      </c>
      <c r="N120">
        <f t="shared" si="12"/>
        <v>0</v>
      </c>
      <c r="O120">
        <f t="shared" si="13"/>
        <v>1</v>
      </c>
      <c r="P120">
        <f t="shared" si="14"/>
        <v>0</v>
      </c>
      <c r="Q120">
        <f t="shared" si="17"/>
        <v>0</v>
      </c>
      <c r="R120">
        <f t="shared" si="15"/>
        <v>0</v>
      </c>
      <c r="S120">
        <f t="shared" si="16"/>
        <v>2</v>
      </c>
    </row>
    <row r="121" spans="1:19" x14ac:dyDescent="0.2">
      <c r="A121">
        <v>120</v>
      </c>
      <c r="B121">
        <v>234</v>
      </c>
      <c r="C121">
        <v>10</v>
      </c>
      <c r="D121">
        <v>10</v>
      </c>
      <c r="E121">
        <v>5</v>
      </c>
      <c r="F121">
        <v>10</v>
      </c>
      <c r="G121">
        <v>18</v>
      </c>
      <c r="H121">
        <v>0.1</v>
      </c>
      <c r="I121">
        <v>100</v>
      </c>
      <c r="J121" t="s">
        <v>135</v>
      </c>
      <c r="K121">
        <f t="shared" si="18"/>
        <v>0</v>
      </c>
      <c r="L121">
        <f t="shared" si="10"/>
        <v>1</v>
      </c>
      <c r="M121">
        <f t="shared" si="11"/>
        <v>0</v>
      </c>
      <c r="N121">
        <f t="shared" si="12"/>
        <v>0</v>
      </c>
      <c r="O121">
        <f t="shared" si="13"/>
        <v>0</v>
      </c>
      <c r="P121">
        <f t="shared" si="14"/>
        <v>0</v>
      </c>
      <c r="Q121">
        <f t="shared" si="17"/>
        <v>0</v>
      </c>
      <c r="R121">
        <f t="shared" si="15"/>
        <v>0</v>
      </c>
      <c r="S121">
        <f t="shared" si="16"/>
        <v>1</v>
      </c>
    </row>
    <row r="122" spans="1:19" x14ac:dyDescent="0.2">
      <c r="A122">
        <v>121</v>
      </c>
      <c r="B122">
        <v>500</v>
      </c>
      <c r="C122">
        <v>1</v>
      </c>
      <c r="D122">
        <v>1000</v>
      </c>
      <c r="E122">
        <v>20</v>
      </c>
      <c r="F122">
        <v>100</v>
      </c>
      <c r="G122" s="3">
        <v>0.5</v>
      </c>
      <c r="H122" t="s">
        <v>241</v>
      </c>
      <c r="I122" t="s">
        <v>164</v>
      </c>
      <c r="J122" t="s">
        <v>128</v>
      </c>
      <c r="K122">
        <f t="shared" si="18"/>
        <v>1</v>
      </c>
      <c r="L122">
        <f t="shared" si="10"/>
        <v>0</v>
      </c>
      <c r="M122">
        <f t="shared" si="11"/>
        <v>0</v>
      </c>
      <c r="N122">
        <f t="shared" si="12"/>
        <v>1</v>
      </c>
      <c r="O122">
        <f t="shared" si="13"/>
        <v>1</v>
      </c>
      <c r="P122">
        <f t="shared" si="14"/>
        <v>1</v>
      </c>
      <c r="Q122">
        <f t="shared" si="17"/>
        <v>0</v>
      </c>
      <c r="R122">
        <f t="shared" si="15"/>
        <v>0</v>
      </c>
      <c r="S122">
        <f t="shared" si="16"/>
        <v>4</v>
      </c>
    </row>
    <row r="123" spans="1:19" x14ac:dyDescent="0.2">
      <c r="A123">
        <v>122</v>
      </c>
      <c r="B123">
        <v>500</v>
      </c>
      <c r="C123">
        <v>10</v>
      </c>
      <c r="D123">
        <v>0.1</v>
      </c>
      <c r="E123">
        <v>20</v>
      </c>
      <c r="F123">
        <v>100</v>
      </c>
      <c r="G123" s="3">
        <v>0.5</v>
      </c>
      <c r="H123">
        <v>0.05</v>
      </c>
      <c r="I123" t="s">
        <v>159</v>
      </c>
      <c r="J123" t="s">
        <v>135</v>
      </c>
      <c r="K123">
        <f t="shared" si="18"/>
        <v>1</v>
      </c>
      <c r="L123">
        <f t="shared" si="10"/>
        <v>1</v>
      </c>
      <c r="M123">
        <f t="shared" si="11"/>
        <v>1</v>
      </c>
      <c r="N123">
        <f t="shared" si="12"/>
        <v>1</v>
      </c>
      <c r="O123">
        <f t="shared" si="13"/>
        <v>1</v>
      </c>
      <c r="P123">
        <f t="shared" si="14"/>
        <v>1</v>
      </c>
      <c r="Q123">
        <f t="shared" si="17"/>
        <v>1</v>
      </c>
      <c r="R123">
        <f t="shared" si="15"/>
        <v>1</v>
      </c>
      <c r="S123">
        <f t="shared" si="16"/>
        <v>8</v>
      </c>
    </row>
    <row r="124" spans="1:19" x14ac:dyDescent="0.2">
      <c r="A124">
        <v>123</v>
      </c>
      <c r="B124">
        <v>500</v>
      </c>
      <c r="C124">
        <v>10</v>
      </c>
      <c r="D124" s="4">
        <v>1E-3</v>
      </c>
      <c r="E124" s="3">
        <v>0.2</v>
      </c>
      <c r="F124">
        <v>100</v>
      </c>
      <c r="G124" t="s">
        <v>677</v>
      </c>
      <c r="H124" s="5">
        <v>0.1</v>
      </c>
      <c r="I124" t="s">
        <v>208</v>
      </c>
      <c r="J124" t="s">
        <v>135</v>
      </c>
      <c r="K124">
        <f t="shared" si="18"/>
        <v>1</v>
      </c>
      <c r="L124">
        <f t="shared" si="10"/>
        <v>1</v>
      </c>
      <c r="M124">
        <f t="shared" si="11"/>
        <v>1</v>
      </c>
      <c r="N124">
        <f t="shared" si="12"/>
        <v>1</v>
      </c>
      <c r="O124">
        <f t="shared" si="13"/>
        <v>1</v>
      </c>
      <c r="P124">
        <f t="shared" si="14"/>
        <v>0</v>
      </c>
      <c r="Q124">
        <f t="shared" si="17"/>
        <v>0</v>
      </c>
      <c r="R124">
        <f t="shared" si="15"/>
        <v>0</v>
      </c>
      <c r="S124">
        <f t="shared" si="16"/>
        <v>5</v>
      </c>
    </row>
    <row r="125" spans="1:19" x14ac:dyDescent="0.2">
      <c r="A125">
        <v>124</v>
      </c>
      <c r="B125">
        <v>100</v>
      </c>
      <c r="C125">
        <v>10</v>
      </c>
      <c r="D125">
        <v>1</v>
      </c>
      <c r="E125">
        <v>20</v>
      </c>
      <c r="F125">
        <v>10</v>
      </c>
      <c r="G125" s="3">
        <v>0.09</v>
      </c>
      <c r="H125">
        <v>10</v>
      </c>
      <c r="I125">
        <v>100</v>
      </c>
      <c r="J125" t="s">
        <v>135</v>
      </c>
      <c r="K125">
        <f t="shared" si="18"/>
        <v>0</v>
      </c>
      <c r="L125">
        <f t="shared" si="10"/>
        <v>1</v>
      </c>
      <c r="M125">
        <f t="shared" si="11"/>
        <v>0</v>
      </c>
      <c r="N125">
        <f t="shared" si="12"/>
        <v>1</v>
      </c>
      <c r="O125">
        <f t="shared" si="13"/>
        <v>0</v>
      </c>
      <c r="P125">
        <f t="shared" si="14"/>
        <v>0</v>
      </c>
      <c r="Q125">
        <f t="shared" si="17"/>
        <v>0</v>
      </c>
      <c r="R125">
        <f t="shared" si="15"/>
        <v>0</v>
      </c>
      <c r="S125">
        <f t="shared" si="16"/>
        <v>2</v>
      </c>
    </row>
    <row r="126" spans="1:19" x14ac:dyDescent="0.2">
      <c r="A126">
        <v>125</v>
      </c>
      <c r="B126">
        <v>500</v>
      </c>
      <c r="C126">
        <v>10</v>
      </c>
      <c r="D126">
        <v>1</v>
      </c>
      <c r="E126">
        <v>20</v>
      </c>
      <c r="F126">
        <v>100</v>
      </c>
      <c r="G126">
        <v>90</v>
      </c>
      <c r="H126">
        <v>0.05</v>
      </c>
      <c r="I126">
        <v>100</v>
      </c>
      <c r="J126" t="s">
        <v>117</v>
      </c>
      <c r="K126">
        <f t="shared" si="18"/>
        <v>1</v>
      </c>
      <c r="L126">
        <f t="shared" si="10"/>
        <v>1</v>
      </c>
      <c r="M126">
        <f t="shared" si="11"/>
        <v>0</v>
      </c>
      <c r="N126">
        <f t="shared" si="12"/>
        <v>1</v>
      </c>
      <c r="O126">
        <f t="shared" si="13"/>
        <v>1</v>
      </c>
      <c r="P126">
        <f t="shared" si="14"/>
        <v>0</v>
      </c>
      <c r="Q126">
        <f t="shared" si="17"/>
        <v>1</v>
      </c>
      <c r="R126">
        <f t="shared" si="15"/>
        <v>0</v>
      </c>
      <c r="S126">
        <f t="shared" si="16"/>
        <v>5</v>
      </c>
    </row>
    <row r="127" spans="1:19" x14ac:dyDescent="0.2">
      <c r="A127">
        <v>126</v>
      </c>
      <c r="B127">
        <v>500</v>
      </c>
      <c r="C127">
        <v>10</v>
      </c>
      <c r="D127">
        <v>1E-3</v>
      </c>
      <c r="E127">
        <v>20</v>
      </c>
      <c r="F127">
        <v>100</v>
      </c>
      <c r="G127">
        <v>90</v>
      </c>
      <c r="H127">
        <v>0.05</v>
      </c>
      <c r="I127">
        <v>5</v>
      </c>
      <c r="J127" t="s">
        <v>123</v>
      </c>
      <c r="K127">
        <f t="shared" si="18"/>
        <v>1</v>
      </c>
      <c r="L127">
        <f t="shared" si="10"/>
        <v>1</v>
      </c>
      <c r="M127">
        <f t="shared" si="11"/>
        <v>1</v>
      </c>
      <c r="N127">
        <f t="shared" si="12"/>
        <v>1</v>
      </c>
      <c r="O127">
        <f t="shared" si="13"/>
        <v>1</v>
      </c>
      <c r="P127">
        <f t="shared" si="14"/>
        <v>0</v>
      </c>
      <c r="Q127">
        <f t="shared" si="17"/>
        <v>1</v>
      </c>
      <c r="R127">
        <f t="shared" si="15"/>
        <v>1</v>
      </c>
      <c r="S127">
        <f t="shared" si="16"/>
        <v>7</v>
      </c>
    </row>
    <row r="128" spans="1:19" x14ac:dyDescent="0.2">
      <c r="A128">
        <v>127</v>
      </c>
      <c r="B128">
        <v>500</v>
      </c>
      <c r="C128">
        <v>10</v>
      </c>
      <c r="D128">
        <v>0.1</v>
      </c>
      <c r="E128">
        <v>20</v>
      </c>
      <c r="F128">
        <v>100</v>
      </c>
      <c r="G128" s="3">
        <v>0.5</v>
      </c>
      <c r="H128">
        <v>10</v>
      </c>
      <c r="I128">
        <v>5</v>
      </c>
      <c r="J128" t="s">
        <v>117</v>
      </c>
      <c r="K128">
        <f t="shared" si="18"/>
        <v>1</v>
      </c>
      <c r="L128">
        <f t="shared" si="10"/>
        <v>1</v>
      </c>
      <c r="M128">
        <f t="shared" si="11"/>
        <v>1</v>
      </c>
      <c r="N128">
        <f t="shared" si="12"/>
        <v>1</v>
      </c>
      <c r="O128">
        <f t="shared" si="13"/>
        <v>1</v>
      </c>
      <c r="P128">
        <f t="shared" si="14"/>
        <v>1</v>
      </c>
      <c r="Q128">
        <f t="shared" si="17"/>
        <v>0</v>
      </c>
      <c r="R128">
        <f t="shared" si="15"/>
        <v>1</v>
      </c>
      <c r="S128">
        <f t="shared" si="16"/>
        <v>7</v>
      </c>
    </row>
    <row r="129" spans="1:19" x14ac:dyDescent="0.2">
      <c r="A129">
        <v>128</v>
      </c>
      <c r="B129">
        <v>500</v>
      </c>
      <c r="C129">
        <v>10</v>
      </c>
      <c r="D129">
        <v>99</v>
      </c>
      <c r="E129">
        <v>20</v>
      </c>
      <c r="F129">
        <v>100</v>
      </c>
      <c r="G129">
        <v>50</v>
      </c>
      <c r="H129">
        <v>0.1</v>
      </c>
      <c r="I129" t="s">
        <v>159</v>
      </c>
      <c r="J129" t="s">
        <v>128</v>
      </c>
      <c r="K129">
        <f t="shared" si="18"/>
        <v>1</v>
      </c>
      <c r="L129">
        <f t="shared" si="10"/>
        <v>1</v>
      </c>
      <c r="M129">
        <f t="shared" si="11"/>
        <v>0</v>
      </c>
      <c r="N129">
        <f t="shared" si="12"/>
        <v>1</v>
      </c>
      <c r="O129">
        <f t="shared" si="13"/>
        <v>1</v>
      </c>
      <c r="P129">
        <f t="shared" si="14"/>
        <v>1</v>
      </c>
      <c r="Q129">
        <f t="shared" si="17"/>
        <v>0</v>
      </c>
      <c r="R129">
        <f t="shared" si="15"/>
        <v>1</v>
      </c>
      <c r="S129">
        <f t="shared" si="16"/>
        <v>6</v>
      </c>
    </row>
    <row r="130" spans="1:19" x14ac:dyDescent="0.2">
      <c r="A130">
        <v>129</v>
      </c>
      <c r="B130">
        <v>500</v>
      </c>
      <c r="C130">
        <v>10</v>
      </c>
      <c r="D130" s="4">
        <v>1E-3</v>
      </c>
      <c r="E130">
        <v>20</v>
      </c>
      <c r="F130">
        <v>100</v>
      </c>
      <c r="G130" s="3">
        <v>0.5</v>
      </c>
      <c r="H130" t="s">
        <v>703</v>
      </c>
      <c r="I130" t="s">
        <v>159</v>
      </c>
      <c r="J130" t="s">
        <v>117</v>
      </c>
      <c r="K130">
        <f t="shared" si="18"/>
        <v>1</v>
      </c>
      <c r="L130">
        <f t="shared" si="10"/>
        <v>1</v>
      </c>
      <c r="M130">
        <f t="shared" si="11"/>
        <v>1</v>
      </c>
      <c r="N130">
        <f t="shared" si="12"/>
        <v>1</v>
      </c>
      <c r="O130">
        <f t="shared" si="13"/>
        <v>1</v>
      </c>
      <c r="P130">
        <f t="shared" si="14"/>
        <v>1</v>
      </c>
      <c r="Q130">
        <f t="shared" si="17"/>
        <v>0</v>
      </c>
      <c r="R130">
        <f t="shared" si="15"/>
        <v>1</v>
      </c>
      <c r="S130">
        <f t="shared" si="16"/>
        <v>7</v>
      </c>
    </row>
    <row r="131" spans="1:19" x14ac:dyDescent="0.2">
      <c r="A131">
        <v>130</v>
      </c>
      <c r="B131">
        <v>300</v>
      </c>
      <c r="C131">
        <v>10</v>
      </c>
      <c r="D131">
        <v>10</v>
      </c>
      <c r="E131">
        <v>10</v>
      </c>
      <c r="F131">
        <v>100</v>
      </c>
      <c r="G131">
        <v>10</v>
      </c>
      <c r="H131">
        <v>10</v>
      </c>
      <c r="I131">
        <v>10</v>
      </c>
      <c r="J131" t="s">
        <v>123</v>
      </c>
      <c r="K131">
        <f t="shared" si="18"/>
        <v>0</v>
      </c>
      <c r="L131">
        <f t="shared" ref="L131:L194" si="19">IF(C131=10,1,0)</f>
        <v>1</v>
      </c>
      <c r="M131">
        <f t="shared" ref="M131:M194" si="20">IF(OR(D131=0.1,D131=0.1%),1,0)</f>
        <v>0</v>
      </c>
      <c r="N131">
        <f t="shared" ref="N131:N194" si="21">IF(OR(E131=20,E131=20%),1,0)</f>
        <v>0</v>
      </c>
      <c r="O131">
        <f t="shared" ref="O131:O194" si="22">IF(F131=100,1,0)</f>
        <v>1</v>
      </c>
      <c r="P131">
        <f t="shared" ref="P131:P194" si="23">IF(OR(G131=50%,G131=50),1,0)</f>
        <v>0</v>
      </c>
      <c r="Q131">
        <f t="shared" si="17"/>
        <v>0</v>
      </c>
      <c r="R131">
        <f t="shared" ref="R131:R194" si="24">IF(OR(I131="5 minutes",I131=5, I131="5 min"),1,0)</f>
        <v>0</v>
      </c>
      <c r="S131">
        <f t="shared" ref="S131:S194" si="25">SUM(K131:R131)</f>
        <v>2</v>
      </c>
    </row>
    <row r="132" spans="1:19" x14ac:dyDescent="0.2">
      <c r="A132">
        <v>131</v>
      </c>
      <c r="B132">
        <v>500</v>
      </c>
      <c r="C132">
        <v>10</v>
      </c>
      <c r="D132" s="4">
        <v>1E-3</v>
      </c>
      <c r="E132" s="3">
        <v>0.2</v>
      </c>
      <c r="F132">
        <v>100</v>
      </c>
      <c r="G132" s="3">
        <v>0.55000000000000004</v>
      </c>
      <c r="H132" s="5">
        <v>0.05</v>
      </c>
      <c r="I132" t="s">
        <v>208</v>
      </c>
      <c r="J132" t="s">
        <v>123</v>
      </c>
      <c r="K132">
        <f t="shared" si="18"/>
        <v>1</v>
      </c>
      <c r="L132">
        <f t="shared" si="19"/>
        <v>1</v>
      </c>
      <c r="M132">
        <f t="shared" si="20"/>
        <v>1</v>
      </c>
      <c r="N132">
        <f t="shared" si="21"/>
        <v>1</v>
      </c>
      <c r="O132">
        <f t="shared" si="22"/>
        <v>1</v>
      </c>
      <c r="P132">
        <f t="shared" si="23"/>
        <v>0</v>
      </c>
      <c r="Q132">
        <f t="shared" si="17"/>
        <v>1</v>
      </c>
      <c r="R132">
        <f t="shared" si="24"/>
        <v>0</v>
      </c>
      <c r="S132">
        <f t="shared" si="25"/>
        <v>6</v>
      </c>
    </row>
    <row r="133" spans="1:19" x14ac:dyDescent="0.2">
      <c r="A133">
        <v>132</v>
      </c>
      <c r="B133">
        <v>500</v>
      </c>
      <c r="C133">
        <v>1</v>
      </c>
      <c r="D133" s="3">
        <v>0.2</v>
      </c>
      <c r="E133" s="3">
        <v>0.2</v>
      </c>
      <c r="F133">
        <v>100</v>
      </c>
      <c r="G133" s="3">
        <v>0.3</v>
      </c>
      <c r="H133">
        <v>0.2</v>
      </c>
      <c r="I133" t="s">
        <v>716</v>
      </c>
      <c r="J133" t="s">
        <v>135</v>
      </c>
      <c r="K133">
        <f t="shared" si="18"/>
        <v>1</v>
      </c>
      <c r="L133">
        <f t="shared" si="19"/>
        <v>0</v>
      </c>
      <c r="M133">
        <f t="shared" si="20"/>
        <v>0</v>
      </c>
      <c r="N133">
        <f t="shared" si="21"/>
        <v>1</v>
      </c>
      <c r="O133">
        <f t="shared" si="22"/>
        <v>1</v>
      </c>
      <c r="P133">
        <f t="shared" si="23"/>
        <v>0</v>
      </c>
      <c r="Q133">
        <f t="shared" si="17"/>
        <v>0</v>
      </c>
      <c r="R133">
        <f t="shared" si="24"/>
        <v>0</v>
      </c>
      <c r="S133">
        <f t="shared" si="25"/>
        <v>3</v>
      </c>
    </row>
    <row r="134" spans="1:19" x14ac:dyDescent="0.2">
      <c r="A134">
        <v>133</v>
      </c>
      <c r="B134">
        <v>500</v>
      </c>
      <c r="C134">
        <v>1</v>
      </c>
      <c r="D134">
        <v>0.01</v>
      </c>
      <c r="E134">
        <v>20</v>
      </c>
      <c r="F134">
        <v>100</v>
      </c>
      <c r="G134">
        <v>1</v>
      </c>
      <c r="H134">
        <v>0.1</v>
      </c>
      <c r="I134">
        <v>5</v>
      </c>
      <c r="J134" t="s">
        <v>128</v>
      </c>
      <c r="K134">
        <f t="shared" si="18"/>
        <v>1</v>
      </c>
      <c r="L134">
        <f t="shared" si="19"/>
        <v>0</v>
      </c>
      <c r="M134">
        <f t="shared" si="20"/>
        <v>0</v>
      </c>
      <c r="N134">
        <f t="shared" si="21"/>
        <v>1</v>
      </c>
      <c r="O134">
        <f t="shared" si="22"/>
        <v>1</v>
      </c>
      <c r="P134">
        <f t="shared" si="23"/>
        <v>0</v>
      </c>
      <c r="Q134">
        <f t="shared" si="17"/>
        <v>0</v>
      </c>
      <c r="R134">
        <f t="shared" si="24"/>
        <v>1</v>
      </c>
      <c r="S134">
        <f t="shared" si="25"/>
        <v>4</v>
      </c>
    </row>
    <row r="135" spans="1:19" x14ac:dyDescent="0.2">
      <c r="A135">
        <v>134</v>
      </c>
      <c r="B135">
        <v>500</v>
      </c>
      <c r="C135">
        <v>10</v>
      </c>
      <c r="D135" s="4">
        <v>1E-3</v>
      </c>
      <c r="E135">
        <v>20</v>
      </c>
      <c r="F135">
        <v>100</v>
      </c>
      <c r="G135" s="3">
        <v>0.5</v>
      </c>
      <c r="H135" s="5">
        <v>0.05</v>
      </c>
      <c r="I135" t="s">
        <v>159</v>
      </c>
      <c r="J135" t="s">
        <v>135</v>
      </c>
      <c r="K135">
        <f t="shared" si="18"/>
        <v>1</v>
      </c>
      <c r="L135">
        <f t="shared" si="19"/>
        <v>1</v>
      </c>
      <c r="M135">
        <f t="shared" si="20"/>
        <v>1</v>
      </c>
      <c r="N135">
        <f t="shared" si="21"/>
        <v>1</v>
      </c>
      <c r="O135">
        <f t="shared" si="22"/>
        <v>1</v>
      </c>
      <c r="P135">
        <f t="shared" si="23"/>
        <v>1</v>
      </c>
      <c r="Q135">
        <f t="shared" ref="Q135:Q198" si="26">IF(OR(H135="5 cents",H135=0.05,H135="$0.05"),1,0)</f>
        <v>1</v>
      </c>
      <c r="R135">
        <f t="shared" si="24"/>
        <v>1</v>
      </c>
      <c r="S135">
        <f t="shared" si="25"/>
        <v>8</v>
      </c>
    </row>
    <row r="136" spans="1:19" x14ac:dyDescent="0.2">
      <c r="A136">
        <v>135</v>
      </c>
      <c r="B136">
        <v>500</v>
      </c>
      <c r="C136">
        <v>100</v>
      </c>
      <c r="D136" s="4">
        <v>1E-3</v>
      </c>
      <c r="E136" s="3">
        <v>0.2</v>
      </c>
      <c r="F136">
        <v>100</v>
      </c>
      <c r="G136">
        <v>1</v>
      </c>
      <c r="H136">
        <v>0.05</v>
      </c>
      <c r="I136">
        <v>100</v>
      </c>
      <c r="J136" t="s">
        <v>128</v>
      </c>
      <c r="K136">
        <f t="shared" si="18"/>
        <v>1</v>
      </c>
      <c r="L136">
        <f t="shared" si="19"/>
        <v>0</v>
      </c>
      <c r="M136">
        <f t="shared" si="20"/>
        <v>1</v>
      </c>
      <c r="N136">
        <f t="shared" si="21"/>
        <v>1</v>
      </c>
      <c r="O136">
        <f t="shared" si="22"/>
        <v>1</v>
      </c>
      <c r="P136">
        <f t="shared" si="23"/>
        <v>0</v>
      </c>
      <c r="Q136">
        <f t="shared" si="26"/>
        <v>1</v>
      </c>
      <c r="R136">
        <f t="shared" si="24"/>
        <v>0</v>
      </c>
      <c r="S136">
        <f t="shared" si="25"/>
        <v>5</v>
      </c>
    </row>
    <row r="137" spans="1:19" x14ac:dyDescent="0.2">
      <c r="A137">
        <v>136</v>
      </c>
      <c r="B137">
        <v>500</v>
      </c>
      <c r="C137">
        <v>10</v>
      </c>
      <c r="D137" s="3">
        <v>0.01</v>
      </c>
      <c r="E137" s="3">
        <v>0.2</v>
      </c>
      <c r="F137">
        <v>100</v>
      </c>
      <c r="G137" s="3">
        <v>0.1</v>
      </c>
      <c r="H137">
        <v>0.1</v>
      </c>
      <c r="I137" t="s">
        <v>164</v>
      </c>
      <c r="J137" t="s">
        <v>128</v>
      </c>
      <c r="K137">
        <f t="shared" si="18"/>
        <v>1</v>
      </c>
      <c r="L137">
        <f t="shared" si="19"/>
        <v>1</v>
      </c>
      <c r="M137">
        <f t="shared" si="20"/>
        <v>0</v>
      </c>
      <c r="N137">
        <f t="shared" si="21"/>
        <v>1</v>
      </c>
      <c r="O137">
        <f t="shared" si="22"/>
        <v>1</v>
      </c>
      <c r="P137">
        <f t="shared" si="23"/>
        <v>0</v>
      </c>
      <c r="Q137">
        <f t="shared" si="26"/>
        <v>0</v>
      </c>
      <c r="R137">
        <f t="shared" si="24"/>
        <v>0</v>
      </c>
      <c r="S137">
        <f t="shared" si="25"/>
        <v>4</v>
      </c>
    </row>
    <row r="138" spans="1:19" x14ac:dyDescent="0.2">
      <c r="A138">
        <v>137</v>
      </c>
      <c r="B138">
        <v>500</v>
      </c>
      <c r="C138">
        <v>10</v>
      </c>
      <c r="D138">
        <v>10</v>
      </c>
      <c r="E138">
        <v>20</v>
      </c>
      <c r="F138">
        <v>100</v>
      </c>
      <c r="G138">
        <v>90</v>
      </c>
      <c r="H138">
        <v>0.1</v>
      </c>
      <c r="I138">
        <v>5</v>
      </c>
      <c r="J138" t="s">
        <v>117</v>
      </c>
      <c r="K138">
        <f t="shared" si="18"/>
        <v>1</v>
      </c>
      <c r="L138">
        <f t="shared" si="19"/>
        <v>1</v>
      </c>
      <c r="M138">
        <f t="shared" si="20"/>
        <v>0</v>
      </c>
      <c r="N138">
        <f t="shared" si="21"/>
        <v>1</v>
      </c>
      <c r="O138">
        <f t="shared" si="22"/>
        <v>1</v>
      </c>
      <c r="P138">
        <f t="shared" si="23"/>
        <v>0</v>
      </c>
      <c r="Q138">
        <f t="shared" si="26"/>
        <v>0</v>
      </c>
      <c r="R138">
        <f t="shared" si="24"/>
        <v>1</v>
      </c>
      <c r="S138">
        <f t="shared" si="25"/>
        <v>5</v>
      </c>
    </row>
    <row r="139" spans="1:19" x14ac:dyDescent="0.2">
      <c r="A139">
        <v>138</v>
      </c>
      <c r="B139">
        <v>500</v>
      </c>
      <c r="C139">
        <v>10</v>
      </c>
      <c r="D139">
        <v>0.1</v>
      </c>
      <c r="E139">
        <v>20</v>
      </c>
      <c r="F139">
        <v>100</v>
      </c>
      <c r="G139" s="3">
        <v>0.09</v>
      </c>
      <c r="H139" s="5">
        <v>0.05</v>
      </c>
      <c r="I139" t="s">
        <v>164</v>
      </c>
      <c r="J139" t="s">
        <v>117</v>
      </c>
      <c r="K139">
        <f t="shared" si="18"/>
        <v>1</v>
      </c>
      <c r="L139">
        <f t="shared" si="19"/>
        <v>1</v>
      </c>
      <c r="M139">
        <f t="shared" si="20"/>
        <v>1</v>
      </c>
      <c r="N139">
        <f t="shared" si="21"/>
        <v>1</v>
      </c>
      <c r="O139">
        <f t="shared" si="22"/>
        <v>1</v>
      </c>
      <c r="P139">
        <f t="shared" si="23"/>
        <v>0</v>
      </c>
      <c r="Q139">
        <f t="shared" si="26"/>
        <v>1</v>
      </c>
      <c r="R139">
        <f t="shared" si="24"/>
        <v>0</v>
      </c>
      <c r="S139">
        <f t="shared" si="25"/>
        <v>6</v>
      </c>
    </row>
    <row r="140" spans="1:19" x14ac:dyDescent="0.2">
      <c r="A140">
        <v>139</v>
      </c>
      <c r="B140">
        <v>500</v>
      </c>
      <c r="C140">
        <v>10</v>
      </c>
      <c r="D140">
        <v>0.1</v>
      </c>
      <c r="E140">
        <v>20</v>
      </c>
      <c r="F140">
        <v>100</v>
      </c>
      <c r="G140">
        <v>90</v>
      </c>
      <c r="H140">
        <v>0.05</v>
      </c>
      <c r="I140">
        <v>5</v>
      </c>
      <c r="J140" t="s">
        <v>128</v>
      </c>
      <c r="K140">
        <f t="shared" si="18"/>
        <v>1</v>
      </c>
      <c r="L140">
        <f t="shared" si="19"/>
        <v>1</v>
      </c>
      <c r="M140">
        <f t="shared" si="20"/>
        <v>1</v>
      </c>
      <c r="N140">
        <f t="shared" si="21"/>
        <v>1</v>
      </c>
      <c r="O140">
        <f t="shared" si="22"/>
        <v>1</v>
      </c>
      <c r="P140">
        <f t="shared" si="23"/>
        <v>0</v>
      </c>
      <c r="Q140">
        <f t="shared" si="26"/>
        <v>1</v>
      </c>
      <c r="R140">
        <f t="shared" si="24"/>
        <v>1</v>
      </c>
      <c r="S140">
        <f t="shared" si="25"/>
        <v>7</v>
      </c>
    </row>
    <row r="141" spans="1:19" x14ac:dyDescent="0.2">
      <c r="A141">
        <v>140</v>
      </c>
      <c r="B141">
        <v>500</v>
      </c>
      <c r="C141">
        <v>10</v>
      </c>
      <c r="D141" s="4">
        <v>1E-3</v>
      </c>
      <c r="E141">
        <v>20</v>
      </c>
      <c r="F141">
        <v>100</v>
      </c>
      <c r="G141">
        <v>80</v>
      </c>
      <c r="H141">
        <v>0.05</v>
      </c>
      <c r="I141" t="s">
        <v>159</v>
      </c>
      <c r="J141" t="s">
        <v>135</v>
      </c>
      <c r="K141">
        <f t="shared" si="18"/>
        <v>1</v>
      </c>
      <c r="L141">
        <f t="shared" si="19"/>
        <v>1</v>
      </c>
      <c r="M141">
        <f t="shared" si="20"/>
        <v>1</v>
      </c>
      <c r="N141">
        <f t="shared" si="21"/>
        <v>1</v>
      </c>
      <c r="O141">
        <f t="shared" si="22"/>
        <v>1</v>
      </c>
      <c r="P141">
        <f t="shared" si="23"/>
        <v>0</v>
      </c>
      <c r="Q141">
        <f t="shared" si="26"/>
        <v>1</v>
      </c>
      <c r="R141">
        <f t="shared" si="24"/>
        <v>1</v>
      </c>
      <c r="S141">
        <f t="shared" si="25"/>
        <v>7</v>
      </c>
    </row>
    <row r="142" spans="1:19" x14ac:dyDescent="0.2">
      <c r="A142">
        <v>141</v>
      </c>
      <c r="B142">
        <v>500</v>
      </c>
      <c r="C142">
        <v>100</v>
      </c>
      <c r="D142" s="3">
        <v>0.1</v>
      </c>
      <c r="E142" s="3">
        <v>0.2</v>
      </c>
      <c r="F142">
        <v>100</v>
      </c>
      <c r="G142" t="s">
        <v>754</v>
      </c>
      <c r="H142" t="s">
        <v>241</v>
      </c>
      <c r="I142" t="s">
        <v>159</v>
      </c>
      <c r="J142" t="s">
        <v>123</v>
      </c>
      <c r="K142">
        <f t="shared" si="18"/>
        <v>1</v>
      </c>
      <c r="L142">
        <f t="shared" si="19"/>
        <v>0</v>
      </c>
      <c r="M142">
        <f t="shared" si="20"/>
        <v>1</v>
      </c>
      <c r="N142">
        <f t="shared" si="21"/>
        <v>1</v>
      </c>
      <c r="O142">
        <f t="shared" si="22"/>
        <v>1</v>
      </c>
      <c r="P142">
        <f t="shared" si="23"/>
        <v>0</v>
      </c>
      <c r="Q142">
        <f t="shared" si="26"/>
        <v>0</v>
      </c>
      <c r="R142">
        <f t="shared" si="24"/>
        <v>1</v>
      </c>
      <c r="S142">
        <f t="shared" si="25"/>
        <v>5</v>
      </c>
    </row>
    <row r="143" spans="1:19" x14ac:dyDescent="0.2">
      <c r="A143">
        <v>142</v>
      </c>
      <c r="B143">
        <v>500</v>
      </c>
      <c r="C143">
        <v>100</v>
      </c>
      <c r="D143" s="3">
        <v>0.1</v>
      </c>
      <c r="E143">
        <v>20</v>
      </c>
      <c r="F143">
        <v>100</v>
      </c>
      <c r="G143" t="s">
        <v>760</v>
      </c>
      <c r="H143">
        <v>0.1</v>
      </c>
      <c r="I143" t="s">
        <v>164</v>
      </c>
      <c r="J143" t="s">
        <v>128</v>
      </c>
      <c r="K143">
        <f t="shared" si="18"/>
        <v>1</v>
      </c>
      <c r="L143">
        <f t="shared" si="19"/>
        <v>0</v>
      </c>
      <c r="M143">
        <f t="shared" si="20"/>
        <v>1</v>
      </c>
      <c r="N143">
        <f t="shared" si="21"/>
        <v>1</v>
      </c>
      <c r="O143">
        <f t="shared" si="22"/>
        <v>1</v>
      </c>
      <c r="P143">
        <f t="shared" si="23"/>
        <v>0</v>
      </c>
      <c r="Q143">
        <f t="shared" si="26"/>
        <v>0</v>
      </c>
      <c r="R143">
        <f t="shared" si="24"/>
        <v>0</v>
      </c>
      <c r="S143">
        <f t="shared" si="25"/>
        <v>4</v>
      </c>
    </row>
    <row r="144" spans="1:19" x14ac:dyDescent="0.2">
      <c r="A144">
        <v>143</v>
      </c>
      <c r="B144">
        <v>500</v>
      </c>
      <c r="C144">
        <v>10</v>
      </c>
      <c r="D144" s="4">
        <v>1E-3</v>
      </c>
      <c r="E144">
        <v>20</v>
      </c>
      <c r="F144">
        <v>100</v>
      </c>
      <c r="G144" s="3">
        <v>0.18</v>
      </c>
      <c r="H144" s="5">
        <v>0.05</v>
      </c>
      <c r="I144" t="s">
        <v>159</v>
      </c>
      <c r="J144" t="s">
        <v>128</v>
      </c>
      <c r="K144">
        <f t="shared" si="18"/>
        <v>1</v>
      </c>
      <c r="L144">
        <f t="shared" si="19"/>
        <v>1</v>
      </c>
      <c r="M144">
        <f t="shared" si="20"/>
        <v>1</v>
      </c>
      <c r="N144">
        <f t="shared" si="21"/>
        <v>1</v>
      </c>
      <c r="O144">
        <f t="shared" si="22"/>
        <v>1</v>
      </c>
      <c r="P144">
        <f t="shared" si="23"/>
        <v>0</v>
      </c>
      <c r="Q144">
        <f t="shared" si="26"/>
        <v>1</v>
      </c>
      <c r="R144">
        <f t="shared" si="24"/>
        <v>1</v>
      </c>
      <c r="S144">
        <f t="shared" si="25"/>
        <v>7</v>
      </c>
    </row>
    <row r="145" spans="1:19" x14ac:dyDescent="0.2">
      <c r="A145">
        <v>144</v>
      </c>
      <c r="B145">
        <v>500</v>
      </c>
      <c r="C145">
        <v>10</v>
      </c>
      <c r="D145">
        <v>0.1</v>
      </c>
      <c r="E145">
        <v>20</v>
      </c>
      <c r="F145">
        <v>100</v>
      </c>
      <c r="G145" s="3">
        <v>0.18</v>
      </c>
      <c r="H145">
        <v>0.05</v>
      </c>
      <c r="I145">
        <v>100</v>
      </c>
      <c r="J145" t="s">
        <v>123</v>
      </c>
      <c r="K145">
        <f t="shared" si="18"/>
        <v>1</v>
      </c>
      <c r="L145">
        <f t="shared" si="19"/>
        <v>1</v>
      </c>
      <c r="M145">
        <f t="shared" si="20"/>
        <v>1</v>
      </c>
      <c r="N145">
        <f t="shared" si="21"/>
        <v>1</v>
      </c>
      <c r="O145">
        <f t="shared" si="22"/>
        <v>1</v>
      </c>
      <c r="P145">
        <f t="shared" si="23"/>
        <v>0</v>
      </c>
      <c r="Q145">
        <f t="shared" si="26"/>
        <v>1</v>
      </c>
      <c r="R145">
        <f t="shared" si="24"/>
        <v>0</v>
      </c>
      <c r="S145">
        <f t="shared" si="25"/>
        <v>6</v>
      </c>
    </row>
    <row r="146" spans="1:19" x14ac:dyDescent="0.2">
      <c r="A146">
        <v>145</v>
      </c>
      <c r="B146">
        <v>500</v>
      </c>
      <c r="C146">
        <v>10</v>
      </c>
      <c r="D146">
        <v>0.1</v>
      </c>
      <c r="E146">
        <v>20</v>
      </c>
      <c r="F146">
        <v>100</v>
      </c>
      <c r="G146">
        <v>90</v>
      </c>
      <c r="H146">
        <v>2.2000000000000002</v>
      </c>
      <c r="I146">
        <v>5</v>
      </c>
      <c r="J146" t="s">
        <v>128</v>
      </c>
      <c r="K146">
        <f t="shared" si="18"/>
        <v>1</v>
      </c>
      <c r="L146">
        <f t="shared" si="19"/>
        <v>1</v>
      </c>
      <c r="M146">
        <f t="shared" si="20"/>
        <v>1</v>
      </c>
      <c r="N146">
        <f t="shared" si="21"/>
        <v>1</v>
      </c>
      <c r="O146">
        <f t="shared" si="22"/>
        <v>1</v>
      </c>
      <c r="P146">
        <f t="shared" si="23"/>
        <v>0</v>
      </c>
      <c r="Q146">
        <f t="shared" si="26"/>
        <v>0</v>
      </c>
      <c r="R146">
        <f t="shared" si="24"/>
        <v>1</v>
      </c>
      <c r="S146">
        <f t="shared" si="25"/>
        <v>6</v>
      </c>
    </row>
    <row r="147" spans="1:19" x14ac:dyDescent="0.2">
      <c r="A147">
        <v>146</v>
      </c>
      <c r="B147">
        <v>500</v>
      </c>
      <c r="C147">
        <v>1</v>
      </c>
      <c r="D147" s="4">
        <v>1E-3</v>
      </c>
      <c r="E147" s="3">
        <v>0.2</v>
      </c>
      <c r="F147">
        <v>100</v>
      </c>
      <c r="G147" s="3">
        <v>0.5</v>
      </c>
      <c r="H147">
        <v>0.05</v>
      </c>
      <c r="I147" t="s">
        <v>159</v>
      </c>
      <c r="J147" t="s">
        <v>123</v>
      </c>
      <c r="K147">
        <f t="shared" si="18"/>
        <v>1</v>
      </c>
      <c r="L147">
        <f t="shared" si="19"/>
        <v>0</v>
      </c>
      <c r="M147">
        <f t="shared" si="20"/>
        <v>1</v>
      </c>
      <c r="N147">
        <f t="shared" si="21"/>
        <v>1</v>
      </c>
      <c r="O147">
        <f t="shared" si="22"/>
        <v>1</v>
      </c>
      <c r="P147">
        <f t="shared" si="23"/>
        <v>1</v>
      </c>
      <c r="Q147">
        <f t="shared" si="26"/>
        <v>1</v>
      </c>
      <c r="R147">
        <f t="shared" si="24"/>
        <v>1</v>
      </c>
      <c r="S147">
        <f t="shared" si="25"/>
        <v>7</v>
      </c>
    </row>
    <row r="148" spans="1:19" x14ac:dyDescent="0.2">
      <c r="A148">
        <v>147</v>
      </c>
      <c r="B148">
        <v>500</v>
      </c>
      <c r="C148">
        <v>10</v>
      </c>
      <c r="D148">
        <v>1E-3</v>
      </c>
      <c r="E148">
        <v>20</v>
      </c>
      <c r="F148">
        <v>100</v>
      </c>
      <c r="G148" s="3">
        <v>0.09</v>
      </c>
      <c r="H148" s="5">
        <v>0.05</v>
      </c>
      <c r="I148" t="s">
        <v>159</v>
      </c>
      <c r="J148" t="s">
        <v>135</v>
      </c>
      <c r="K148">
        <f t="shared" si="18"/>
        <v>1</v>
      </c>
      <c r="L148">
        <f t="shared" si="19"/>
        <v>1</v>
      </c>
      <c r="M148">
        <f t="shared" si="20"/>
        <v>1</v>
      </c>
      <c r="N148">
        <f t="shared" si="21"/>
        <v>1</v>
      </c>
      <c r="O148">
        <f t="shared" si="22"/>
        <v>1</v>
      </c>
      <c r="P148">
        <f t="shared" si="23"/>
        <v>0</v>
      </c>
      <c r="Q148">
        <f t="shared" si="26"/>
        <v>1</v>
      </c>
      <c r="R148">
        <f t="shared" si="24"/>
        <v>1</v>
      </c>
      <c r="S148">
        <f t="shared" si="25"/>
        <v>7</v>
      </c>
    </row>
    <row r="149" spans="1:19" x14ac:dyDescent="0.2">
      <c r="A149">
        <v>148</v>
      </c>
      <c r="B149">
        <v>200</v>
      </c>
      <c r="C149" s="3">
        <v>0.25</v>
      </c>
      <c r="D149" s="3">
        <v>0.02</v>
      </c>
      <c r="E149" s="3">
        <v>0.35</v>
      </c>
      <c r="F149" s="3">
        <v>0.02</v>
      </c>
      <c r="G149" s="3">
        <v>0.2</v>
      </c>
      <c r="H149" s="5">
        <v>2.1</v>
      </c>
      <c r="I149">
        <v>500</v>
      </c>
      <c r="J149" t="s">
        <v>123</v>
      </c>
      <c r="K149">
        <f t="shared" si="18"/>
        <v>0</v>
      </c>
      <c r="L149">
        <f t="shared" si="19"/>
        <v>0</v>
      </c>
      <c r="M149">
        <f t="shared" si="20"/>
        <v>0</v>
      </c>
      <c r="N149">
        <f t="shared" si="21"/>
        <v>0</v>
      </c>
      <c r="O149">
        <f t="shared" si="22"/>
        <v>0</v>
      </c>
      <c r="P149">
        <f t="shared" si="23"/>
        <v>0</v>
      </c>
      <c r="Q149">
        <f t="shared" si="26"/>
        <v>0</v>
      </c>
      <c r="R149">
        <f t="shared" si="24"/>
        <v>0</v>
      </c>
      <c r="S149">
        <f t="shared" si="25"/>
        <v>0</v>
      </c>
    </row>
    <row r="150" spans="1:19" x14ac:dyDescent="0.2">
      <c r="A150">
        <v>149</v>
      </c>
      <c r="B150">
        <v>500</v>
      </c>
      <c r="C150">
        <v>10</v>
      </c>
      <c r="D150">
        <v>10</v>
      </c>
      <c r="E150" s="3">
        <v>0.2</v>
      </c>
      <c r="F150">
        <v>100</v>
      </c>
      <c r="G150" t="s">
        <v>791</v>
      </c>
      <c r="H150">
        <v>0.1</v>
      </c>
      <c r="I150" t="s">
        <v>164</v>
      </c>
      <c r="J150" t="s">
        <v>123</v>
      </c>
      <c r="K150">
        <f t="shared" si="18"/>
        <v>1</v>
      </c>
      <c r="L150">
        <f t="shared" si="19"/>
        <v>1</v>
      </c>
      <c r="M150">
        <f t="shared" si="20"/>
        <v>0</v>
      </c>
      <c r="N150">
        <f t="shared" si="21"/>
        <v>1</v>
      </c>
      <c r="O150">
        <f t="shared" si="22"/>
        <v>1</v>
      </c>
      <c r="P150">
        <f t="shared" si="23"/>
        <v>0</v>
      </c>
      <c r="Q150">
        <f t="shared" si="26"/>
        <v>0</v>
      </c>
      <c r="R150">
        <f t="shared" si="24"/>
        <v>0</v>
      </c>
      <c r="S150">
        <f t="shared" si="25"/>
        <v>4</v>
      </c>
    </row>
    <row r="151" spans="1:19" x14ac:dyDescent="0.2">
      <c r="A151">
        <v>150</v>
      </c>
      <c r="B151" s="3">
        <v>0.5</v>
      </c>
      <c r="C151">
        <v>10</v>
      </c>
      <c r="D151">
        <v>1</v>
      </c>
      <c r="E151">
        <v>20</v>
      </c>
      <c r="F151">
        <v>100</v>
      </c>
      <c r="G151" t="s">
        <v>797</v>
      </c>
      <c r="H151">
        <v>0.1</v>
      </c>
      <c r="I151" t="s">
        <v>148</v>
      </c>
      <c r="J151" t="s">
        <v>135</v>
      </c>
      <c r="K151">
        <f t="shared" si="18"/>
        <v>1</v>
      </c>
      <c r="L151">
        <f t="shared" si="19"/>
        <v>1</v>
      </c>
      <c r="M151">
        <f t="shared" si="20"/>
        <v>0</v>
      </c>
      <c r="N151">
        <f t="shared" si="21"/>
        <v>1</v>
      </c>
      <c r="O151">
        <f t="shared" si="22"/>
        <v>1</v>
      </c>
      <c r="P151">
        <f t="shared" si="23"/>
        <v>0</v>
      </c>
      <c r="Q151">
        <f t="shared" si="26"/>
        <v>0</v>
      </c>
      <c r="R151">
        <f t="shared" si="24"/>
        <v>0</v>
      </c>
      <c r="S151">
        <f t="shared" si="25"/>
        <v>4</v>
      </c>
    </row>
    <row r="152" spans="1:19" x14ac:dyDescent="0.2">
      <c r="A152">
        <v>151</v>
      </c>
      <c r="B152">
        <v>500</v>
      </c>
      <c r="C152">
        <v>10</v>
      </c>
      <c r="D152" s="4">
        <v>1E-3</v>
      </c>
      <c r="E152">
        <v>20</v>
      </c>
      <c r="F152">
        <v>100</v>
      </c>
      <c r="G152" s="3">
        <v>0.09</v>
      </c>
      <c r="H152" s="5">
        <v>0.05</v>
      </c>
      <c r="I152" t="s">
        <v>159</v>
      </c>
      <c r="J152" t="s">
        <v>135</v>
      </c>
      <c r="K152">
        <f t="shared" si="18"/>
        <v>1</v>
      </c>
      <c r="L152">
        <f t="shared" si="19"/>
        <v>1</v>
      </c>
      <c r="M152">
        <f t="shared" si="20"/>
        <v>1</v>
      </c>
      <c r="N152">
        <f t="shared" si="21"/>
        <v>1</v>
      </c>
      <c r="O152">
        <f t="shared" si="22"/>
        <v>1</v>
      </c>
      <c r="P152">
        <f t="shared" si="23"/>
        <v>0</v>
      </c>
      <c r="Q152">
        <f t="shared" si="26"/>
        <v>1</v>
      </c>
      <c r="R152">
        <f t="shared" si="24"/>
        <v>1</v>
      </c>
      <c r="S152">
        <f t="shared" si="25"/>
        <v>7</v>
      </c>
    </row>
    <row r="153" spans="1:19" x14ac:dyDescent="0.2">
      <c r="A153">
        <v>152</v>
      </c>
      <c r="B153">
        <v>4</v>
      </c>
      <c r="C153" s="3">
        <v>0.3</v>
      </c>
      <c r="D153" s="3">
        <v>0.01</v>
      </c>
      <c r="E153" s="3">
        <v>0.2</v>
      </c>
      <c r="F153">
        <v>1000</v>
      </c>
      <c r="G153" s="3">
        <v>0.1</v>
      </c>
      <c r="H153">
        <v>0.1</v>
      </c>
      <c r="I153">
        <v>100</v>
      </c>
      <c r="J153" t="s">
        <v>135</v>
      </c>
      <c r="K153">
        <f t="shared" si="18"/>
        <v>0</v>
      </c>
      <c r="L153">
        <f t="shared" si="19"/>
        <v>0</v>
      </c>
      <c r="M153">
        <f t="shared" si="20"/>
        <v>0</v>
      </c>
      <c r="N153">
        <f t="shared" si="21"/>
        <v>1</v>
      </c>
      <c r="O153">
        <f t="shared" si="22"/>
        <v>0</v>
      </c>
      <c r="P153">
        <f t="shared" si="23"/>
        <v>0</v>
      </c>
      <c r="Q153">
        <f t="shared" si="26"/>
        <v>0</v>
      </c>
      <c r="R153">
        <f t="shared" si="24"/>
        <v>0</v>
      </c>
      <c r="S153">
        <f t="shared" si="25"/>
        <v>1</v>
      </c>
    </row>
    <row r="154" spans="1:19" x14ac:dyDescent="0.2">
      <c r="A154">
        <v>153</v>
      </c>
      <c r="B154">
        <v>500</v>
      </c>
      <c r="C154">
        <v>10</v>
      </c>
      <c r="D154" s="4">
        <v>1E-3</v>
      </c>
      <c r="E154">
        <v>20</v>
      </c>
      <c r="F154">
        <v>100</v>
      </c>
      <c r="G154" s="3">
        <v>0.9</v>
      </c>
      <c r="H154">
        <v>0.1</v>
      </c>
      <c r="I154" t="s">
        <v>164</v>
      </c>
      <c r="J154" t="s">
        <v>135</v>
      </c>
      <c r="K154">
        <f t="shared" si="18"/>
        <v>1</v>
      </c>
      <c r="L154">
        <f t="shared" si="19"/>
        <v>1</v>
      </c>
      <c r="M154">
        <f t="shared" si="20"/>
        <v>1</v>
      </c>
      <c r="N154">
        <f t="shared" si="21"/>
        <v>1</v>
      </c>
      <c r="O154">
        <f t="shared" si="22"/>
        <v>1</v>
      </c>
      <c r="P154">
        <f t="shared" si="23"/>
        <v>0</v>
      </c>
      <c r="Q154">
        <f t="shared" si="26"/>
        <v>0</v>
      </c>
      <c r="R154">
        <f t="shared" si="24"/>
        <v>0</v>
      </c>
      <c r="S154">
        <f t="shared" si="25"/>
        <v>5</v>
      </c>
    </row>
    <row r="155" spans="1:19" x14ac:dyDescent="0.2">
      <c r="A155">
        <v>154</v>
      </c>
      <c r="B155">
        <v>500</v>
      </c>
      <c r="C155">
        <v>10</v>
      </c>
      <c r="D155">
        <v>0.1</v>
      </c>
      <c r="E155">
        <v>20</v>
      </c>
      <c r="F155">
        <v>100</v>
      </c>
      <c r="G155" s="3">
        <v>0.9</v>
      </c>
      <c r="H155">
        <v>0.05</v>
      </c>
      <c r="I155" t="s">
        <v>159</v>
      </c>
      <c r="J155" t="s">
        <v>117</v>
      </c>
      <c r="K155">
        <f t="shared" si="18"/>
        <v>1</v>
      </c>
      <c r="L155">
        <f t="shared" si="19"/>
        <v>1</v>
      </c>
      <c r="M155">
        <f t="shared" si="20"/>
        <v>1</v>
      </c>
      <c r="N155">
        <f t="shared" si="21"/>
        <v>1</v>
      </c>
      <c r="O155">
        <f t="shared" si="22"/>
        <v>1</v>
      </c>
      <c r="P155">
        <f t="shared" si="23"/>
        <v>0</v>
      </c>
      <c r="Q155">
        <f t="shared" si="26"/>
        <v>1</v>
      </c>
      <c r="R155">
        <f t="shared" si="24"/>
        <v>1</v>
      </c>
      <c r="S155">
        <f t="shared" si="25"/>
        <v>7</v>
      </c>
    </row>
    <row r="156" spans="1:19" x14ac:dyDescent="0.2">
      <c r="A156">
        <v>155</v>
      </c>
      <c r="B156">
        <v>250</v>
      </c>
      <c r="C156">
        <v>1</v>
      </c>
      <c r="D156">
        <v>1</v>
      </c>
      <c r="E156">
        <v>20</v>
      </c>
      <c r="F156">
        <v>100</v>
      </c>
      <c r="G156">
        <v>185</v>
      </c>
      <c r="H156" t="s">
        <v>134</v>
      </c>
      <c r="I156" t="s">
        <v>818</v>
      </c>
      <c r="J156" t="s">
        <v>117</v>
      </c>
      <c r="K156">
        <f t="shared" si="18"/>
        <v>0</v>
      </c>
      <c r="L156">
        <f t="shared" si="19"/>
        <v>0</v>
      </c>
      <c r="M156">
        <f t="shared" si="20"/>
        <v>0</v>
      </c>
      <c r="N156">
        <f t="shared" si="21"/>
        <v>1</v>
      </c>
      <c r="O156">
        <f t="shared" si="22"/>
        <v>1</v>
      </c>
      <c r="P156">
        <f t="shared" si="23"/>
        <v>0</v>
      </c>
      <c r="Q156">
        <f t="shared" si="26"/>
        <v>1</v>
      </c>
      <c r="R156">
        <f t="shared" si="24"/>
        <v>0</v>
      </c>
      <c r="S156">
        <f t="shared" si="25"/>
        <v>3</v>
      </c>
    </row>
    <row r="157" spans="1:19" x14ac:dyDescent="0.2">
      <c r="A157">
        <v>156</v>
      </c>
      <c r="B157">
        <v>500</v>
      </c>
      <c r="C157">
        <v>100</v>
      </c>
      <c r="D157" s="3">
        <v>0.01</v>
      </c>
      <c r="E157" s="3">
        <v>0.2</v>
      </c>
      <c r="F157">
        <v>1</v>
      </c>
      <c r="G157" t="s">
        <v>823</v>
      </c>
      <c r="H157" s="5">
        <v>0.1</v>
      </c>
      <c r="I157">
        <v>50</v>
      </c>
      <c r="J157" t="s">
        <v>128</v>
      </c>
      <c r="K157">
        <f t="shared" si="18"/>
        <v>1</v>
      </c>
      <c r="L157">
        <f t="shared" si="19"/>
        <v>0</v>
      </c>
      <c r="M157">
        <f t="shared" si="20"/>
        <v>0</v>
      </c>
      <c r="N157">
        <f t="shared" si="21"/>
        <v>1</v>
      </c>
      <c r="O157">
        <f t="shared" si="22"/>
        <v>0</v>
      </c>
      <c r="P157">
        <f t="shared" si="23"/>
        <v>0</v>
      </c>
      <c r="Q157">
        <f t="shared" si="26"/>
        <v>0</v>
      </c>
      <c r="R157">
        <f t="shared" si="24"/>
        <v>0</v>
      </c>
      <c r="S157">
        <f t="shared" si="25"/>
        <v>2</v>
      </c>
    </row>
    <row r="158" spans="1:19" x14ac:dyDescent="0.2">
      <c r="A158">
        <v>157</v>
      </c>
      <c r="B158" s="1">
        <v>500</v>
      </c>
      <c r="C158">
        <v>10</v>
      </c>
      <c r="D158">
        <v>0.1</v>
      </c>
      <c r="E158">
        <v>20</v>
      </c>
      <c r="F158">
        <v>100</v>
      </c>
      <c r="G158" s="3">
        <v>0.5</v>
      </c>
      <c r="H158" s="5">
        <v>0.05</v>
      </c>
      <c r="I158">
        <v>5</v>
      </c>
      <c r="J158" t="s">
        <v>117</v>
      </c>
      <c r="K158">
        <f t="shared" si="18"/>
        <v>1</v>
      </c>
      <c r="L158">
        <f t="shared" si="19"/>
        <v>1</v>
      </c>
      <c r="M158">
        <f t="shared" si="20"/>
        <v>1</v>
      </c>
      <c r="N158">
        <f t="shared" si="21"/>
        <v>1</v>
      </c>
      <c r="O158">
        <f t="shared" si="22"/>
        <v>1</v>
      </c>
      <c r="P158">
        <f t="shared" si="23"/>
        <v>1</v>
      </c>
      <c r="Q158">
        <f t="shared" si="26"/>
        <v>1</v>
      </c>
      <c r="R158">
        <f t="shared" si="24"/>
        <v>1</v>
      </c>
      <c r="S158">
        <f t="shared" si="25"/>
        <v>8</v>
      </c>
    </row>
    <row r="159" spans="1:19" x14ac:dyDescent="0.2">
      <c r="A159">
        <v>158</v>
      </c>
      <c r="B159">
        <v>500</v>
      </c>
      <c r="C159">
        <v>10</v>
      </c>
      <c r="D159">
        <v>1</v>
      </c>
      <c r="E159">
        <v>20</v>
      </c>
      <c r="F159">
        <v>100</v>
      </c>
      <c r="G159" s="3">
        <v>0.9</v>
      </c>
      <c r="H159">
        <v>0.05</v>
      </c>
      <c r="I159">
        <v>100</v>
      </c>
      <c r="J159" t="s">
        <v>117</v>
      </c>
      <c r="K159">
        <f t="shared" si="18"/>
        <v>1</v>
      </c>
      <c r="L159">
        <f t="shared" si="19"/>
        <v>1</v>
      </c>
      <c r="M159">
        <f t="shared" si="20"/>
        <v>0</v>
      </c>
      <c r="N159">
        <f t="shared" si="21"/>
        <v>1</v>
      </c>
      <c r="O159">
        <f t="shared" si="22"/>
        <v>1</v>
      </c>
      <c r="P159">
        <f t="shared" si="23"/>
        <v>0</v>
      </c>
      <c r="Q159">
        <f t="shared" si="26"/>
        <v>1</v>
      </c>
      <c r="R159">
        <f t="shared" si="24"/>
        <v>0</v>
      </c>
      <c r="S159">
        <f t="shared" si="25"/>
        <v>5</v>
      </c>
    </row>
    <row r="160" spans="1:19" x14ac:dyDescent="0.2">
      <c r="A160">
        <v>159</v>
      </c>
      <c r="B160">
        <v>500</v>
      </c>
      <c r="C160">
        <v>10</v>
      </c>
      <c r="D160">
        <v>0.1</v>
      </c>
      <c r="E160">
        <v>5</v>
      </c>
      <c r="F160">
        <v>100</v>
      </c>
      <c r="G160" s="3">
        <v>0.09</v>
      </c>
      <c r="H160">
        <v>0.05</v>
      </c>
      <c r="I160">
        <v>5</v>
      </c>
      <c r="J160" t="s">
        <v>135</v>
      </c>
      <c r="K160">
        <f t="shared" si="18"/>
        <v>1</v>
      </c>
      <c r="L160">
        <f t="shared" si="19"/>
        <v>1</v>
      </c>
      <c r="M160">
        <f t="shared" si="20"/>
        <v>1</v>
      </c>
      <c r="N160">
        <f t="shared" si="21"/>
        <v>0</v>
      </c>
      <c r="O160">
        <f t="shared" si="22"/>
        <v>1</v>
      </c>
      <c r="P160">
        <f t="shared" si="23"/>
        <v>0</v>
      </c>
      <c r="Q160">
        <f t="shared" si="26"/>
        <v>1</v>
      </c>
      <c r="R160">
        <f t="shared" si="24"/>
        <v>1</v>
      </c>
      <c r="S160">
        <f t="shared" si="25"/>
        <v>6</v>
      </c>
    </row>
    <row r="161" spans="1:19" x14ac:dyDescent="0.2">
      <c r="A161">
        <v>160</v>
      </c>
      <c r="B161">
        <v>400</v>
      </c>
      <c r="C161">
        <v>100</v>
      </c>
      <c r="D161" s="3">
        <v>0.01</v>
      </c>
      <c r="E161" s="3">
        <v>0.28999999999999998</v>
      </c>
      <c r="F161">
        <v>100</v>
      </c>
      <c r="G161" s="3">
        <v>0.1</v>
      </c>
      <c r="H161">
        <v>0.1</v>
      </c>
      <c r="I161" t="s">
        <v>164</v>
      </c>
      <c r="J161" t="s">
        <v>128</v>
      </c>
      <c r="K161">
        <f t="shared" si="18"/>
        <v>0</v>
      </c>
      <c r="L161">
        <f t="shared" si="19"/>
        <v>0</v>
      </c>
      <c r="M161">
        <f t="shared" si="20"/>
        <v>0</v>
      </c>
      <c r="N161">
        <f t="shared" si="21"/>
        <v>0</v>
      </c>
      <c r="O161">
        <f t="shared" si="22"/>
        <v>1</v>
      </c>
      <c r="P161">
        <f t="shared" si="23"/>
        <v>0</v>
      </c>
      <c r="Q161">
        <f t="shared" si="26"/>
        <v>0</v>
      </c>
      <c r="R161">
        <f t="shared" si="24"/>
        <v>0</v>
      </c>
      <c r="S161">
        <f t="shared" si="25"/>
        <v>1</v>
      </c>
    </row>
    <row r="162" spans="1:19" x14ac:dyDescent="0.2">
      <c r="A162">
        <v>161</v>
      </c>
      <c r="B162">
        <v>500</v>
      </c>
      <c r="C162">
        <v>10</v>
      </c>
      <c r="D162">
        <v>0.1</v>
      </c>
      <c r="E162">
        <v>20</v>
      </c>
      <c r="F162">
        <v>100</v>
      </c>
      <c r="G162" s="3">
        <v>0.5</v>
      </c>
      <c r="H162">
        <v>0.1</v>
      </c>
      <c r="I162">
        <v>100</v>
      </c>
      <c r="J162" t="s">
        <v>123</v>
      </c>
      <c r="K162">
        <f t="shared" si="18"/>
        <v>1</v>
      </c>
      <c r="L162">
        <f t="shared" si="19"/>
        <v>1</v>
      </c>
      <c r="M162">
        <f t="shared" si="20"/>
        <v>1</v>
      </c>
      <c r="N162">
        <f t="shared" si="21"/>
        <v>1</v>
      </c>
      <c r="O162">
        <f t="shared" si="22"/>
        <v>1</v>
      </c>
      <c r="P162">
        <f t="shared" si="23"/>
        <v>1</v>
      </c>
      <c r="Q162">
        <f t="shared" si="26"/>
        <v>0</v>
      </c>
      <c r="R162">
        <f t="shared" si="24"/>
        <v>0</v>
      </c>
      <c r="S162">
        <f t="shared" si="25"/>
        <v>6</v>
      </c>
    </row>
    <row r="163" spans="1:19" x14ac:dyDescent="0.2">
      <c r="A163">
        <v>162</v>
      </c>
      <c r="B163">
        <v>500</v>
      </c>
      <c r="C163">
        <v>10</v>
      </c>
      <c r="D163" t="s">
        <v>854</v>
      </c>
      <c r="E163" s="3">
        <v>0.2</v>
      </c>
      <c r="F163">
        <v>100</v>
      </c>
      <c r="G163" s="3">
        <v>0.09</v>
      </c>
      <c r="H163">
        <v>0.1</v>
      </c>
      <c r="I163">
        <v>2.5</v>
      </c>
      <c r="J163" t="s">
        <v>123</v>
      </c>
      <c r="K163">
        <f t="shared" si="18"/>
        <v>1</v>
      </c>
      <c r="L163">
        <f t="shared" si="19"/>
        <v>1</v>
      </c>
      <c r="M163">
        <f t="shared" si="20"/>
        <v>0</v>
      </c>
      <c r="N163">
        <f t="shared" si="21"/>
        <v>1</v>
      </c>
      <c r="O163">
        <f t="shared" si="22"/>
        <v>1</v>
      </c>
      <c r="P163">
        <f t="shared" si="23"/>
        <v>0</v>
      </c>
      <c r="Q163">
        <f t="shared" si="26"/>
        <v>0</v>
      </c>
      <c r="R163">
        <f t="shared" si="24"/>
        <v>0</v>
      </c>
      <c r="S163">
        <f t="shared" si="25"/>
        <v>4</v>
      </c>
    </row>
    <row r="164" spans="1:19" x14ac:dyDescent="0.2">
      <c r="A164">
        <v>163</v>
      </c>
      <c r="B164">
        <v>500</v>
      </c>
      <c r="C164">
        <v>10</v>
      </c>
      <c r="D164">
        <v>0.01</v>
      </c>
      <c r="E164">
        <v>20</v>
      </c>
      <c r="F164">
        <v>100</v>
      </c>
      <c r="G164" s="3">
        <v>0.9</v>
      </c>
      <c r="H164" s="5">
        <v>0.05</v>
      </c>
      <c r="I164" t="s">
        <v>159</v>
      </c>
      <c r="J164" t="s">
        <v>123</v>
      </c>
      <c r="K164">
        <f t="shared" si="18"/>
        <v>1</v>
      </c>
      <c r="L164">
        <f t="shared" si="19"/>
        <v>1</v>
      </c>
      <c r="M164">
        <f t="shared" si="20"/>
        <v>0</v>
      </c>
      <c r="N164">
        <f t="shared" si="21"/>
        <v>1</v>
      </c>
      <c r="O164">
        <f t="shared" si="22"/>
        <v>1</v>
      </c>
      <c r="P164">
        <f t="shared" si="23"/>
        <v>0</v>
      </c>
      <c r="Q164">
        <f t="shared" si="26"/>
        <v>1</v>
      </c>
      <c r="R164">
        <f t="shared" si="24"/>
        <v>1</v>
      </c>
      <c r="S164">
        <f t="shared" si="25"/>
        <v>6</v>
      </c>
    </row>
    <row r="165" spans="1:19" x14ac:dyDescent="0.2">
      <c r="A165">
        <v>164</v>
      </c>
      <c r="B165">
        <v>500</v>
      </c>
      <c r="C165">
        <v>10</v>
      </c>
      <c r="D165" s="4">
        <v>1E-3</v>
      </c>
      <c r="E165">
        <v>20</v>
      </c>
      <c r="F165">
        <v>100</v>
      </c>
      <c r="G165" s="3">
        <v>0.5</v>
      </c>
      <c r="H165">
        <v>0.05</v>
      </c>
      <c r="I165" t="s">
        <v>159</v>
      </c>
      <c r="J165" t="s">
        <v>135</v>
      </c>
      <c r="K165">
        <f t="shared" si="18"/>
        <v>1</v>
      </c>
      <c r="L165">
        <f t="shared" si="19"/>
        <v>1</v>
      </c>
      <c r="M165">
        <f t="shared" si="20"/>
        <v>1</v>
      </c>
      <c r="N165">
        <f t="shared" si="21"/>
        <v>1</v>
      </c>
      <c r="O165">
        <f t="shared" si="22"/>
        <v>1</v>
      </c>
      <c r="P165">
        <f t="shared" si="23"/>
        <v>1</v>
      </c>
      <c r="Q165">
        <f t="shared" si="26"/>
        <v>1</v>
      </c>
      <c r="R165">
        <f t="shared" si="24"/>
        <v>1</v>
      </c>
      <c r="S165">
        <f t="shared" si="25"/>
        <v>8</v>
      </c>
    </row>
    <row r="166" spans="1:19" x14ac:dyDescent="0.2">
      <c r="A166">
        <v>165</v>
      </c>
      <c r="B166">
        <v>333</v>
      </c>
      <c r="C166">
        <v>10</v>
      </c>
      <c r="D166">
        <v>1</v>
      </c>
      <c r="E166">
        <v>20</v>
      </c>
      <c r="F166">
        <v>100</v>
      </c>
      <c r="G166">
        <v>1</v>
      </c>
      <c r="H166">
        <v>10</v>
      </c>
      <c r="I166">
        <v>1</v>
      </c>
      <c r="J166" t="s">
        <v>117</v>
      </c>
      <c r="K166">
        <f t="shared" si="18"/>
        <v>0</v>
      </c>
      <c r="L166">
        <f t="shared" si="19"/>
        <v>1</v>
      </c>
      <c r="M166">
        <f t="shared" si="20"/>
        <v>0</v>
      </c>
      <c r="N166">
        <f t="shared" si="21"/>
        <v>1</v>
      </c>
      <c r="O166">
        <f t="shared" si="22"/>
        <v>1</v>
      </c>
      <c r="P166">
        <f t="shared" si="23"/>
        <v>0</v>
      </c>
      <c r="Q166">
        <f t="shared" si="26"/>
        <v>0</v>
      </c>
      <c r="R166">
        <f t="shared" si="24"/>
        <v>0</v>
      </c>
      <c r="S166">
        <f t="shared" si="25"/>
        <v>3</v>
      </c>
    </row>
    <row r="167" spans="1:19" x14ac:dyDescent="0.2">
      <c r="A167">
        <v>166</v>
      </c>
      <c r="B167">
        <v>500</v>
      </c>
      <c r="C167">
        <v>10</v>
      </c>
      <c r="D167" s="4">
        <v>1E-3</v>
      </c>
      <c r="E167" s="3">
        <v>0.2</v>
      </c>
      <c r="F167">
        <v>100</v>
      </c>
      <c r="G167" s="3">
        <v>0.5</v>
      </c>
      <c r="H167">
        <v>0.05</v>
      </c>
      <c r="I167" t="s">
        <v>159</v>
      </c>
      <c r="J167" t="s">
        <v>128</v>
      </c>
      <c r="K167">
        <f t="shared" si="18"/>
        <v>1</v>
      </c>
      <c r="L167">
        <f t="shared" si="19"/>
        <v>1</v>
      </c>
      <c r="M167">
        <f t="shared" si="20"/>
        <v>1</v>
      </c>
      <c r="N167">
        <f t="shared" si="21"/>
        <v>1</v>
      </c>
      <c r="O167">
        <f t="shared" si="22"/>
        <v>1</v>
      </c>
      <c r="P167">
        <f t="shared" si="23"/>
        <v>1</v>
      </c>
      <c r="Q167">
        <f t="shared" si="26"/>
        <v>1</v>
      </c>
      <c r="R167">
        <f t="shared" si="24"/>
        <v>1</v>
      </c>
      <c r="S167">
        <f t="shared" si="25"/>
        <v>8</v>
      </c>
    </row>
    <row r="168" spans="1:19" x14ac:dyDescent="0.2">
      <c r="A168">
        <v>167</v>
      </c>
      <c r="B168">
        <v>500</v>
      </c>
      <c r="C168">
        <v>10</v>
      </c>
      <c r="D168">
        <v>1E-3</v>
      </c>
      <c r="E168">
        <v>20</v>
      </c>
      <c r="F168">
        <v>100</v>
      </c>
      <c r="G168" s="3">
        <v>0.1</v>
      </c>
      <c r="H168">
        <v>0.1</v>
      </c>
      <c r="I168" t="s">
        <v>164</v>
      </c>
      <c r="J168" t="s">
        <v>128</v>
      </c>
      <c r="K168">
        <f t="shared" si="18"/>
        <v>1</v>
      </c>
      <c r="L168">
        <f t="shared" si="19"/>
        <v>1</v>
      </c>
      <c r="M168">
        <f t="shared" si="20"/>
        <v>1</v>
      </c>
      <c r="N168">
        <f t="shared" si="21"/>
        <v>1</v>
      </c>
      <c r="O168">
        <f t="shared" si="22"/>
        <v>1</v>
      </c>
      <c r="P168">
        <f t="shared" si="23"/>
        <v>0</v>
      </c>
      <c r="Q168">
        <f t="shared" si="26"/>
        <v>0</v>
      </c>
      <c r="R168">
        <f t="shared" si="24"/>
        <v>0</v>
      </c>
      <c r="S168">
        <f t="shared" si="25"/>
        <v>5</v>
      </c>
    </row>
    <row r="169" spans="1:19" x14ac:dyDescent="0.2">
      <c r="A169">
        <v>168</v>
      </c>
      <c r="B169">
        <v>500</v>
      </c>
      <c r="C169">
        <v>10</v>
      </c>
      <c r="D169">
        <v>10</v>
      </c>
      <c r="E169">
        <v>20</v>
      </c>
      <c r="F169">
        <v>10</v>
      </c>
      <c r="G169" s="3">
        <v>0.9</v>
      </c>
      <c r="H169">
        <v>0.1</v>
      </c>
      <c r="I169" t="s">
        <v>159</v>
      </c>
      <c r="J169" t="s">
        <v>123</v>
      </c>
      <c r="K169">
        <f t="shared" si="18"/>
        <v>1</v>
      </c>
      <c r="L169">
        <f t="shared" si="19"/>
        <v>1</v>
      </c>
      <c r="M169">
        <f t="shared" si="20"/>
        <v>0</v>
      </c>
      <c r="N169">
        <f t="shared" si="21"/>
        <v>1</v>
      </c>
      <c r="O169">
        <f t="shared" si="22"/>
        <v>0</v>
      </c>
      <c r="P169">
        <f t="shared" si="23"/>
        <v>0</v>
      </c>
      <c r="Q169">
        <f t="shared" si="26"/>
        <v>0</v>
      </c>
      <c r="R169">
        <f t="shared" si="24"/>
        <v>1</v>
      </c>
      <c r="S169">
        <f t="shared" si="25"/>
        <v>4</v>
      </c>
    </row>
    <row r="170" spans="1:19" x14ac:dyDescent="0.2">
      <c r="A170">
        <v>169</v>
      </c>
      <c r="B170">
        <v>100</v>
      </c>
      <c r="C170">
        <v>10</v>
      </c>
      <c r="D170" s="3">
        <v>0.01</v>
      </c>
      <c r="E170">
        <v>2</v>
      </c>
      <c r="F170">
        <v>100</v>
      </c>
      <c r="G170" s="3">
        <v>0.01</v>
      </c>
      <c r="H170" t="s">
        <v>241</v>
      </c>
      <c r="I170">
        <v>100</v>
      </c>
      <c r="J170" t="s">
        <v>135</v>
      </c>
      <c r="K170">
        <f t="shared" si="18"/>
        <v>0</v>
      </c>
      <c r="L170">
        <f t="shared" si="19"/>
        <v>1</v>
      </c>
      <c r="M170">
        <f t="shared" si="20"/>
        <v>0</v>
      </c>
      <c r="N170">
        <f t="shared" si="21"/>
        <v>0</v>
      </c>
      <c r="O170">
        <f t="shared" si="22"/>
        <v>1</v>
      </c>
      <c r="P170">
        <f t="shared" si="23"/>
        <v>0</v>
      </c>
      <c r="Q170">
        <f t="shared" si="26"/>
        <v>0</v>
      </c>
      <c r="R170">
        <f t="shared" si="24"/>
        <v>0</v>
      </c>
      <c r="S170">
        <f t="shared" si="25"/>
        <v>2</v>
      </c>
    </row>
    <row r="171" spans="1:19" x14ac:dyDescent="0.2">
      <c r="A171">
        <v>170</v>
      </c>
      <c r="B171">
        <v>500</v>
      </c>
      <c r="C171">
        <v>50</v>
      </c>
      <c r="D171" s="3">
        <v>0.1</v>
      </c>
      <c r="E171">
        <v>20</v>
      </c>
      <c r="F171">
        <v>100</v>
      </c>
      <c r="G171">
        <v>10</v>
      </c>
      <c r="H171">
        <v>5</v>
      </c>
      <c r="I171">
        <v>5</v>
      </c>
      <c r="J171" t="s">
        <v>117</v>
      </c>
      <c r="K171">
        <f t="shared" si="18"/>
        <v>1</v>
      </c>
      <c r="L171">
        <f t="shared" si="19"/>
        <v>0</v>
      </c>
      <c r="M171">
        <f t="shared" si="20"/>
        <v>1</v>
      </c>
      <c r="N171">
        <f t="shared" si="21"/>
        <v>1</v>
      </c>
      <c r="O171">
        <f t="shared" si="22"/>
        <v>1</v>
      </c>
      <c r="P171">
        <f t="shared" si="23"/>
        <v>0</v>
      </c>
      <c r="Q171">
        <f t="shared" si="26"/>
        <v>0</v>
      </c>
      <c r="R171">
        <f t="shared" si="24"/>
        <v>1</v>
      </c>
      <c r="S171">
        <f t="shared" si="25"/>
        <v>5</v>
      </c>
    </row>
    <row r="172" spans="1:19" x14ac:dyDescent="0.2">
      <c r="A172">
        <v>171</v>
      </c>
      <c r="B172">
        <v>500</v>
      </c>
      <c r="C172">
        <v>10</v>
      </c>
      <c r="D172" s="4">
        <v>1E-3</v>
      </c>
      <c r="E172">
        <v>20</v>
      </c>
      <c r="F172">
        <v>100</v>
      </c>
      <c r="G172" t="s">
        <v>301</v>
      </c>
      <c r="H172" t="s">
        <v>219</v>
      </c>
      <c r="I172" t="s">
        <v>208</v>
      </c>
      <c r="J172" t="s">
        <v>123</v>
      </c>
      <c r="K172">
        <f t="shared" si="18"/>
        <v>1</v>
      </c>
      <c r="L172">
        <f t="shared" si="19"/>
        <v>1</v>
      </c>
      <c r="M172">
        <f t="shared" si="20"/>
        <v>1</v>
      </c>
      <c r="N172">
        <f t="shared" si="21"/>
        <v>1</v>
      </c>
      <c r="O172">
        <f t="shared" si="22"/>
        <v>1</v>
      </c>
      <c r="P172">
        <f t="shared" si="23"/>
        <v>0</v>
      </c>
      <c r="Q172">
        <f t="shared" si="26"/>
        <v>0</v>
      </c>
      <c r="R172">
        <f t="shared" si="24"/>
        <v>0</v>
      </c>
      <c r="S172">
        <f t="shared" si="25"/>
        <v>5</v>
      </c>
    </row>
    <row r="173" spans="1:19" x14ac:dyDescent="0.2">
      <c r="A173">
        <v>172</v>
      </c>
      <c r="B173">
        <v>500</v>
      </c>
      <c r="C173">
        <v>10</v>
      </c>
      <c r="D173">
        <v>0.1</v>
      </c>
      <c r="E173">
        <v>20</v>
      </c>
      <c r="F173">
        <v>100</v>
      </c>
      <c r="G173" s="3">
        <v>0.5</v>
      </c>
      <c r="H173">
        <v>0.05</v>
      </c>
      <c r="I173">
        <v>5</v>
      </c>
      <c r="J173" t="s">
        <v>135</v>
      </c>
      <c r="K173">
        <f t="shared" si="18"/>
        <v>1</v>
      </c>
      <c r="L173">
        <f t="shared" si="19"/>
        <v>1</v>
      </c>
      <c r="M173">
        <f t="shared" si="20"/>
        <v>1</v>
      </c>
      <c r="N173">
        <f t="shared" si="21"/>
        <v>1</v>
      </c>
      <c r="O173">
        <f t="shared" si="22"/>
        <v>1</v>
      </c>
      <c r="P173">
        <f t="shared" si="23"/>
        <v>1</v>
      </c>
      <c r="Q173">
        <f t="shared" si="26"/>
        <v>1</v>
      </c>
      <c r="R173">
        <f t="shared" si="24"/>
        <v>1</v>
      </c>
      <c r="S173">
        <f t="shared" si="25"/>
        <v>8</v>
      </c>
    </row>
    <row r="174" spans="1:19" x14ac:dyDescent="0.2">
      <c r="A174">
        <v>173</v>
      </c>
      <c r="B174">
        <v>500</v>
      </c>
      <c r="C174">
        <v>100</v>
      </c>
      <c r="D174" s="4">
        <v>1.0000000000000001E-5</v>
      </c>
      <c r="E174">
        <v>20</v>
      </c>
      <c r="F174">
        <v>100</v>
      </c>
      <c r="G174" t="s">
        <v>900</v>
      </c>
      <c r="H174">
        <v>0.1</v>
      </c>
      <c r="I174">
        <v>5</v>
      </c>
      <c r="J174" t="s">
        <v>117</v>
      </c>
      <c r="K174">
        <f t="shared" si="18"/>
        <v>1</v>
      </c>
      <c r="L174">
        <f t="shared" si="19"/>
        <v>0</v>
      </c>
      <c r="M174">
        <f t="shared" si="20"/>
        <v>0</v>
      </c>
      <c r="N174">
        <f t="shared" si="21"/>
        <v>1</v>
      </c>
      <c r="O174">
        <f t="shared" si="22"/>
        <v>1</v>
      </c>
      <c r="P174">
        <f t="shared" si="23"/>
        <v>0</v>
      </c>
      <c r="Q174">
        <f t="shared" si="26"/>
        <v>0</v>
      </c>
      <c r="R174">
        <f t="shared" si="24"/>
        <v>1</v>
      </c>
      <c r="S174">
        <f t="shared" si="25"/>
        <v>4</v>
      </c>
    </row>
    <row r="175" spans="1:19" x14ac:dyDescent="0.2">
      <c r="A175">
        <v>174</v>
      </c>
      <c r="B175">
        <v>500</v>
      </c>
      <c r="C175">
        <v>10</v>
      </c>
      <c r="D175" s="4">
        <v>1E-3</v>
      </c>
      <c r="E175" s="3">
        <v>0.2</v>
      </c>
      <c r="F175">
        <v>100</v>
      </c>
      <c r="G175" s="3">
        <v>0.5</v>
      </c>
      <c r="H175">
        <v>0.1</v>
      </c>
      <c r="I175" t="s">
        <v>208</v>
      </c>
      <c r="J175" t="s">
        <v>117</v>
      </c>
      <c r="K175">
        <f t="shared" si="18"/>
        <v>1</v>
      </c>
      <c r="L175">
        <f t="shared" si="19"/>
        <v>1</v>
      </c>
      <c r="M175">
        <f t="shared" si="20"/>
        <v>1</v>
      </c>
      <c r="N175">
        <f t="shared" si="21"/>
        <v>1</v>
      </c>
      <c r="O175">
        <f t="shared" si="22"/>
        <v>1</v>
      </c>
      <c r="P175">
        <f t="shared" si="23"/>
        <v>1</v>
      </c>
      <c r="Q175">
        <f t="shared" si="26"/>
        <v>0</v>
      </c>
      <c r="R175">
        <f t="shared" si="24"/>
        <v>0</v>
      </c>
      <c r="S175">
        <f t="shared" si="25"/>
        <v>6</v>
      </c>
    </row>
    <row r="176" spans="1:19" x14ac:dyDescent="0.2">
      <c r="A176">
        <v>175</v>
      </c>
      <c r="B176">
        <v>500</v>
      </c>
      <c r="C176">
        <v>10</v>
      </c>
      <c r="D176" s="4">
        <v>1E-3</v>
      </c>
      <c r="E176">
        <v>20</v>
      </c>
      <c r="F176">
        <v>100</v>
      </c>
      <c r="G176" s="3">
        <v>0.05</v>
      </c>
      <c r="H176" s="5">
        <v>0.1</v>
      </c>
      <c r="I176" t="s">
        <v>159</v>
      </c>
      <c r="J176" t="s">
        <v>135</v>
      </c>
      <c r="K176">
        <f t="shared" si="18"/>
        <v>1</v>
      </c>
      <c r="L176">
        <f t="shared" si="19"/>
        <v>1</v>
      </c>
      <c r="M176">
        <f t="shared" si="20"/>
        <v>1</v>
      </c>
      <c r="N176">
        <f t="shared" si="21"/>
        <v>1</v>
      </c>
      <c r="O176">
        <f t="shared" si="22"/>
        <v>1</v>
      </c>
      <c r="P176">
        <f t="shared" si="23"/>
        <v>0</v>
      </c>
      <c r="Q176">
        <f t="shared" si="26"/>
        <v>0</v>
      </c>
      <c r="R176">
        <f t="shared" si="24"/>
        <v>1</v>
      </c>
      <c r="S176">
        <f t="shared" si="25"/>
        <v>6</v>
      </c>
    </row>
    <row r="177" spans="1:19" x14ac:dyDescent="0.2">
      <c r="A177">
        <v>176</v>
      </c>
      <c r="B177">
        <v>500</v>
      </c>
      <c r="C177">
        <v>10</v>
      </c>
      <c r="D177">
        <v>0.1</v>
      </c>
      <c r="E177">
        <v>20</v>
      </c>
      <c r="F177">
        <v>100</v>
      </c>
      <c r="G177" s="3">
        <v>0.5</v>
      </c>
      <c r="H177">
        <v>0.05</v>
      </c>
      <c r="I177">
        <v>5</v>
      </c>
      <c r="J177" t="s">
        <v>117</v>
      </c>
      <c r="K177">
        <f t="shared" si="18"/>
        <v>1</v>
      </c>
      <c r="L177">
        <f t="shared" si="19"/>
        <v>1</v>
      </c>
      <c r="M177">
        <f t="shared" si="20"/>
        <v>1</v>
      </c>
      <c r="N177">
        <f t="shared" si="21"/>
        <v>1</v>
      </c>
      <c r="O177">
        <f t="shared" si="22"/>
        <v>1</v>
      </c>
      <c r="P177">
        <f t="shared" si="23"/>
        <v>1</v>
      </c>
      <c r="Q177">
        <f t="shared" si="26"/>
        <v>1</v>
      </c>
      <c r="R177">
        <f t="shared" si="24"/>
        <v>1</v>
      </c>
      <c r="S177">
        <f t="shared" si="25"/>
        <v>8</v>
      </c>
    </row>
    <row r="178" spans="1:19" x14ac:dyDescent="0.2">
      <c r="A178">
        <v>177</v>
      </c>
      <c r="B178">
        <v>400</v>
      </c>
      <c r="C178">
        <v>10</v>
      </c>
      <c r="D178" t="s">
        <v>918</v>
      </c>
      <c r="E178">
        <v>20</v>
      </c>
      <c r="F178">
        <v>100</v>
      </c>
      <c r="G178" t="s">
        <v>919</v>
      </c>
      <c r="H178">
        <v>0.1</v>
      </c>
      <c r="I178">
        <v>5</v>
      </c>
      <c r="J178" t="s">
        <v>128</v>
      </c>
      <c r="K178">
        <f t="shared" si="18"/>
        <v>0</v>
      </c>
      <c r="L178">
        <f t="shared" si="19"/>
        <v>1</v>
      </c>
      <c r="M178">
        <f t="shared" si="20"/>
        <v>0</v>
      </c>
      <c r="N178">
        <f t="shared" si="21"/>
        <v>1</v>
      </c>
      <c r="O178">
        <f t="shared" si="22"/>
        <v>1</v>
      </c>
      <c r="P178">
        <f t="shared" si="23"/>
        <v>0</v>
      </c>
      <c r="Q178">
        <f t="shared" si="26"/>
        <v>0</v>
      </c>
      <c r="R178">
        <f t="shared" si="24"/>
        <v>1</v>
      </c>
      <c r="S178">
        <f t="shared" si="25"/>
        <v>4</v>
      </c>
    </row>
    <row r="179" spans="1:19" x14ac:dyDescent="0.2">
      <c r="A179">
        <v>178</v>
      </c>
      <c r="B179">
        <v>50</v>
      </c>
      <c r="C179">
        <v>10</v>
      </c>
      <c r="D179" s="4">
        <v>1E-3</v>
      </c>
      <c r="E179">
        <v>20</v>
      </c>
      <c r="F179">
        <v>100</v>
      </c>
      <c r="G179">
        <v>10</v>
      </c>
      <c r="H179">
        <v>0.1</v>
      </c>
      <c r="I179">
        <v>500</v>
      </c>
      <c r="J179" t="s">
        <v>117</v>
      </c>
      <c r="K179">
        <f t="shared" si="18"/>
        <v>0</v>
      </c>
      <c r="L179">
        <f t="shared" si="19"/>
        <v>1</v>
      </c>
      <c r="M179">
        <f t="shared" si="20"/>
        <v>1</v>
      </c>
      <c r="N179">
        <f t="shared" si="21"/>
        <v>1</v>
      </c>
      <c r="O179">
        <f t="shared" si="22"/>
        <v>1</v>
      </c>
      <c r="P179">
        <f t="shared" si="23"/>
        <v>0</v>
      </c>
      <c r="Q179">
        <f t="shared" si="26"/>
        <v>0</v>
      </c>
      <c r="R179">
        <f t="shared" si="24"/>
        <v>0</v>
      </c>
      <c r="S179">
        <f t="shared" si="25"/>
        <v>4</v>
      </c>
    </row>
    <row r="180" spans="1:19" x14ac:dyDescent="0.2">
      <c r="A180">
        <v>179</v>
      </c>
      <c r="B180">
        <v>500</v>
      </c>
      <c r="C180">
        <v>10</v>
      </c>
      <c r="D180" s="3">
        <v>0.01</v>
      </c>
      <c r="E180" s="3">
        <v>0.02</v>
      </c>
      <c r="F180">
        <v>100</v>
      </c>
      <c r="G180" s="3">
        <v>0.1</v>
      </c>
      <c r="H180">
        <v>0.05</v>
      </c>
      <c r="I180" t="s">
        <v>159</v>
      </c>
      <c r="J180" t="s">
        <v>117</v>
      </c>
      <c r="K180">
        <f t="shared" si="18"/>
        <v>1</v>
      </c>
      <c r="L180">
        <f t="shared" si="19"/>
        <v>1</v>
      </c>
      <c r="M180">
        <f t="shared" si="20"/>
        <v>0</v>
      </c>
      <c r="N180">
        <f t="shared" si="21"/>
        <v>0</v>
      </c>
      <c r="O180">
        <f t="shared" si="22"/>
        <v>1</v>
      </c>
      <c r="P180">
        <f t="shared" si="23"/>
        <v>0</v>
      </c>
      <c r="Q180">
        <f t="shared" si="26"/>
        <v>1</v>
      </c>
      <c r="R180">
        <f t="shared" si="24"/>
        <v>1</v>
      </c>
      <c r="S180">
        <f t="shared" si="25"/>
        <v>5</v>
      </c>
    </row>
    <row r="181" spans="1:19" x14ac:dyDescent="0.2">
      <c r="A181">
        <v>180</v>
      </c>
      <c r="B181">
        <v>500</v>
      </c>
      <c r="C181">
        <v>10</v>
      </c>
      <c r="D181">
        <v>0.1</v>
      </c>
      <c r="E181">
        <v>20</v>
      </c>
      <c r="F181">
        <v>100</v>
      </c>
      <c r="G181" t="s">
        <v>932</v>
      </c>
      <c r="H181">
        <v>0.05</v>
      </c>
      <c r="I181" s="1">
        <v>5</v>
      </c>
      <c r="J181" t="s">
        <v>123</v>
      </c>
      <c r="K181">
        <f t="shared" ref="K181:K244" si="27">IF(OR(B181=500,B181="50%",B181=50%),1,0)</f>
        <v>1</v>
      </c>
      <c r="L181">
        <f t="shared" si="19"/>
        <v>1</v>
      </c>
      <c r="M181">
        <f t="shared" si="20"/>
        <v>1</v>
      </c>
      <c r="N181">
        <f t="shared" si="21"/>
        <v>1</v>
      </c>
      <c r="O181">
        <f t="shared" si="22"/>
        <v>1</v>
      </c>
      <c r="P181">
        <f t="shared" si="23"/>
        <v>0</v>
      </c>
      <c r="Q181">
        <f t="shared" si="26"/>
        <v>1</v>
      </c>
      <c r="R181">
        <f t="shared" si="24"/>
        <v>1</v>
      </c>
      <c r="S181">
        <f t="shared" si="25"/>
        <v>7</v>
      </c>
    </row>
    <row r="182" spans="1:19" x14ac:dyDescent="0.2">
      <c r="A182">
        <v>181</v>
      </c>
      <c r="B182">
        <v>500</v>
      </c>
      <c r="C182">
        <v>100</v>
      </c>
      <c r="D182">
        <v>0.1</v>
      </c>
      <c r="E182">
        <v>20</v>
      </c>
      <c r="F182">
        <v>0.1</v>
      </c>
      <c r="G182">
        <v>12</v>
      </c>
      <c r="H182">
        <v>0.1</v>
      </c>
      <c r="I182">
        <v>1000</v>
      </c>
      <c r="J182" t="s">
        <v>135</v>
      </c>
      <c r="K182">
        <f t="shared" si="27"/>
        <v>1</v>
      </c>
      <c r="L182">
        <f t="shared" si="19"/>
        <v>0</v>
      </c>
      <c r="M182">
        <f t="shared" si="20"/>
        <v>1</v>
      </c>
      <c r="N182">
        <f t="shared" si="21"/>
        <v>1</v>
      </c>
      <c r="O182">
        <f t="shared" si="22"/>
        <v>0</v>
      </c>
      <c r="P182">
        <f t="shared" si="23"/>
        <v>0</v>
      </c>
      <c r="Q182">
        <f t="shared" si="26"/>
        <v>0</v>
      </c>
      <c r="R182">
        <f t="shared" si="24"/>
        <v>0</v>
      </c>
      <c r="S182">
        <f t="shared" si="25"/>
        <v>3</v>
      </c>
    </row>
    <row r="183" spans="1:19" x14ac:dyDescent="0.2">
      <c r="A183">
        <v>182</v>
      </c>
      <c r="B183">
        <v>500</v>
      </c>
      <c r="C183">
        <v>10</v>
      </c>
      <c r="D183">
        <v>0.1</v>
      </c>
      <c r="E183">
        <v>20</v>
      </c>
      <c r="F183">
        <v>100</v>
      </c>
      <c r="G183" t="s">
        <v>625</v>
      </c>
      <c r="H183">
        <v>0.05</v>
      </c>
      <c r="I183" t="s">
        <v>159</v>
      </c>
      <c r="J183" t="s">
        <v>135</v>
      </c>
      <c r="K183">
        <f t="shared" si="27"/>
        <v>1</v>
      </c>
      <c r="L183">
        <f t="shared" si="19"/>
        <v>1</v>
      </c>
      <c r="M183">
        <f t="shared" si="20"/>
        <v>1</v>
      </c>
      <c r="N183">
        <f t="shared" si="21"/>
        <v>1</v>
      </c>
      <c r="O183">
        <f t="shared" si="22"/>
        <v>1</v>
      </c>
      <c r="P183">
        <f t="shared" si="23"/>
        <v>0</v>
      </c>
      <c r="Q183">
        <f t="shared" si="26"/>
        <v>1</v>
      </c>
      <c r="R183">
        <f t="shared" si="24"/>
        <v>1</v>
      </c>
      <c r="S183">
        <f t="shared" si="25"/>
        <v>7</v>
      </c>
    </row>
    <row r="184" spans="1:19" x14ac:dyDescent="0.2">
      <c r="A184">
        <v>183</v>
      </c>
      <c r="B184">
        <v>500</v>
      </c>
      <c r="C184">
        <v>10</v>
      </c>
      <c r="D184">
        <v>1</v>
      </c>
      <c r="E184">
        <v>20</v>
      </c>
      <c r="F184">
        <v>100</v>
      </c>
      <c r="G184">
        <v>9</v>
      </c>
      <c r="H184">
        <v>0.1</v>
      </c>
      <c r="I184">
        <v>100</v>
      </c>
      <c r="J184" t="s">
        <v>117</v>
      </c>
      <c r="K184">
        <f t="shared" si="27"/>
        <v>1</v>
      </c>
      <c r="L184">
        <f t="shared" si="19"/>
        <v>1</v>
      </c>
      <c r="M184">
        <f t="shared" si="20"/>
        <v>0</v>
      </c>
      <c r="N184">
        <f t="shared" si="21"/>
        <v>1</v>
      </c>
      <c r="O184">
        <f t="shared" si="22"/>
        <v>1</v>
      </c>
      <c r="P184">
        <f t="shared" si="23"/>
        <v>0</v>
      </c>
      <c r="Q184">
        <f t="shared" si="26"/>
        <v>0</v>
      </c>
      <c r="R184">
        <f t="shared" si="24"/>
        <v>0</v>
      </c>
      <c r="S184">
        <f t="shared" si="25"/>
        <v>4</v>
      </c>
    </row>
    <row r="185" spans="1:19" x14ac:dyDescent="0.2">
      <c r="A185">
        <v>184</v>
      </c>
      <c r="B185">
        <v>50</v>
      </c>
      <c r="C185">
        <v>10</v>
      </c>
      <c r="D185">
        <v>1E-3</v>
      </c>
      <c r="E185">
        <v>20</v>
      </c>
      <c r="F185">
        <v>100</v>
      </c>
      <c r="G185" s="3">
        <v>0.5</v>
      </c>
      <c r="H185">
        <v>0.1</v>
      </c>
      <c r="I185" t="s">
        <v>159</v>
      </c>
      <c r="J185" t="s">
        <v>135</v>
      </c>
      <c r="K185">
        <f t="shared" si="27"/>
        <v>0</v>
      </c>
      <c r="L185">
        <f t="shared" si="19"/>
        <v>1</v>
      </c>
      <c r="M185">
        <f t="shared" si="20"/>
        <v>1</v>
      </c>
      <c r="N185">
        <f t="shared" si="21"/>
        <v>1</v>
      </c>
      <c r="O185">
        <f t="shared" si="22"/>
        <v>1</v>
      </c>
      <c r="P185">
        <f t="shared" si="23"/>
        <v>1</v>
      </c>
      <c r="Q185">
        <f t="shared" si="26"/>
        <v>0</v>
      </c>
      <c r="R185">
        <f t="shared" si="24"/>
        <v>1</v>
      </c>
      <c r="S185">
        <f t="shared" si="25"/>
        <v>6</v>
      </c>
    </row>
    <row r="186" spans="1:19" x14ac:dyDescent="0.2">
      <c r="A186">
        <v>185</v>
      </c>
      <c r="B186">
        <v>500</v>
      </c>
      <c r="C186">
        <v>10</v>
      </c>
      <c r="D186">
        <v>0.1</v>
      </c>
      <c r="E186">
        <v>20</v>
      </c>
      <c r="F186">
        <v>100</v>
      </c>
      <c r="G186" s="3">
        <v>0.89</v>
      </c>
      <c r="H186">
        <v>0.05</v>
      </c>
      <c r="I186" t="s">
        <v>159</v>
      </c>
      <c r="J186" t="s">
        <v>135</v>
      </c>
      <c r="K186">
        <f t="shared" si="27"/>
        <v>1</v>
      </c>
      <c r="L186">
        <f t="shared" si="19"/>
        <v>1</v>
      </c>
      <c r="M186">
        <f t="shared" si="20"/>
        <v>1</v>
      </c>
      <c r="N186">
        <f t="shared" si="21"/>
        <v>1</v>
      </c>
      <c r="O186">
        <f t="shared" si="22"/>
        <v>1</v>
      </c>
      <c r="P186">
        <f t="shared" si="23"/>
        <v>0</v>
      </c>
      <c r="Q186">
        <f t="shared" si="26"/>
        <v>1</v>
      </c>
      <c r="R186">
        <f t="shared" si="24"/>
        <v>1</v>
      </c>
      <c r="S186">
        <f t="shared" si="25"/>
        <v>7</v>
      </c>
    </row>
    <row r="187" spans="1:19" x14ac:dyDescent="0.2">
      <c r="A187">
        <v>186</v>
      </c>
      <c r="B187">
        <v>500</v>
      </c>
      <c r="C187">
        <v>10</v>
      </c>
      <c r="D187" t="s">
        <v>959</v>
      </c>
      <c r="E187">
        <v>20</v>
      </c>
      <c r="F187">
        <v>100</v>
      </c>
      <c r="G187" t="s">
        <v>625</v>
      </c>
      <c r="H187" t="s">
        <v>241</v>
      </c>
      <c r="I187" t="s">
        <v>164</v>
      </c>
      <c r="J187" t="s">
        <v>128</v>
      </c>
      <c r="K187">
        <f t="shared" si="27"/>
        <v>1</v>
      </c>
      <c r="L187">
        <f t="shared" si="19"/>
        <v>1</v>
      </c>
      <c r="M187">
        <f t="shared" si="20"/>
        <v>0</v>
      </c>
      <c r="N187">
        <f t="shared" si="21"/>
        <v>1</v>
      </c>
      <c r="O187">
        <f t="shared" si="22"/>
        <v>1</v>
      </c>
      <c r="P187">
        <f t="shared" si="23"/>
        <v>0</v>
      </c>
      <c r="Q187">
        <f t="shared" si="26"/>
        <v>0</v>
      </c>
      <c r="R187">
        <f t="shared" si="24"/>
        <v>0</v>
      </c>
      <c r="S187">
        <f t="shared" si="25"/>
        <v>4</v>
      </c>
    </row>
    <row r="188" spans="1:19" x14ac:dyDescent="0.2">
      <c r="A188">
        <v>187</v>
      </c>
      <c r="B188">
        <v>500</v>
      </c>
      <c r="C188">
        <v>10</v>
      </c>
      <c r="D188" s="4">
        <v>1E-3</v>
      </c>
      <c r="E188">
        <v>20</v>
      </c>
      <c r="F188">
        <v>100</v>
      </c>
      <c r="G188" s="3">
        <v>0.8</v>
      </c>
      <c r="H188">
        <v>0.05</v>
      </c>
      <c r="I188">
        <v>5</v>
      </c>
      <c r="J188" t="s">
        <v>123</v>
      </c>
      <c r="K188">
        <f t="shared" si="27"/>
        <v>1</v>
      </c>
      <c r="L188">
        <f t="shared" si="19"/>
        <v>1</v>
      </c>
      <c r="M188">
        <f t="shared" si="20"/>
        <v>1</v>
      </c>
      <c r="N188">
        <f t="shared" si="21"/>
        <v>1</v>
      </c>
      <c r="O188">
        <f t="shared" si="22"/>
        <v>1</v>
      </c>
      <c r="P188">
        <f t="shared" si="23"/>
        <v>0</v>
      </c>
      <c r="Q188">
        <f t="shared" si="26"/>
        <v>1</v>
      </c>
      <c r="R188">
        <f t="shared" si="24"/>
        <v>1</v>
      </c>
      <c r="S188">
        <f t="shared" si="25"/>
        <v>7</v>
      </c>
    </row>
    <row r="189" spans="1:19" x14ac:dyDescent="0.2">
      <c r="A189">
        <v>188</v>
      </c>
      <c r="B189">
        <v>500</v>
      </c>
      <c r="C189">
        <v>10</v>
      </c>
      <c r="D189">
        <v>0.1</v>
      </c>
      <c r="E189">
        <v>20</v>
      </c>
      <c r="F189">
        <v>100</v>
      </c>
      <c r="G189">
        <v>9</v>
      </c>
      <c r="H189">
        <v>0.1</v>
      </c>
      <c r="I189">
        <v>100</v>
      </c>
      <c r="J189" t="s">
        <v>128</v>
      </c>
      <c r="K189">
        <f t="shared" si="27"/>
        <v>1</v>
      </c>
      <c r="L189">
        <f t="shared" si="19"/>
        <v>1</v>
      </c>
      <c r="M189">
        <f t="shared" si="20"/>
        <v>1</v>
      </c>
      <c r="N189">
        <f t="shared" si="21"/>
        <v>1</v>
      </c>
      <c r="O189">
        <f t="shared" si="22"/>
        <v>1</v>
      </c>
      <c r="P189">
        <f t="shared" si="23"/>
        <v>0</v>
      </c>
      <c r="Q189">
        <f t="shared" si="26"/>
        <v>0</v>
      </c>
      <c r="R189">
        <f t="shared" si="24"/>
        <v>0</v>
      </c>
      <c r="S189">
        <f t="shared" si="25"/>
        <v>5</v>
      </c>
    </row>
    <row r="190" spans="1:19" x14ac:dyDescent="0.2">
      <c r="A190">
        <v>189</v>
      </c>
      <c r="B190">
        <v>500</v>
      </c>
      <c r="C190">
        <v>10</v>
      </c>
      <c r="D190">
        <v>0.1</v>
      </c>
      <c r="E190">
        <v>20</v>
      </c>
      <c r="F190">
        <v>100</v>
      </c>
      <c r="G190" s="3">
        <v>0.9</v>
      </c>
      <c r="H190">
        <v>0.05</v>
      </c>
      <c r="I190" t="s">
        <v>159</v>
      </c>
      <c r="J190" t="s">
        <v>117</v>
      </c>
      <c r="K190">
        <f t="shared" si="27"/>
        <v>1</v>
      </c>
      <c r="L190">
        <f t="shared" si="19"/>
        <v>1</v>
      </c>
      <c r="M190">
        <f t="shared" si="20"/>
        <v>1</v>
      </c>
      <c r="N190">
        <f t="shared" si="21"/>
        <v>1</v>
      </c>
      <c r="O190">
        <f t="shared" si="22"/>
        <v>1</v>
      </c>
      <c r="P190">
        <f t="shared" si="23"/>
        <v>0</v>
      </c>
      <c r="Q190">
        <f t="shared" si="26"/>
        <v>1</v>
      </c>
      <c r="R190">
        <f t="shared" si="24"/>
        <v>1</v>
      </c>
      <c r="S190">
        <f t="shared" si="25"/>
        <v>7</v>
      </c>
    </row>
    <row r="191" spans="1:19" x14ac:dyDescent="0.2">
      <c r="A191">
        <v>190</v>
      </c>
      <c r="B191">
        <v>500</v>
      </c>
      <c r="C191">
        <v>10</v>
      </c>
      <c r="D191">
        <v>0.5</v>
      </c>
      <c r="E191">
        <v>20</v>
      </c>
      <c r="F191">
        <v>100</v>
      </c>
      <c r="G191">
        <v>10</v>
      </c>
      <c r="H191">
        <v>0.1</v>
      </c>
      <c r="I191" t="s">
        <v>404</v>
      </c>
      <c r="J191" t="s">
        <v>135</v>
      </c>
      <c r="K191">
        <f t="shared" si="27"/>
        <v>1</v>
      </c>
      <c r="L191">
        <f t="shared" si="19"/>
        <v>1</v>
      </c>
      <c r="M191">
        <f t="shared" si="20"/>
        <v>0</v>
      </c>
      <c r="N191">
        <f t="shared" si="21"/>
        <v>1</v>
      </c>
      <c r="O191">
        <f t="shared" si="22"/>
        <v>1</v>
      </c>
      <c r="P191">
        <f t="shared" si="23"/>
        <v>0</v>
      </c>
      <c r="Q191">
        <f t="shared" si="26"/>
        <v>0</v>
      </c>
      <c r="R191">
        <f t="shared" si="24"/>
        <v>0</v>
      </c>
      <c r="S191">
        <f t="shared" si="25"/>
        <v>4</v>
      </c>
    </row>
    <row r="192" spans="1:19" x14ac:dyDescent="0.2">
      <c r="A192">
        <v>191</v>
      </c>
      <c r="B192">
        <v>50</v>
      </c>
      <c r="C192">
        <v>10</v>
      </c>
      <c r="D192">
        <v>0.01</v>
      </c>
      <c r="E192">
        <v>20</v>
      </c>
      <c r="F192">
        <v>100</v>
      </c>
      <c r="G192" t="s">
        <v>984</v>
      </c>
      <c r="H192" t="s">
        <v>985</v>
      </c>
      <c r="I192" t="s">
        <v>986</v>
      </c>
      <c r="J192" t="s">
        <v>117</v>
      </c>
      <c r="K192">
        <f t="shared" si="27"/>
        <v>0</v>
      </c>
      <c r="L192">
        <f t="shared" si="19"/>
        <v>1</v>
      </c>
      <c r="M192">
        <f t="shared" si="20"/>
        <v>0</v>
      </c>
      <c r="N192">
        <f t="shared" si="21"/>
        <v>1</v>
      </c>
      <c r="O192">
        <f t="shared" si="22"/>
        <v>1</v>
      </c>
      <c r="P192">
        <f t="shared" si="23"/>
        <v>0</v>
      </c>
      <c r="Q192">
        <f t="shared" si="26"/>
        <v>0</v>
      </c>
      <c r="R192">
        <f t="shared" si="24"/>
        <v>0</v>
      </c>
      <c r="S192">
        <f t="shared" si="25"/>
        <v>3</v>
      </c>
    </row>
    <row r="193" spans="1:19" x14ac:dyDescent="0.2">
      <c r="A193">
        <v>192</v>
      </c>
      <c r="B193">
        <v>500</v>
      </c>
      <c r="C193">
        <v>10</v>
      </c>
      <c r="D193">
        <v>0.1</v>
      </c>
      <c r="E193">
        <v>20</v>
      </c>
      <c r="F193">
        <v>100</v>
      </c>
      <c r="G193" s="3">
        <v>0.5</v>
      </c>
      <c r="H193">
        <v>0.05</v>
      </c>
      <c r="I193">
        <v>5</v>
      </c>
      <c r="J193" t="s">
        <v>128</v>
      </c>
      <c r="K193">
        <f t="shared" si="27"/>
        <v>1</v>
      </c>
      <c r="L193">
        <f t="shared" si="19"/>
        <v>1</v>
      </c>
      <c r="M193">
        <f t="shared" si="20"/>
        <v>1</v>
      </c>
      <c r="N193">
        <f t="shared" si="21"/>
        <v>1</v>
      </c>
      <c r="O193">
        <f t="shared" si="22"/>
        <v>1</v>
      </c>
      <c r="P193">
        <f t="shared" si="23"/>
        <v>1</v>
      </c>
      <c r="Q193">
        <f t="shared" si="26"/>
        <v>1</v>
      </c>
      <c r="R193">
        <f t="shared" si="24"/>
        <v>1</v>
      </c>
      <c r="S193">
        <f t="shared" si="25"/>
        <v>8</v>
      </c>
    </row>
    <row r="194" spans="1:19" x14ac:dyDescent="0.2">
      <c r="A194">
        <v>193</v>
      </c>
      <c r="B194">
        <v>400</v>
      </c>
      <c r="C194">
        <v>5</v>
      </c>
      <c r="D194">
        <v>1</v>
      </c>
      <c r="E194">
        <v>20</v>
      </c>
      <c r="F194">
        <v>10</v>
      </c>
      <c r="G194">
        <v>10</v>
      </c>
      <c r="H194">
        <v>0.1</v>
      </c>
      <c r="I194">
        <v>100</v>
      </c>
      <c r="J194" t="s">
        <v>123</v>
      </c>
      <c r="K194">
        <f t="shared" si="27"/>
        <v>0</v>
      </c>
      <c r="L194">
        <f t="shared" si="19"/>
        <v>0</v>
      </c>
      <c r="M194">
        <f t="shared" si="20"/>
        <v>0</v>
      </c>
      <c r="N194">
        <f t="shared" si="21"/>
        <v>1</v>
      </c>
      <c r="O194">
        <f t="shared" si="22"/>
        <v>0</v>
      </c>
      <c r="P194">
        <f t="shared" si="23"/>
        <v>0</v>
      </c>
      <c r="Q194">
        <f t="shared" si="26"/>
        <v>0</v>
      </c>
      <c r="R194">
        <f t="shared" si="24"/>
        <v>0</v>
      </c>
      <c r="S194">
        <f t="shared" si="25"/>
        <v>1</v>
      </c>
    </row>
    <row r="195" spans="1:19" x14ac:dyDescent="0.2">
      <c r="A195">
        <v>194</v>
      </c>
      <c r="B195">
        <v>500</v>
      </c>
      <c r="C195">
        <v>10</v>
      </c>
      <c r="D195" s="4">
        <v>1E-3</v>
      </c>
      <c r="E195" s="3">
        <v>0.2</v>
      </c>
      <c r="F195">
        <v>100</v>
      </c>
      <c r="G195" s="3">
        <v>0.01</v>
      </c>
      <c r="H195" t="s">
        <v>999</v>
      </c>
      <c r="I195" t="s">
        <v>643</v>
      </c>
      <c r="J195" t="s">
        <v>128</v>
      </c>
      <c r="K195">
        <f t="shared" si="27"/>
        <v>1</v>
      </c>
      <c r="L195">
        <f t="shared" ref="L195:L258" si="28">IF(C195=10,1,0)</f>
        <v>1</v>
      </c>
      <c r="M195">
        <f t="shared" ref="M195:M258" si="29">IF(OR(D195=0.1,D195=0.1%),1,0)</f>
        <v>1</v>
      </c>
      <c r="N195">
        <f t="shared" ref="N195:N258" si="30">IF(OR(E195=20,E195=20%),1,0)</f>
        <v>1</v>
      </c>
      <c r="O195">
        <f t="shared" ref="O195:O258" si="31">IF(F195=100,1,0)</f>
        <v>1</v>
      </c>
      <c r="P195">
        <f t="shared" ref="P195:P258" si="32">IF(OR(G195=50%,G195=50),1,0)</f>
        <v>0</v>
      </c>
      <c r="Q195">
        <f t="shared" si="26"/>
        <v>0</v>
      </c>
      <c r="R195">
        <f t="shared" ref="R195:R258" si="33">IF(OR(I195="5 minutes",I195=5, I195="5 min"),1,0)</f>
        <v>0</v>
      </c>
      <c r="S195">
        <f t="shared" ref="S195:S258" si="34">SUM(K195:R195)</f>
        <v>5</v>
      </c>
    </row>
    <row r="196" spans="1:19" x14ac:dyDescent="0.2">
      <c r="A196">
        <v>195</v>
      </c>
      <c r="B196">
        <v>500</v>
      </c>
      <c r="C196">
        <v>10</v>
      </c>
      <c r="D196" s="4">
        <v>1E-3</v>
      </c>
      <c r="E196">
        <v>20</v>
      </c>
      <c r="F196">
        <v>100</v>
      </c>
      <c r="G196">
        <v>9</v>
      </c>
      <c r="H196">
        <v>0.05</v>
      </c>
      <c r="I196" t="s">
        <v>159</v>
      </c>
      <c r="J196" t="s">
        <v>123</v>
      </c>
      <c r="K196">
        <f t="shared" si="27"/>
        <v>1</v>
      </c>
      <c r="L196">
        <f t="shared" si="28"/>
        <v>1</v>
      </c>
      <c r="M196">
        <f t="shared" si="29"/>
        <v>1</v>
      </c>
      <c r="N196">
        <f t="shared" si="30"/>
        <v>1</v>
      </c>
      <c r="O196">
        <f t="shared" si="31"/>
        <v>1</v>
      </c>
      <c r="P196">
        <f t="shared" si="32"/>
        <v>0</v>
      </c>
      <c r="Q196">
        <f t="shared" si="26"/>
        <v>1</v>
      </c>
      <c r="R196">
        <f t="shared" si="33"/>
        <v>1</v>
      </c>
      <c r="S196">
        <f t="shared" si="34"/>
        <v>7</v>
      </c>
    </row>
    <row r="197" spans="1:19" x14ac:dyDescent="0.2">
      <c r="A197">
        <v>196</v>
      </c>
      <c r="B197">
        <v>500</v>
      </c>
      <c r="C197">
        <v>10</v>
      </c>
      <c r="D197">
        <v>0.01</v>
      </c>
      <c r="E197">
        <v>20</v>
      </c>
      <c r="F197">
        <v>100</v>
      </c>
      <c r="G197">
        <v>50</v>
      </c>
      <c r="H197">
        <v>0.05</v>
      </c>
      <c r="I197">
        <v>5</v>
      </c>
      <c r="J197" t="s">
        <v>135</v>
      </c>
      <c r="K197">
        <f t="shared" si="27"/>
        <v>1</v>
      </c>
      <c r="L197">
        <f t="shared" si="28"/>
        <v>1</v>
      </c>
      <c r="M197">
        <f t="shared" si="29"/>
        <v>0</v>
      </c>
      <c r="N197">
        <f t="shared" si="30"/>
        <v>1</v>
      </c>
      <c r="O197">
        <f t="shared" si="31"/>
        <v>1</v>
      </c>
      <c r="P197">
        <f t="shared" si="32"/>
        <v>1</v>
      </c>
      <c r="Q197">
        <f t="shared" si="26"/>
        <v>1</v>
      </c>
      <c r="R197">
        <f t="shared" si="33"/>
        <v>1</v>
      </c>
      <c r="S197">
        <f t="shared" si="34"/>
        <v>7</v>
      </c>
    </row>
    <row r="198" spans="1:19" x14ac:dyDescent="0.2">
      <c r="A198">
        <v>197</v>
      </c>
      <c r="B198">
        <v>500</v>
      </c>
      <c r="C198">
        <v>5</v>
      </c>
      <c r="D198">
        <v>0.05</v>
      </c>
      <c r="E198">
        <v>20</v>
      </c>
      <c r="F198">
        <v>0.5</v>
      </c>
      <c r="G198">
        <v>10</v>
      </c>
      <c r="H198">
        <v>0.1</v>
      </c>
      <c r="I198">
        <v>100</v>
      </c>
      <c r="J198" t="s">
        <v>135</v>
      </c>
      <c r="K198">
        <f t="shared" si="27"/>
        <v>1</v>
      </c>
      <c r="L198">
        <f t="shared" si="28"/>
        <v>0</v>
      </c>
      <c r="M198">
        <f t="shared" si="29"/>
        <v>0</v>
      </c>
      <c r="N198">
        <f t="shared" si="30"/>
        <v>1</v>
      </c>
      <c r="O198">
        <f t="shared" si="31"/>
        <v>0</v>
      </c>
      <c r="P198">
        <f t="shared" si="32"/>
        <v>0</v>
      </c>
      <c r="Q198">
        <f t="shared" si="26"/>
        <v>0</v>
      </c>
      <c r="R198">
        <f t="shared" si="33"/>
        <v>0</v>
      </c>
      <c r="S198">
        <f t="shared" si="34"/>
        <v>2</v>
      </c>
    </row>
    <row r="199" spans="1:19" x14ac:dyDescent="0.2">
      <c r="A199">
        <v>198</v>
      </c>
      <c r="B199">
        <v>550</v>
      </c>
      <c r="C199" t="s">
        <v>1017</v>
      </c>
      <c r="D199" t="s">
        <v>1018</v>
      </c>
      <c r="E199">
        <v>20</v>
      </c>
      <c r="F199" t="s">
        <v>1019</v>
      </c>
      <c r="G199" t="s">
        <v>1020</v>
      </c>
      <c r="H199" t="s">
        <v>1021</v>
      </c>
      <c r="I199" t="s">
        <v>148</v>
      </c>
      <c r="J199" t="s">
        <v>123</v>
      </c>
      <c r="K199">
        <f t="shared" si="27"/>
        <v>0</v>
      </c>
      <c r="L199">
        <f t="shared" si="28"/>
        <v>0</v>
      </c>
      <c r="M199">
        <f t="shared" si="29"/>
        <v>0</v>
      </c>
      <c r="N199">
        <f t="shared" si="30"/>
        <v>1</v>
      </c>
      <c r="O199">
        <f t="shared" si="31"/>
        <v>0</v>
      </c>
      <c r="P199">
        <f t="shared" si="32"/>
        <v>0</v>
      </c>
      <c r="Q199">
        <f t="shared" ref="Q199:Q262" si="35">IF(OR(H199="5 cents",H199=0.05,H199="$0.05"),1,0)</f>
        <v>0</v>
      </c>
      <c r="R199">
        <f t="shared" si="33"/>
        <v>0</v>
      </c>
      <c r="S199">
        <f t="shared" si="34"/>
        <v>1</v>
      </c>
    </row>
    <row r="200" spans="1:19" x14ac:dyDescent="0.2">
      <c r="A200">
        <v>199</v>
      </c>
      <c r="B200">
        <v>499</v>
      </c>
      <c r="C200">
        <v>10</v>
      </c>
      <c r="D200">
        <v>1</v>
      </c>
      <c r="E200">
        <v>20</v>
      </c>
      <c r="F200">
        <v>10</v>
      </c>
      <c r="G200" s="3">
        <v>0.1</v>
      </c>
      <c r="H200">
        <v>0.1</v>
      </c>
      <c r="I200">
        <v>100</v>
      </c>
      <c r="J200" t="s">
        <v>117</v>
      </c>
      <c r="K200">
        <f t="shared" si="27"/>
        <v>0</v>
      </c>
      <c r="L200">
        <f t="shared" si="28"/>
        <v>1</v>
      </c>
      <c r="M200">
        <f t="shared" si="29"/>
        <v>0</v>
      </c>
      <c r="N200">
        <f t="shared" si="30"/>
        <v>1</v>
      </c>
      <c r="O200">
        <f t="shared" si="31"/>
        <v>0</v>
      </c>
      <c r="P200">
        <f t="shared" si="32"/>
        <v>0</v>
      </c>
      <c r="Q200">
        <f t="shared" si="35"/>
        <v>0</v>
      </c>
      <c r="R200">
        <f t="shared" si="33"/>
        <v>0</v>
      </c>
      <c r="S200">
        <f t="shared" si="34"/>
        <v>2</v>
      </c>
    </row>
    <row r="201" spans="1:19" x14ac:dyDescent="0.2">
      <c r="A201">
        <v>200</v>
      </c>
      <c r="B201">
        <v>500</v>
      </c>
      <c r="C201">
        <v>10</v>
      </c>
      <c r="D201">
        <v>0.1</v>
      </c>
      <c r="E201">
        <v>20</v>
      </c>
      <c r="F201">
        <v>100</v>
      </c>
      <c r="G201" s="3">
        <v>0.09</v>
      </c>
      <c r="H201">
        <v>0.05</v>
      </c>
      <c r="I201" t="s">
        <v>159</v>
      </c>
      <c r="J201" t="s">
        <v>135</v>
      </c>
      <c r="K201">
        <f t="shared" si="27"/>
        <v>1</v>
      </c>
      <c r="L201">
        <f t="shared" si="28"/>
        <v>1</v>
      </c>
      <c r="M201">
        <f t="shared" si="29"/>
        <v>1</v>
      </c>
      <c r="N201">
        <f t="shared" si="30"/>
        <v>1</v>
      </c>
      <c r="O201">
        <f t="shared" si="31"/>
        <v>1</v>
      </c>
      <c r="P201">
        <f t="shared" si="32"/>
        <v>0</v>
      </c>
      <c r="Q201">
        <f t="shared" si="35"/>
        <v>1</v>
      </c>
      <c r="R201">
        <f t="shared" si="33"/>
        <v>1</v>
      </c>
      <c r="S201">
        <f t="shared" si="34"/>
        <v>7</v>
      </c>
    </row>
    <row r="202" spans="1:19" x14ac:dyDescent="0.2">
      <c r="A202">
        <v>201</v>
      </c>
      <c r="B202">
        <v>500</v>
      </c>
      <c r="C202">
        <v>10</v>
      </c>
      <c r="D202">
        <v>0.1</v>
      </c>
      <c r="E202">
        <v>20</v>
      </c>
      <c r="F202">
        <v>100</v>
      </c>
      <c r="G202">
        <v>90</v>
      </c>
      <c r="H202">
        <v>0.1</v>
      </c>
      <c r="I202" t="s">
        <v>148</v>
      </c>
      <c r="J202" t="s">
        <v>128</v>
      </c>
      <c r="K202">
        <f t="shared" si="27"/>
        <v>1</v>
      </c>
      <c r="L202">
        <f t="shared" si="28"/>
        <v>1</v>
      </c>
      <c r="M202">
        <f t="shared" si="29"/>
        <v>1</v>
      </c>
      <c r="N202">
        <f t="shared" si="30"/>
        <v>1</v>
      </c>
      <c r="O202">
        <f t="shared" si="31"/>
        <v>1</v>
      </c>
      <c r="P202">
        <f t="shared" si="32"/>
        <v>0</v>
      </c>
      <c r="Q202">
        <f t="shared" si="35"/>
        <v>0</v>
      </c>
      <c r="R202">
        <f t="shared" si="33"/>
        <v>0</v>
      </c>
      <c r="S202">
        <f t="shared" si="34"/>
        <v>5</v>
      </c>
    </row>
    <row r="203" spans="1:19" x14ac:dyDescent="0.2">
      <c r="A203">
        <v>202</v>
      </c>
      <c r="B203">
        <v>500</v>
      </c>
      <c r="C203" t="s">
        <v>1039</v>
      </c>
      <c r="D203" s="4">
        <v>1E-3</v>
      </c>
      <c r="E203" s="3">
        <v>0.2</v>
      </c>
      <c r="F203">
        <v>1</v>
      </c>
      <c r="G203" s="3">
        <v>0.99</v>
      </c>
      <c r="H203" s="5">
        <v>0.1</v>
      </c>
      <c r="I203" t="s">
        <v>1040</v>
      </c>
      <c r="J203" t="s">
        <v>135</v>
      </c>
      <c r="K203">
        <f t="shared" si="27"/>
        <v>1</v>
      </c>
      <c r="L203">
        <f t="shared" si="28"/>
        <v>0</v>
      </c>
      <c r="M203">
        <f t="shared" si="29"/>
        <v>1</v>
      </c>
      <c r="N203">
        <f t="shared" si="30"/>
        <v>1</v>
      </c>
      <c r="O203">
        <f t="shared" si="31"/>
        <v>0</v>
      </c>
      <c r="P203">
        <f t="shared" si="32"/>
        <v>0</v>
      </c>
      <c r="Q203">
        <f t="shared" si="35"/>
        <v>0</v>
      </c>
      <c r="R203">
        <f t="shared" si="33"/>
        <v>0</v>
      </c>
      <c r="S203">
        <f t="shared" si="34"/>
        <v>3</v>
      </c>
    </row>
    <row r="204" spans="1:19" x14ac:dyDescent="0.2">
      <c r="A204">
        <v>203</v>
      </c>
      <c r="B204">
        <v>500</v>
      </c>
      <c r="C204">
        <v>10</v>
      </c>
      <c r="D204" t="s">
        <v>1045</v>
      </c>
      <c r="E204">
        <v>20</v>
      </c>
      <c r="F204">
        <v>5</v>
      </c>
      <c r="G204">
        <v>5</v>
      </c>
      <c r="H204">
        <v>0.1</v>
      </c>
      <c r="I204">
        <v>1</v>
      </c>
      <c r="J204" t="s">
        <v>123</v>
      </c>
      <c r="K204">
        <f t="shared" si="27"/>
        <v>1</v>
      </c>
      <c r="L204">
        <f t="shared" si="28"/>
        <v>1</v>
      </c>
      <c r="M204">
        <f t="shared" si="29"/>
        <v>0</v>
      </c>
      <c r="N204">
        <f t="shared" si="30"/>
        <v>1</v>
      </c>
      <c r="O204">
        <f t="shared" si="31"/>
        <v>0</v>
      </c>
      <c r="P204">
        <f t="shared" si="32"/>
        <v>0</v>
      </c>
      <c r="Q204">
        <f t="shared" si="35"/>
        <v>0</v>
      </c>
      <c r="R204">
        <f t="shared" si="33"/>
        <v>0</v>
      </c>
      <c r="S204">
        <f t="shared" si="34"/>
        <v>3</v>
      </c>
    </row>
    <row r="205" spans="1:19" x14ac:dyDescent="0.2">
      <c r="A205">
        <v>204</v>
      </c>
      <c r="B205">
        <v>333</v>
      </c>
      <c r="C205">
        <v>100</v>
      </c>
      <c r="D205">
        <v>1E-3</v>
      </c>
      <c r="E205">
        <v>20</v>
      </c>
      <c r="F205">
        <v>100</v>
      </c>
      <c r="G205" t="s">
        <v>1050</v>
      </c>
      <c r="H205">
        <v>0.1</v>
      </c>
      <c r="I205">
        <v>100</v>
      </c>
      <c r="J205" t="s">
        <v>123</v>
      </c>
      <c r="K205">
        <f t="shared" si="27"/>
        <v>0</v>
      </c>
      <c r="L205">
        <f t="shared" si="28"/>
        <v>0</v>
      </c>
      <c r="M205">
        <f t="shared" si="29"/>
        <v>1</v>
      </c>
      <c r="N205">
        <f t="shared" si="30"/>
        <v>1</v>
      </c>
      <c r="O205">
        <f t="shared" si="31"/>
        <v>1</v>
      </c>
      <c r="P205">
        <f t="shared" si="32"/>
        <v>0</v>
      </c>
      <c r="Q205">
        <f t="shared" si="35"/>
        <v>0</v>
      </c>
      <c r="R205">
        <f t="shared" si="33"/>
        <v>0</v>
      </c>
      <c r="S205">
        <f t="shared" si="34"/>
        <v>3</v>
      </c>
    </row>
    <row r="206" spans="1:19" x14ac:dyDescent="0.2">
      <c r="A206">
        <v>205</v>
      </c>
      <c r="B206">
        <v>6</v>
      </c>
      <c r="C206">
        <v>10</v>
      </c>
      <c r="D206">
        <v>1</v>
      </c>
      <c r="E206">
        <v>5</v>
      </c>
      <c r="F206">
        <v>100</v>
      </c>
      <c r="G206">
        <v>10</v>
      </c>
      <c r="H206">
        <v>10</v>
      </c>
      <c r="I206">
        <v>5</v>
      </c>
      <c r="J206" t="s">
        <v>128</v>
      </c>
      <c r="K206">
        <f t="shared" si="27"/>
        <v>0</v>
      </c>
      <c r="L206">
        <f t="shared" si="28"/>
        <v>1</v>
      </c>
      <c r="M206">
        <f t="shared" si="29"/>
        <v>0</v>
      </c>
      <c r="N206">
        <f t="shared" si="30"/>
        <v>0</v>
      </c>
      <c r="O206">
        <f t="shared" si="31"/>
        <v>1</v>
      </c>
      <c r="P206">
        <f t="shared" si="32"/>
        <v>0</v>
      </c>
      <c r="Q206">
        <f t="shared" si="35"/>
        <v>0</v>
      </c>
      <c r="R206">
        <f t="shared" si="33"/>
        <v>1</v>
      </c>
      <c r="S206">
        <f t="shared" si="34"/>
        <v>3</v>
      </c>
    </row>
    <row r="207" spans="1:19" x14ac:dyDescent="0.2">
      <c r="A207">
        <v>206</v>
      </c>
      <c r="B207">
        <v>500</v>
      </c>
      <c r="C207">
        <v>10</v>
      </c>
      <c r="D207" s="4">
        <v>1.0000000000000001E-5</v>
      </c>
      <c r="E207">
        <v>20</v>
      </c>
      <c r="F207">
        <v>100</v>
      </c>
      <c r="G207" s="3">
        <v>0.5</v>
      </c>
      <c r="H207" s="5">
        <v>0.05</v>
      </c>
      <c r="I207" t="s">
        <v>159</v>
      </c>
      <c r="J207" t="s">
        <v>117</v>
      </c>
      <c r="K207">
        <f t="shared" si="27"/>
        <v>1</v>
      </c>
      <c r="L207">
        <f t="shared" si="28"/>
        <v>1</v>
      </c>
      <c r="M207">
        <f t="shared" si="29"/>
        <v>0</v>
      </c>
      <c r="N207">
        <f t="shared" si="30"/>
        <v>1</v>
      </c>
      <c r="O207">
        <f t="shared" si="31"/>
        <v>1</v>
      </c>
      <c r="P207">
        <f t="shared" si="32"/>
        <v>1</v>
      </c>
      <c r="Q207">
        <f t="shared" si="35"/>
        <v>1</v>
      </c>
      <c r="R207">
        <f t="shared" si="33"/>
        <v>1</v>
      </c>
      <c r="S207">
        <f t="shared" si="34"/>
        <v>7</v>
      </c>
    </row>
    <row r="208" spans="1:19" x14ac:dyDescent="0.2">
      <c r="A208">
        <v>207</v>
      </c>
      <c r="B208">
        <v>700</v>
      </c>
      <c r="C208">
        <v>8</v>
      </c>
      <c r="D208" s="3">
        <v>0.05</v>
      </c>
      <c r="E208">
        <v>20</v>
      </c>
      <c r="F208">
        <v>100</v>
      </c>
      <c r="G208">
        <v>50</v>
      </c>
      <c r="H208">
        <v>0.1</v>
      </c>
      <c r="I208">
        <v>100</v>
      </c>
      <c r="J208" t="s">
        <v>135</v>
      </c>
      <c r="K208">
        <f t="shared" si="27"/>
        <v>0</v>
      </c>
      <c r="L208">
        <f t="shared" si="28"/>
        <v>0</v>
      </c>
      <c r="M208">
        <f t="shared" si="29"/>
        <v>0</v>
      </c>
      <c r="N208">
        <f t="shared" si="30"/>
        <v>1</v>
      </c>
      <c r="O208">
        <f t="shared" si="31"/>
        <v>1</v>
      </c>
      <c r="P208">
        <f t="shared" si="32"/>
        <v>1</v>
      </c>
      <c r="Q208">
        <f t="shared" si="35"/>
        <v>0</v>
      </c>
      <c r="R208">
        <f t="shared" si="33"/>
        <v>0</v>
      </c>
      <c r="S208">
        <f t="shared" si="34"/>
        <v>3</v>
      </c>
    </row>
    <row r="209" spans="1:19" x14ac:dyDescent="0.2">
      <c r="A209">
        <v>208</v>
      </c>
      <c r="B209">
        <v>500</v>
      </c>
      <c r="C209">
        <v>10</v>
      </c>
      <c r="D209">
        <v>1</v>
      </c>
      <c r="E209">
        <v>20</v>
      </c>
      <c r="F209">
        <v>100</v>
      </c>
      <c r="G209">
        <v>9</v>
      </c>
      <c r="H209">
        <v>1.05</v>
      </c>
      <c r="I209">
        <v>1</v>
      </c>
      <c r="J209" t="s">
        <v>117</v>
      </c>
      <c r="K209">
        <f t="shared" si="27"/>
        <v>1</v>
      </c>
      <c r="L209">
        <f t="shared" si="28"/>
        <v>1</v>
      </c>
      <c r="M209">
        <f t="shared" si="29"/>
        <v>0</v>
      </c>
      <c r="N209">
        <f t="shared" si="30"/>
        <v>1</v>
      </c>
      <c r="O209">
        <f t="shared" si="31"/>
        <v>1</v>
      </c>
      <c r="P209">
        <f t="shared" si="32"/>
        <v>0</v>
      </c>
      <c r="Q209">
        <f t="shared" si="35"/>
        <v>0</v>
      </c>
      <c r="R209">
        <f t="shared" si="33"/>
        <v>0</v>
      </c>
      <c r="S209">
        <f t="shared" si="34"/>
        <v>4</v>
      </c>
    </row>
    <row r="210" spans="1:19" x14ac:dyDescent="0.2">
      <c r="A210">
        <v>209</v>
      </c>
      <c r="B210">
        <v>500</v>
      </c>
      <c r="C210">
        <v>10</v>
      </c>
      <c r="D210">
        <v>1</v>
      </c>
      <c r="E210">
        <v>20</v>
      </c>
      <c r="F210">
        <v>100</v>
      </c>
      <c r="G210">
        <v>7</v>
      </c>
      <c r="H210">
        <v>10</v>
      </c>
      <c r="I210">
        <v>100</v>
      </c>
      <c r="J210" t="s">
        <v>123</v>
      </c>
      <c r="K210">
        <f t="shared" si="27"/>
        <v>1</v>
      </c>
      <c r="L210">
        <f t="shared" si="28"/>
        <v>1</v>
      </c>
      <c r="M210">
        <f t="shared" si="29"/>
        <v>0</v>
      </c>
      <c r="N210">
        <f t="shared" si="30"/>
        <v>1</v>
      </c>
      <c r="O210">
        <f t="shared" si="31"/>
        <v>1</v>
      </c>
      <c r="P210">
        <f t="shared" si="32"/>
        <v>0</v>
      </c>
      <c r="Q210">
        <f t="shared" si="35"/>
        <v>0</v>
      </c>
      <c r="R210">
        <f t="shared" si="33"/>
        <v>0</v>
      </c>
      <c r="S210">
        <f t="shared" si="34"/>
        <v>4</v>
      </c>
    </row>
    <row r="211" spans="1:19" x14ac:dyDescent="0.2">
      <c r="A211">
        <v>210</v>
      </c>
      <c r="B211">
        <v>500</v>
      </c>
      <c r="C211">
        <v>10</v>
      </c>
      <c r="D211" s="4">
        <v>1E-3</v>
      </c>
      <c r="E211" s="3">
        <v>0.2</v>
      </c>
      <c r="F211">
        <v>100</v>
      </c>
      <c r="G211" s="3">
        <v>0.09</v>
      </c>
      <c r="H211" s="5">
        <v>0.05</v>
      </c>
      <c r="I211" t="s">
        <v>159</v>
      </c>
      <c r="J211" t="s">
        <v>117</v>
      </c>
      <c r="K211">
        <f t="shared" si="27"/>
        <v>1</v>
      </c>
      <c r="L211">
        <f t="shared" si="28"/>
        <v>1</v>
      </c>
      <c r="M211">
        <f t="shared" si="29"/>
        <v>1</v>
      </c>
      <c r="N211">
        <f t="shared" si="30"/>
        <v>1</v>
      </c>
      <c r="O211">
        <f t="shared" si="31"/>
        <v>1</v>
      </c>
      <c r="P211">
        <f t="shared" si="32"/>
        <v>0</v>
      </c>
      <c r="Q211">
        <f t="shared" si="35"/>
        <v>1</v>
      </c>
      <c r="R211">
        <f t="shared" si="33"/>
        <v>1</v>
      </c>
      <c r="S211">
        <f t="shared" si="34"/>
        <v>7</v>
      </c>
    </row>
    <row r="212" spans="1:19" x14ac:dyDescent="0.2">
      <c r="A212">
        <v>211</v>
      </c>
      <c r="B212">
        <v>500</v>
      </c>
      <c r="C212">
        <v>10</v>
      </c>
      <c r="D212" s="4">
        <v>1E-3</v>
      </c>
      <c r="E212">
        <v>20</v>
      </c>
      <c r="F212">
        <v>100</v>
      </c>
      <c r="G212" s="3">
        <v>0.5</v>
      </c>
      <c r="H212">
        <v>0.05</v>
      </c>
      <c r="I212" t="s">
        <v>159</v>
      </c>
      <c r="J212" t="s">
        <v>117</v>
      </c>
      <c r="K212">
        <f t="shared" si="27"/>
        <v>1</v>
      </c>
      <c r="L212">
        <f t="shared" si="28"/>
        <v>1</v>
      </c>
      <c r="M212">
        <f t="shared" si="29"/>
        <v>1</v>
      </c>
      <c r="N212">
        <f t="shared" si="30"/>
        <v>1</v>
      </c>
      <c r="O212">
        <f t="shared" si="31"/>
        <v>1</v>
      </c>
      <c r="P212">
        <f t="shared" si="32"/>
        <v>1</v>
      </c>
      <c r="Q212">
        <f t="shared" si="35"/>
        <v>1</v>
      </c>
      <c r="R212">
        <f t="shared" si="33"/>
        <v>1</v>
      </c>
      <c r="S212">
        <f t="shared" si="34"/>
        <v>8</v>
      </c>
    </row>
    <row r="213" spans="1:19" x14ac:dyDescent="0.2">
      <c r="A213">
        <v>212</v>
      </c>
      <c r="B213">
        <v>50</v>
      </c>
      <c r="C213">
        <v>1</v>
      </c>
      <c r="D213">
        <v>1</v>
      </c>
      <c r="E213">
        <v>20</v>
      </c>
      <c r="F213">
        <v>100</v>
      </c>
      <c r="G213">
        <v>500</v>
      </c>
      <c r="H213">
        <v>0</v>
      </c>
      <c r="I213">
        <v>1</v>
      </c>
      <c r="J213" t="s">
        <v>123</v>
      </c>
      <c r="K213">
        <f t="shared" si="27"/>
        <v>0</v>
      </c>
      <c r="L213">
        <f t="shared" si="28"/>
        <v>0</v>
      </c>
      <c r="M213">
        <f t="shared" si="29"/>
        <v>0</v>
      </c>
      <c r="N213">
        <f t="shared" si="30"/>
        <v>1</v>
      </c>
      <c r="O213">
        <f t="shared" si="31"/>
        <v>1</v>
      </c>
      <c r="P213">
        <f t="shared" si="32"/>
        <v>0</v>
      </c>
      <c r="Q213">
        <f t="shared" si="35"/>
        <v>0</v>
      </c>
      <c r="R213">
        <f t="shared" si="33"/>
        <v>0</v>
      </c>
      <c r="S213">
        <f t="shared" si="34"/>
        <v>2</v>
      </c>
    </row>
    <row r="214" spans="1:19" x14ac:dyDescent="0.2">
      <c r="A214">
        <v>213</v>
      </c>
      <c r="B214">
        <v>4</v>
      </c>
      <c r="C214">
        <v>1</v>
      </c>
      <c r="D214">
        <v>1</v>
      </c>
      <c r="E214">
        <v>5</v>
      </c>
      <c r="F214">
        <v>1</v>
      </c>
      <c r="G214" t="s">
        <v>1089</v>
      </c>
      <c r="H214">
        <v>0.1</v>
      </c>
      <c r="I214">
        <v>100</v>
      </c>
      <c r="J214" t="s">
        <v>117</v>
      </c>
      <c r="K214">
        <f t="shared" si="27"/>
        <v>0</v>
      </c>
      <c r="L214">
        <f t="shared" si="28"/>
        <v>0</v>
      </c>
      <c r="M214">
        <f t="shared" si="29"/>
        <v>0</v>
      </c>
      <c r="N214">
        <f t="shared" si="30"/>
        <v>0</v>
      </c>
      <c r="O214">
        <f t="shared" si="31"/>
        <v>0</v>
      </c>
      <c r="P214">
        <f t="shared" si="32"/>
        <v>0</v>
      </c>
      <c r="Q214">
        <f t="shared" si="35"/>
        <v>0</v>
      </c>
      <c r="R214">
        <f t="shared" si="33"/>
        <v>0</v>
      </c>
      <c r="S214">
        <f t="shared" si="34"/>
        <v>0</v>
      </c>
    </row>
    <row r="215" spans="1:19" x14ac:dyDescent="0.2">
      <c r="A215">
        <v>214</v>
      </c>
      <c r="B215">
        <v>3</v>
      </c>
      <c r="C215">
        <v>10</v>
      </c>
      <c r="D215">
        <v>0.1</v>
      </c>
      <c r="E215">
        <v>20</v>
      </c>
      <c r="F215">
        <v>100</v>
      </c>
      <c r="G215" t="s">
        <v>1095</v>
      </c>
      <c r="H215">
        <v>0.1</v>
      </c>
      <c r="I215">
        <v>5</v>
      </c>
      <c r="J215" t="s">
        <v>128</v>
      </c>
      <c r="K215">
        <f t="shared" si="27"/>
        <v>0</v>
      </c>
      <c r="L215">
        <f t="shared" si="28"/>
        <v>1</v>
      </c>
      <c r="M215">
        <f t="shared" si="29"/>
        <v>1</v>
      </c>
      <c r="N215">
        <f t="shared" si="30"/>
        <v>1</v>
      </c>
      <c r="O215">
        <f t="shared" si="31"/>
        <v>1</v>
      </c>
      <c r="P215">
        <f t="shared" si="32"/>
        <v>0</v>
      </c>
      <c r="Q215">
        <f t="shared" si="35"/>
        <v>0</v>
      </c>
      <c r="R215">
        <f t="shared" si="33"/>
        <v>1</v>
      </c>
      <c r="S215">
        <f t="shared" si="34"/>
        <v>5</v>
      </c>
    </row>
    <row r="216" spans="1:19" x14ac:dyDescent="0.2">
      <c r="A216">
        <v>215</v>
      </c>
      <c r="B216">
        <v>500</v>
      </c>
      <c r="C216">
        <v>10</v>
      </c>
      <c r="D216" s="4">
        <v>1E-3</v>
      </c>
      <c r="E216">
        <v>20</v>
      </c>
      <c r="F216">
        <v>100</v>
      </c>
      <c r="G216" s="3">
        <v>0.19</v>
      </c>
      <c r="H216">
        <v>0.05</v>
      </c>
      <c r="I216" t="s">
        <v>159</v>
      </c>
      <c r="J216" t="s">
        <v>135</v>
      </c>
      <c r="K216">
        <f t="shared" si="27"/>
        <v>1</v>
      </c>
      <c r="L216">
        <f t="shared" si="28"/>
        <v>1</v>
      </c>
      <c r="M216">
        <f t="shared" si="29"/>
        <v>1</v>
      </c>
      <c r="N216">
        <f t="shared" si="30"/>
        <v>1</v>
      </c>
      <c r="O216">
        <f t="shared" si="31"/>
        <v>1</v>
      </c>
      <c r="P216">
        <f t="shared" si="32"/>
        <v>0</v>
      </c>
      <c r="Q216">
        <f t="shared" si="35"/>
        <v>1</v>
      </c>
      <c r="R216">
        <f t="shared" si="33"/>
        <v>1</v>
      </c>
      <c r="S216">
        <f t="shared" si="34"/>
        <v>7</v>
      </c>
    </row>
    <row r="217" spans="1:19" x14ac:dyDescent="0.2">
      <c r="A217">
        <v>216</v>
      </c>
      <c r="B217">
        <v>500</v>
      </c>
      <c r="C217">
        <v>10</v>
      </c>
      <c r="D217">
        <v>0.1</v>
      </c>
      <c r="E217">
        <v>20</v>
      </c>
      <c r="F217">
        <v>100</v>
      </c>
      <c r="G217" s="3">
        <v>0.9</v>
      </c>
      <c r="H217">
        <v>0.1</v>
      </c>
      <c r="I217">
        <v>100</v>
      </c>
      <c r="J217" t="s">
        <v>117</v>
      </c>
      <c r="K217">
        <f t="shared" si="27"/>
        <v>1</v>
      </c>
      <c r="L217">
        <f t="shared" si="28"/>
        <v>1</v>
      </c>
      <c r="M217">
        <f t="shared" si="29"/>
        <v>1</v>
      </c>
      <c r="N217">
        <f t="shared" si="30"/>
        <v>1</v>
      </c>
      <c r="O217">
        <f t="shared" si="31"/>
        <v>1</v>
      </c>
      <c r="P217">
        <f t="shared" si="32"/>
        <v>0</v>
      </c>
      <c r="Q217">
        <f t="shared" si="35"/>
        <v>0</v>
      </c>
      <c r="R217">
        <f t="shared" si="33"/>
        <v>0</v>
      </c>
      <c r="S217">
        <f t="shared" si="34"/>
        <v>5</v>
      </c>
    </row>
    <row r="218" spans="1:19" x14ac:dyDescent="0.2">
      <c r="A218">
        <v>217</v>
      </c>
      <c r="B218">
        <v>500</v>
      </c>
      <c r="C218" s="3">
        <v>0.01</v>
      </c>
      <c r="D218" t="s">
        <v>1108</v>
      </c>
      <c r="E218" t="s">
        <v>1109</v>
      </c>
      <c r="F218">
        <v>100</v>
      </c>
      <c r="G218" t="s">
        <v>625</v>
      </c>
      <c r="H218" t="s">
        <v>241</v>
      </c>
      <c r="I218" t="s">
        <v>164</v>
      </c>
      <c r="J218" t="s">
        <v>123</v>
      </c>
      <c r="K218">
        <f t="shared" si="27"/>
        <v>1</v>
      </c>
      <c r="L218">
        <f t="shared" si="28"/>
        <v>0</v>
      </c>
      <c r="M218">
        <f t="shared" si="29"/>
        <v>0</v>
      </c>
      <c r="N218">
        <f t="shared" si="30"/>
        <v>0</v>
      </c>
      <c r="O218">
        <f t="shared" si="31"/>
        <v>1</v>
      </c>
      <c r="P218">
        <f t="shared" si="32"/>
        <v>0</v>
      </c>
      <c r="Q218">
        <f t="shared" si="35"/>
        <v>0</v>
      </c>
      <c r="R218">
        <f t="shared" si="33"/>
        <v>0</v>
      </c>
      <c r="S218">
        <f t="shared" si="34"/>
        <v>2</v>
      </c>
    </row>
    <row r="219" spans="1:19" x14ac:dyDescent="0.2">
      <c r="A219">
        <v>218</v>
      </c>
      <c r="B219">
        <v>500</v>
      </c>
      <c r="C219">
        <v>10</v>
      </c>
      <c r="D219" s="4">
        <v>1E-3</v>
      </c>
      <c r="E219">
        <v>20</v>
      </c>
      <c r="F219">
        <v>100</v>
      </c>
      <c r="G219" s="3">
        <v>0.09</v>
      </c>
      <c r="H219">
        <v>0.5</v>
      </c>
      <c r="I219" t="s">
        <v>159</v>
      </c>
      <c r="J219" t="s">
        <v>135</v>
      </c>
      <c r="K219">
        <f t="shared" si="27"/>
        <v>1</v>
      </c>
      <c r="L219">
        <f t="shared" si="28"/>
        <v>1</v>
      </c>
      <c r="M219">
        <f t="shared" si="29"/>
        <v>1</v>
      </c>
      <c r="N219">
        <f t="shared" si="30"/>
        <v>1</v>
      </c>
      <c r="O219">
        <f t="shared" si="31"/>
        <v>1</v>
      </c>
      <c r="P219">
        <f t="shared" si="32"/>
        <v>0</v>
      </c>
      <c r="Q219">
        <f t="shared" si="35"/>
        <v>0</v>
      </c>
      <c r="R219">
        <f t="shared" si="33"/>
        <v>1</v>
      </c>
      <c r="S219">
        <f t="shared" si="34"/>
        <v>6</v>
      </c>
    </row>
    <row r="220" spans="1:19" x14ac:dyDescent="0.2">
      <c r="A220">
        <v>219</v>
      </c>
      <c r="B220">
        <v>500</v>
      </c>
      <c r="C220">
        <v>10</v>
      </c>
      <c r="D220">
        <v>0.1</v>
      </c>
      <c r="E220">
        <v>20</v>
      </c>
      <c r="F220">
        <v>100</v>
      </c>
      <c r="G220" s="3">
        <v>0.9</v>
      </c>
      <c r="H220">
        <v>0.05</v>
      </c>
      <c r="I220" t="s">
        <v>159</v>
      </c>
      <c r="J220" t="s">
        <v>117</v>
      </c>
      <c r="K220">
        <f t="shared" si="27"/>
        <v>1</v>
      </c>
      <c r="L220">
        <f t="shared" si="28"/>
        <v>1</v>
      </c>
      <c r="M220">
        <f t="shared" si="29"/>
        <v>1</v>
      </c>
      <c r="N220">
        <f t="shared" si="30"/>
        <v>1</v>
      </c>
      <c r="O220">
        <f t="shared" si="31"/>
        <v>1</v>
      </c>
      <c r="P220">
        <f t="shared" si="32"/>
        <v>0</v>
      </c>
      <c r="Q220">
        <f t="shared" si="35"/>
        <v>1</v>
      </c>
      <c r="R220">
        <f t="shared" si="33"/>
        <v>1</v>
      </c>
      <c r="S220">
        <f t="shared" si="34"/>
        <v>7</v>
      </c>
    </row>
    <row r="221" spans="1:19" x14ac:dyDescent="0.2">
      <c r="A221">
        <v>220</v>
      </c>
      <c r="B221">
        <v>500</v>
      </c>
      <c r="C221">
        <v>10</v>
      </c>
      <c r="D221">
        <v>0.1</v>
      </c>
      <c r="E221">
        <v>20</v>
      </c>
      <c r="F221">
        <v>100</v>
      </c>
      <c r="G221" s="3">
        <v>0.5</v>
      </c>
      <c r="H221">
        <v>0.05</v>
      </c>
      <c r="I221">
        <v>5</v>
      </c>
      <c r="J221" t="s">
        <v>117</v>
      </c>
      <c r="K221">
        <f t="shared" si="27"/>
        <v>1</v>
      </c>
      <c r="L221">
        <f t="shared" si="28"/>
        <v>1</v>
      </c>
      <c r="M221">
        <f t="shared" si="29"/>
        <v>1</v>
      </c>
      <c r="N221">
        <f t="shared" si="30"/>
        <v>1</v>
      </c>
      <c r="O221">
        <f t="shared" si="31"/>
        <v>1</v>
      </c>
      <c r="P221">
        <f t="shared" si="32"/>
        <v>1</v>
      </c>
      <c r="Q221">
        <f t="shared" si="35"/>
        <v>1</v>
      </c>
      <c r="R221">
        <f t="shared" si="33"/>
        <v>1</v>
      </c>
      <c r="S221">
        <f t="shared" si="34"/>
        <v>8</v>
      </c>
    </row>
    <row r="222" spans="1:19" x14ac:dyDescent="0.2">
      <c r="A222">
        <v>221</v>
      </c>
      <c r="B222">
        <v>1</v>
      </c>
      <c r="C222">
        <v>20</v>
      </c>
      <c r="D222">
        <v>0.5</v>
      </c>
      <c r="E222" s="3">
        <v>0.2</v>
      </c>
      <c r="F222">
        <v>10</v>
      </c>
      <c r="G222" s="3">
        <v>0.2</v>
      </c>
      <c r="H222">
        <v>0.1</v>
      </c>
      <c r="I222">
        <v>100</v>
      </c>
      <c r="J222" t="s">
        <v>128</v>
      </c>
      <c r="K222">
        <f t="shared" si="27"/>
        <v>0</v>
      </c>
      <c r="L222">
        <f t="shared" si="28"/>
        <v>0</v>
      </c>
      <c r="M222">
        <f t="shared" si="29"/>
        <v>0</v>
      </c>
      <c r="N222">
        <f t="shared" si="30"/>
        <v>1</v>
      </c>
      <c r="O222">
        <f t="shared" si="31"/>
        <v>0</v>
      </c>
      <c r="P222">
        <f t="shared" si="32"/>
        <v>0</v>
      </c>
      <c r="Q222">
        <f t="shared" si="35"/>
        <v>0</v>
      </c>
      <c r="R222">
        <f t="shared" si="33"/>
        <v>0</v>
      </c>
      <c r="S222">
        <f t="shared" si="34"/>
        <v>1</v>
      </c>
    </row>
    <row r="223" spans="1:19" x14ac:dyDescent="0.2">
      <c r="A223">
        <v>222</v>
      </c>
      <c r="B223">
        <v>500</v>
      </c>
      <c r="C223">
        <v>10</v>
      </c>
      <c r="D223">
        <v>1</v>
      </c>
      <c r="E223">
        <v>20</v>
      </c>
      <c r="F223">
        <v>100</v>
      </c>
      <c r="G223">
        <v>9</v>
      </c>
      <c r="H223">
        <v>0.05</v>
      </c>
      <c r="I223">
        <v>5</v>
      </c>
      <c r="J223" t="s">
        <v>135</v>
      </c>
      <c r="K223">
        <f t="shared" si="27"/>
        <v>1</v>
      </c>
      <c r="L223">
        <f t="shared" si="28"/>
        <v>1</v>
      </c>
      <c r="M223">
        <f t="shared" si="29"/>
        <v>0</v>
      </c>
      <c r="N223">
        <f t="shared" si="30"/>
        <v>1</v>
      </c>
      <c r="O223">
        <f t="shared" si="31"/>
        <v>1</v>
      </c>
      <c r="P223">
        <f t="shared" si="32"/>
        <v>0</v>
      </c>
      <c r="Q223">
        <f t="shared" si="35"/>
        <v>1</v>
      </c>
      <c r="R223">
        <f t="shared" si="33"/>
        <v>1</v>
      </c>
      <c r="S223">
        <f t="shared" si="34"/>
        <v>6</v>
      </c>
    </row>
    <row r="224" spans="1:19" x14ac:dyDescent="0.2">
      <c r="A224">
        <v>223</v>
      </c>
      <c r="B224">
        <v>500</v>
      </c>
      <c r="C224">
        <v>10</v>
      </c>
      <c r="D224">
        <v>0.1</v>
      </c>
      <c r="E224">
        <v>20</v>
      </c>
      <c r="F224">
        <v>100</v>
      </c>
      <c r="G224" s="3">
        <v>0.9</v>
      </c>
      <c r="H224" s="5">
        <v>0.05</v>
      </c>
      <c r="I224" t="s">
        <v>159</v>
      </c>
      <c r="J224" t="s">
        <v>123</v>
      </c>
      <c r="K224">
        <f t="shared" si="27"/>
        <v>1</v>
      </c>
      <c r="L224">
        <f t="shared" si="28"/>
        <v>1</v>
      </c>
      <c r="M224">
        <f t="shared" si="29"/>
        <v>1</v>
      </c>
      <c r="N224">
        <f t="shared" si="30"/>
        <v>1</v>
      </c>
      <c r="O224">
        <f t="shared" si="31"/>
        <v>1</v>
      </c>
      <c r="P224">
        <f t="shared" si="32"/>
        <v>0</v>
      </c>
      <c r="Q224">
        <f t="shared" si="35"/>
        <v>1</v>
      </c>
      <c r="R224">
        <f t="shared" si="33"/>
        <v>1</v>
      </c>
      <c r="S224">
        <f t="shared" si="34"/>
        <v>7</v>
      </c>
    </row>
    <row r="225" spans="1:19" x14ac:dyDescent="0.2">
      <c r="A225">
        <v>224</v>
      </c>
      <c r="B225">
        <v>500</v>
      </c>
      <c r="C225">
        <v>10</v>
      </c>
      <c r="D225" s="4">
        <v>1E-4</v>
      </c>
      <c r="E225" s="3">
        <v>0.2</v>
      </c>
      <c r="F225">
        <v>100</v>
      </c>
      <c r="G225" s="3">
        <v>0.5</v>
      </c>
      <c r="H225" s="5">
        <v>0.05</v>
      </c>
      <c r="I225">
        <v>100</v>
      </c>
      <c r="J225" t="s">
        <v>128</v>
      </c>
      <c r="K225">
        <f t="shared" si="27"/>
        <v>1</v>
      </c>
      <c r="L225">
        <f t="shared" si="28"/>
        <v>1</v>
      </c>
      <c r="M225">
        <f t="shared" si="29"/>
        <v>0</v>
      </c>
      <c r="N225">
        <f t="shared" si="30"/>
        <v>1</v>
      </c>
      <c r="O225">
        <f t="shared" si="31"/>
        <v>1</v>
      </c>
      <c r="P225">
        <f t="shared" si="32"/>
        <v>1</v>
      </c>
      <c r="Q225">
        <f t="shared" si="35"/>
        <v>1</v>
      </c>
      <c r="R225">
        <f t="shared" si="33"/>
        <v>0</v>
      </c>
      <c r="S225">
        <f t="shared" si="34"/>
        <v>6</v>
      </c>
    </row>
    <row r="226" spans="1:19" x14ac:dyDescent="0.2">
      <c r="A226">
        <v>225</v>
      </c>
      <c r="B226">
        <v>500</v>
      </c>
      <c r="C226">
        <v>1</v>
      </c>
      <c r="D226">
        <v>0.01</v>
      </c>
      <c r="E226">
        <v>20</v>
      </c>
      <c r="F226">
        <v>1</v>
      </c>
      <c r="G226" s="3">
        <v>0.1</v>
      </c>
      <c r="H226">
        <v>0.1</v>
      </c>
      <c r="I226" t="s">
        <v>164</v>
      </c>
      <c r="J226" t="s">
        <v>128</v>
      </c>
      <c r="K226">
        <f t="shared" si="27"/>
        <v>1</v>
      </c>
      <c r="L226">
        <f t="shared" si="28"/>
        <v>0</v>
      </c>
      <c r="M226">
        <f t="shared" si="29"/>
        <v>0</v>
      </c>
      <c r="N226">
        <f t="shared" si="30"/>
        <v>1</v>
      </c>
      <c r="O226">
        <f t="shared" si="31"/>
        <v>0</v>
      </c>
      <c r="P226">
        <f t="shared" si="32"/>
        <v>0</v>
      </c>
      <c r="Q226">
        <f t="shared" si="35"/>
        <v>0</v>
      </c>
      <c r="R226">
        <f t="shared" si="33"/>
        <v>0</v>
      </c>
      <c r="S226">
        <f t="shared" si="34"/>
        <v>2</v>
      </c>
    </row>
    <row r="227" spans="1:19" x14ac:dyDescent="0.2">
      <c r="A227">
        <v>226</v>
      </c>
      <c r="B227">
        <v>600</v>
      </c>
      <c r="C227">
        <v>10</v>
      </c>
      <c r="D227">
        <v>1</v>
      </c>
      <c r="E227">
        <v>20</v>
      </c>
      <c r="F227">
        <v>100</v>
      </c>
      <c r="G227" s="3">
        <v>0.02</v>
      </c>
      <c r="H227" t="s">
        <v>134</v>
      </c>
      <c r="I227" t="s">
        <v>159</v>
      </c>
      <c r="J227" t="s">
        <v>135</v>
      </c>
      <c r="K227">
        <f t="shared" si="27"/>
        <v>0</v>
      </c>
      <c r="L227">
        <f t="shared" si="28"/>
        <v>1</v>
      </c>
      <c r="M227">
        <f t="shared" si="29"/>
        <v>0</v>
      </c>
      <c r="N227">
        <f t="shared" si="30"/>
        <v>1</v>
      </c>
      <c r="O227">
        <f t="shared" si="31"/>
        <v>1</v>
      </c>
      <c r="P227">
        <f t="shared" si="32"/>
        <v>0</v>
      </c>
      <c r="Q227">
        <f t="shared" si="35"/>
        <v>1</v>
      </c>
      <c r="R227">
        <f t="shared" si="33"/>
        <v>1</v>
      </c>
      <c r="S227">
        <f t="shared" si="34"/>
        <v>5</v>
      </c>
    </row>
    <row r="228" spans="1:19" x14ac:dyDescent="0.2">
      <c r="A228">
        <v>227</v>
      </c>
      <c r="B228" t="s">
        <v>1153</v>
      </c>
      <c r="C228">
        <v>10</v>
      </c>
      <c r="D228">
        <v>10</v>
      </c>
      <c r="E228">
        <v>5</v>
      </c>
      <c r="F228">
        <v>100</v>
      </c>
      <c r="G228" t="s">
        <v>1154</v>
      </c>
      <c r="H228">
        <v>10</v>
      </c>
      <c r="I228" t="s">
        <v>159</v>
      </c>
      <c r="J228" t="s">
        <v>128</v>
      </c>
      <c r="K228">
        <f t="shared" si="27"/>
        <v>0</v>
      </c>
      <c r="L228">
        <f t="shared" si="28"/>
        <v>1</v>
      </c>
      <c r="M228">
        <f t="shared" si="29"/>
        <v>0</v>
      </c>
      <c r="N228">
        <f t="shared" si="30"/>
        <v>0</v>
      </c>
      <c r="O228">
        <f t="shared" si="31"/>
        <v>1</v>
      </c>
      <c r="P228">
        <f t="shared" si="32"/>
        <v>0</v>
      </c>
      <c r="Q228">
        <f t="shared" si="35"/>
        <v>0</v>
      </c>
      <c r="R228">
        <f t="shared" si="33"/>
        <v>1</v>
      </c>
      <c r="S228">
        <f t="shared" si="34"/>
        <v>3</v>
      </c>
    </row>
    <row r="229" spans="1:19" x14ac:dyDescent="0.2">
      <c r="A229">
        <v>228</v>
      </c>
      <c r="B229">
        <v>500</v>
      </c>
      <c r="C229">
        <v>10</v>
      </c>
      <c r="D229">
        <v>0.1</v>
      </c>
      <c r="E229">
        <v>20</v>
      </c>
      <c r="F229">
        <v>100</v>
      </c>
      <c r="G229" s="3">
        <v>0.9</v>
      </c>
      <c r="H229" s="5">
        <v>0.05</v>
      </c>
      <c r="I229" t="s">
        <v>159</v>
      </c>
      <c r="J229" t="s">
        <v>123</v>
      </c>
      <c r="K229">
        <f t="shared" si="27"/>
        <v>1</v>
      </c>
      <c r="L229">
        <f t="shared" si="28"/>
        <v>1</v>
      </c>
      <c r="M229">
        <f t="shared" si="29"/>
        <v>1</v>
      </c>
      <c r="N229">
        <f t="shared" si="30"/>
        <v>1</v>
      </c>
      <c r="O229">
        <f t="shared" si="31"/>
        <v>1</v>
      </c>
      <c r="P229">
        <f t="shared" si="32"/>
        <v>0</v>
      </c>
      <c r="Q229">
        <f t="shared" si="35"/>
        <v>1</v>
      </c>
      <c r="R229">
        <f t="shared" si="33"/>
        <v>1</v>
      </c>
      <c r="S229">
        <f t="shared" si="34"/>
        <v>7</v>
      </c>
    </row>
    <row r="230" spans="1:19" x14ac:dyDescent="0.2">
      <c r="A230">
        <v>229</v>
      </c>
      <c r="B230">
        <v>500</v>
      </c>
      <c r="C230">
        <v>10</v>
      </c>
      <c r="D230" t="s">
        <v>1164</v>
      </c>
      <c r="E230">
        <v>20</v>
      </c>
      <c r="F230">
        <v>100</v>
      </c>
      <c r="G230" t="s">
        <v>1165</v>
      </c>
      <c r="H230">
        <v>0.05</v>
      </c>
      <c r="I230">
        <v>100</v>
      </c>
      <c r="J230" t="s">
        <v>128</v>
      </c>
      <c r="K230">
        <f t="shared" si="27"/>
        <v>1</v>
      </c>
      <c r="L230">
        <f t="shared" si="28"/>
        <v>1</v>
      </c>
      <c r="M230">
        <f t="shared" si="29"/>
        <v>0</v>
      </c>
      <c r="N230">
        <f t="shared" si="30"/>
        <v>1</v>
      </c>
      <c r="O230">
        <f t="shared" si="31"/>
        <v>1</v>
      </c>
      <c r="P230">
        <f t="shared" si="32"/>
        <v>0</v>
      </c>
      <c r="Q230">
        <f t="shared" si="35"/>
        <v>1</v>
      </c>
      <c r="R230">
        <f t="shared" si="33"/>
        <v>0</v>
      </c>
      <c r="S230">
        <f t="shared" si="34"/>
        <v>5</v>
      </c>
    </row>
    <row r="231" spans="1:19" x14ac:dyDescent="0.2">
      <c r="A231">
        <v>230</v>
      </c>
      <c r="B231">
        <v>500</v>
      </c>
      <c r="C231">
        <v>10</v>
      </c>
      <c r="D231">
        <v>0.1</v>
      </c>
      <c r="E231">
        <v>20</v>
      </c>
      <c r="F231">
        <v>100</v>
      </c>
      <c r="G231">
        <v>50</v>
      </c>
      <c r="H231">
        <v>0.05</v>
      </c>
      <c r="I231" t="s">
        <v>159</v>
      </c>
      <c r="J231" t="s">
        <v>123</v>
      </c>
      <c r="K231">
        <f t="shared" si="27"/>
        <v>1</v>
      </c>
      <c r="L231">
        <f t="shared" si="28"/>
        <v>1</v>
      </c>
      <c r="M231">
        <f t="shared" si="29"/>
        <v>1</v>
      </c>
      <c r="N231">
        <f t="shared" si="30"/>
        <v>1</v>
      </c>
      <c r="O231">
        <f t="shared" si="31"/>
        <v>1</v>
      </c>
      <c r="P231">
        <f t="shared" si="32"/>
        <v>1</v>
      </c>
      <c r="Q231">
        <f t="shared" si="35"/>
        <v>1</v>
      </c>
      <c r="R231">
        <f t="shared" si="33"/>
        <v>1</v>
      </c>
      <c r="S231">
        <f t="shared" si="34"/>
        <v>8</v>
      </c>
    </row>
    <row r="232" spans="1:19" x14ac:dyDescent="0.2">
      <c r="A232">
        <v>231</v>
      </c>
      <c r="B232">
        <v>500</v>
      </c>
      <c r="C232">
        <v>10</v>
      </c>
      <c r="D232" s="3">
        <v>0.01</v>
      </c>
      <c r="E232" s="3">
        <v>0.2</v>
      </c>
      <c r="F232">
        <v>100</v>
      </c>
      <c r="G232" s="3">
        <v>0.09</v>
      </c>
      <c r="H232" s="5">
        <v>0.1</v>
      </c>
      <c r="I232" t="s">
        <v>159</v>
      </c>
      <c r="J232" t="s">
        <v>135</v>
      </c>
      <c r="K232">
        <f t="shared" si="27"/>
        <v>1</v>
      </c>
      <c r="L232">
        <f t="shared" si="28"/>
        <v>1</v>
      </c>
      <c r="M232">
        <f t="shared" si="29"/>
        <v>0</v>
      </c>
      <c r="N232">
        <f t="shared" si="30"/>
        <v>1</v>
      </c>
      <c r="O232">
        <f t="shared" si="31"/>
        <v>1</v>
      </c>
      <c r="P232">
        <f t="shared" si="32"/>
        <v>0</v>
      </c>
      <c r="Q232">
        <f t="shared" si="35"/>
        <v>0</v>
      </c>
      <c r="R232">
        <f t="shared" si="33"/>
        <v>1</v>
      </c>
      <c r="S232">
        <f t="shared" si="34"/>
        <v>5</v>
      </c>
    </row>
    <row r="233" spans="1:19" x14ac:dyDescent="0.2">
      <c r="A233">
        <v>232</v>
      </c>
      <c r="B233">
        <v>500</v>
      </c>
      <c r="C233">
        <v>10</v>
      </c>
      <c r="D233">
        <v>0.1</v>
      </c>
      <c r="E233">
        <v>20</v>
      </c>
      <c r="F233">
        <v>100</v>
      </c>
      <c r="G233" s="3">
        <v>0.9</v>
      </c>
      <c r="H233">
        <v>0.1</v>
      </c>
      <c r="I233" t="s">
        <v>159</v>
      </c>
      <c r="J233" t="s">
        <v>123</v>
      </c>
      <c r="K233">
        <f t="shared" si="27"/>
        <v>1</v>
      </c>
      <c r="L233">
        <f t="shared" si="28"/>
        <v>1</v>
      </c>
      <c r="M233">
        <f t="shared" si="29"/>
        <v>1</v>
      </c>
      <c r="N233">
        <f t="shared" si="30"/>
        <v>1</v>
      </c>
      <c r="O233">
        <f t="shared" si="31"/>
        <v>1</v>
      </c>
      <c r="P233">
        <f t="shared" si="32"/>
        <v>0</v>
      </c>
      <c r="Q233">
        <f t="shared" si="35"/>
        <v>0</v>
      </c>
      <c r="R233">
        <f t="shared" si="33"/>
        <v>1</v>
      </c>
      <c r="S233">
        <f t="shared" si="34"/>
        <v>6</v>
      </c>
    </row>
    <row r="234" spans="1:19" x14ac:dyDescent="0.2">
      <c r="A234">
        <v>233</v>
      </c>
      <c r="B234">
        <v>500</v>
      </c>
      <c r="C234">
        <v>10</v>
      </c>
      <c r="D234">
        <v>0.1</v>
      </c>
      <c r="E234">
        <v>20</v>
      </c>
      <c r="F234">
        <v>100</v>
      </c>
      <c r="G234">
        <v>1</v>
      </c>
      <c r="H234" t="s">
        <v>241</v>
      </c>
      <c r="I234" t="s">
        <v>164</v>
      </c>
      <c r="J234" t="s">
        <v>123</v>
      </c>
      <c r="K234">
        <f t="shared" si="27"/>
        <v>1</v>
      </c>
      <c r="L234">
        <f t="shared" si="28"/>
        <v>1</v>
      </c>
      <c r="M234">
        <f t="shared" si="29"/>
        <v>1</v>
      </c>
      <c r="N234">
        <f t="shared" si="30"/>
        <v>1</v>
      </c>
      <c r="O234">
        <f t="shared" si="31"/>
        <v>1</v>
      </c>
      <c r="P234">
        <f t="shared" si="32"/>
        <v>0</v>
      </c>
      <c r="Q234">
        <f t="shared" si="35"/>
        <v>0</v>
      </c>
      <c r="R234">
        <f t="shared" si="33"/>
        <v>0</v>
      </c>
      <c r="S234">
        <f t="shared" si="34"/>
        <v>5</v>
      </c>
    </row>
    <row r="235" spans="1:19" x14ac:dyDescent="0.2">
      <c r="A235">
        <v>234</v>
      </c>
      <c r="B235">
        <v>500</v>
      </c>
      <c r="C235">
        <v>10</v>
      </c>
      <c r="D235">
        <v>0.1</v>
      </c>
      <c r="E235">
        <v>20</v>
      </c>
      <c r="F235">
        <v>100</v>
      </c>
      <c r="G235">
        <v>10</v>
      </c>
      <c r="H235">
        <v>0.05</v>
      </c>
      <c r="I235">
        <v>5</v>
      </c>
      <c r="J235" t="s">
        <v>123</v>
      </c>
      <c r="K235">
        <f t="shared" si="27"/>
        <v>1</v>
      </c>
      <c r="L235">
        <f t="shared" si="28"/>
        <v>1</v>
      </c>
      <c r="M235">
        <f t="shared" si="29"/>
        <v>1</v>
      </c>
      <c r="N235">
        <f t="shared" si="30"/>
        <v>1</v>
      </c>
      <c r="O235">
        <f t="shared" si="31"/>
        <v>1</v>
      </c>
      <c r="P235">
        <f t="shared" si="32"/>
        <v>0</v>
      </c>
      <c r="Q235">
        <f t="shared" si="35"/>
        <v>1</v>
      </c>
      <c r="R235">
        <f t="shared" si="33"/>
        <v>1</v>
      </c>
      <c r="S235">
        <f t="shared" si="34"/>
        <v>7</v>
      </c>
    </row>
    <row r="236" spans="1:19" x14ac:dyDescent="0.2">
      <c r="A236">
        <v>235</v>
      </c>
      <c r="B236">
        <v>500</v>
      </c>
      <c r="C236">
        <v>10</v>
      </c>
      <c r="D236">
        <v>10</v>
      </c>
      <c r="E236">
        <v>20</v>
      </c>
      <c r="F236">
        <v>10</v>
      </c>
      <c r="G236">
        <v>75</v>
      </c>
      <c r="H236">
        <v>0.1</v>
      </c>
      <c r="I236">
        <v>5</v>
      </c>
      <c r="J236" t="s">
        <v>123</v>
      </c>
      <c r="K236">
        <f t="shared" si="27"/>
        <v>1</v>
      </c>
      <c r="L236">
        <f t="shared" si="28"/>
        <v>1</v>
      </c>
      <c r="M236">
        <f t="shared" si="29"/>
        <v>0</v>
      </c>
      <c r="N236">
        <f t="shared" si="30"/>
        <v>1</v>
      </c>
      <c r="O236">
        <f t="shared" si="31"/>
        <v>0</v>
      </c>
      <c r="P236">
        <f t="shared" si="32"/>
        <v>0</v>
      </c>
      <c r="Q236">
        <f t="shared" si="35"/>
        <v>0</v>
      </c>
      <c r="R236">
        <f t="shared" si="33"/>
        <v>1</v>
      </c>
      <c r="S236">
        <f t="shared" si="34"/>
        <v>4</v>
      </c>
    </row>
    <row r="237" spans="1:19" x14ac:dyDescent="0.2">
      <c r="A237">
        <v>236</v>
      </c>
      <c r="B237">
        <v>500</v>
      </c>
      <c r="C237">
        <v>10</v>
      </c>
      <c r="D237">
        <v>0.1</v>
      </c>
      <c r="E237">
        <v>20</v>
      </c>
      <c r="F237">
        <v>100</v>
      </c>
      <c r="G237" s="3">
        <v>0.9</v>
      </c>
      <c r="H237">
        <v>0.05</v>
      </c>
      <c r="I237" t="s">
        <v>404</v>
      </c>
      <c r="J237" t="s">
        <v>117</v>
      </c>
      <c r="K237">
        <f t="shared" si="27"/>
        <v>1</v>
      </c>
      <c r="L237">
        <f t="shared" si="28"/>
        <v>1</v>
      </c>
      <c r="M237">
        <f t="shared" si="29"/>
        <v>1</v>
      </c>
      <c r="N237">
        <f t="shared" si="30"/>
        <v>1</v>
      </c>
      <c r="O237">
        <f t="shared" si="31"/>
        <v>1</v>
      </c>
      <c r="P237">
        <f t="shared" si="32"/>
        <v>0</v>
      </c>
      <c r="Q237">
        <f t="shared" si="35"/>
        <v>1</v>
      </c>
      <c r="R237">
        <f t="shared" si="33"/>
        <v>0</v>
      </c>
      <c r="S237">
        <f t="shared" si="34"/>
        <v>6</v>
      </c>
    </row>
    <row r="238" spans="1:19" x14ac:dyDescent="0.2">
      <c r="A238">
        <v>237</v>
      </c>
      <c r="B238">
        <v>500</v>
      </c>
      <c r="C238">
        <v>10</v>
      </c>
      <c r="D238">
        <v>0.1</v>
      </c>
      <c r="E238">
        <v>20</v>
      </c>
      <c r="F238">
        <v>100</v>
      </c>
      <c r="G238" s="3">
        <v>0.5</v>
      </c>
      <c r="H238">
        <v>0.1</v>
      </c>
      <c r="I238" t="s">
        <v>164</v>
      </c>
      <c r="J238" t="s">
        <v>123</v>
      </c>
      <c r="K238">
        <f t="shared" si="27"/>
        <v>1</v>
      </c>
      <c r="L238">
        <f t="shared" si="28"/>
        <v>1</v>
      </c>
      <c r="M238">
        <f t="shared" si="29"/>
        <v>1</v>
      </c>
      <c r="N238">
        <f t="shared" si="30"/>
        <v>1</v>
      </c>
      <c r="O238">
        <f t="shared" si="31"/>
        <v>1</v>
      </c>
      <c r="P238">
        <f t="shared" si="32"/>
        <v>1</v>
      </c>
      <c r="Q238">
        <f t="shared" si="35"/>
        <v>0</v>
      </c>
      <c r="R238">
        <f t="shared" si="33"/>
        <v>0</v>
      </c>
      <c r="S238">
        <f t="shared" si="34"/>
        <v>6</v>
      </c>
    </row>
    <row r="239" spans="1:19" x14ac:dyDescent="0.2">
      <c r="A239">
        <v>238</v>
      </c>
      <c r="B239">
        <v>500</v>
      </c>
      <c r="C239">
        <v>1</v>
      </c>
      <c r="D239">
        <v>10</v>
      </c>
      <c r="E239">
        <v>20</v>
      </c>
      <c r="F239">
        <v>100</v>
      </c>
      <c r="G239">
        <v>20</v>
      </c>
      <c r="H239">
        <v>0.1</v>
      </c>
      <c r="I239">
        <v>100</v>
      </c>
      <c r="J239" t="s">
        <v>117</v>
      </c>
      <c r="K239">
        <f t="shared" si="27"/>
        <v>1</v>
      </c>
      <c r="L239">
        <f t="shared" si="28"/>
        <v>0</v>
      </c>
      <c r="M239">
        <f t="shared" si="29"/>
        <v>0</v>
      </c>
      <c r="N239">
        <f t="shared" si="30"/>
        <v>1</v>
      </c>
      <c r="O239">
        <f t="shared" si="31"/>
        <v>1</v>
      </c>
      <c r="P239">
        <f t="shared" si="32"/>
        <v>0</v>
      </c>
      <c r="Q239">
        <f t="shared" si="35"/>
        <v>0</v>
      </c>
      <c r="R239">
        <f t="shared" si="33"/>
        <v>0</v>
      </c>
      <c r="S239">
        <f t="shared" si="34"/>
        <v>3</v>
      </c>
    </row>
    <row r="240" spans="1:19" x14ac:dyDescent="0.2">
      <c r="A240">
        <v>239</v>
      </c>
      <c r="B240">
        <v>500</v>
      </c>
      <c r="C240" s="4">
        <v>1.0009999999999999</v>
      </c>
      <c r="D240" s="4">
        <v>1E-3</v>
      </c>
      <c r="E240">
        <v>20</v>
      </c>
      <c r="F240">
        <v>100</v>
      </c>
      <c r="G240" s="3">
        <v>0.9</v>
      </c>
      <c r="H240" s="5">
        <v>0.05</v>
      </c>
      <c r="I240" t="s">
        <v>159</v>
      </c>
      <c r="J240" t="s">
        <v>135</v>
      </c>
      <c r="K240">
        <f t="shared" si="27"/>
        <v>1</v>
      </c>
      <c r="L240">
        <f t="shared" si="28"/>
        <v>0</v>
      </c>
      <c r="M240">
        <f t="shared" si="29"/>
        <v>1</v>
      </c>
      <c r="N240">
        <f t="shared" si="30"/>
        <v>1</v>
      </c>
      <c r="O240">
        <f t="shared" si="31"/>
        <v>1</v>
      </c>
      <c r="P240">
        <f t="shared" si="32"/>
        <v>0</v>
      </c>
      <c r="Q240">
        <f t="shared" si="35"/>
        <v>1</v>
      </c>
      <c r="R240">
        <f t="shared" si="33"/>
        <v>1</v>
      </c>
      <c r="S240">
        <f t="shared" si="34"/>
        <v>6</v>
      </c>
    </row>
    <row r="241" spans="1:19" x14ac:dyDescent="0.2">
      <c r="A241">
        <v>240</v>
      </c>
      <c r="B241">
        <v>500</v>
      </c>
      <c r="C241">
        <v>10</v>
      </c>
      <c r="D241">
        <v>1</v>
      </c>
      <c r="E241">
        <v>20</v>
      </c>
      <c r="F241">
        <v>10</v>
      </c>
      <c r="G241" s="3">
        <v>0.09</v>
      </c>
      <c r="H241">
        <v>5</v>
      </c>
      <c r="I241">
        <v>5</v>
      </c>
      <c r="J241" t="s">
        <v>123</v>
      </c>
      <c r="K241">
        <f t="shared" si="27"/>
        <v>1</v>
      </c>
      <c r="L241">
        <f t="shared" si="28"/>
        <v>1</v>
      </c>
      <c r="M241">
        <f t="shared" si="29"/>
        <v>0</v>
      </c>
      <c r="N241">
        <f t="shared" si="30"/>
        <v>1</v>
      </c>
      <c r="O241">
        <f t="shared" si="31"/>
        <v>0</v>
      </c>
      <c r="P241">
        <f t="shared" si="32"/>
        <v>0</v>
      </c>
      <c r="Q241">
        <f t="shared" si="35"/>
        <v>0</v>
      </c>
      <c r="R241">
        <f t="shared" si="33"/>
        <v>1</v>
      </c>
      <c r="S241">
        <f t="shared" si="34"/>
        <v>4</v>
      </c>
    </row>
    <row r="242" spans="1:19" x14ac:dyDescent="0.2">
      <c r="A242">
        <v>241</v>
      </c>
      <c r="B242">
        <v>500</v>
      </c>
      <c r="C242">
        <v>10</v>
      </c>
      <c r="D242">
        <v>0.1</v>
      </c>
      <c r="E242">
        <v>20</v>
      </c>
      <c r="F242">
        <v>100</v>
      </c>
      <c r="G242">
        <v>10</v>
      </c>
      <c r="H242">
        <v>0.1</v>
      </c>
      <c r="I242">
        <v>100</v>
      </c>
      <c r="J242" t="s">
        <v>123</v>
      </c>
      <c r="K242">
        <f t="shared" si="27"/>
        <v>1</v>
      </c>
      <c r="L242">
        <f t="shared" si="28"/>
        <v>1</v>
      </c>
      <c r="M242">
        <f t="shared" si="29"/>
        <v>1</v>
      </c>
      <c r="N242">
        <f t="shared" si="30"/>
        <v>1</v>
      </c>
      <c r="O242">
        <f t="shared" si="31"/>
        <v>1</v>
      </c>
      <c r="P242">
        <f t="shared" si="32"/>
        <v>0</v>
      </c>
      <c r="Q242">
        <f t="shared" si="35"/>
        <v>0</v>
      </c>
      <c r="R242">
        <f t="shared" si="33"/>
        <v>0</v>
      </c>
      <c r="S242">
        <f t="shared" si="34"/>
        <v>5</v>
      </c>
    </row>
    <row r="243" spans="1:19" x14ac:dyDescent="0.2">
      <c r="A243">
        <v>242</v>
      </c>
      <c r="B243">
        <v>500</v>
      </c>
      <c r="C243">
        <v>1</v>
      </c>
      <c r="D243">
        <v>1</v>
      </c>
      <c r="E243">
        <v>80</v>
      </c>
      <c r="F243">
        <v>10</v>
      </c>
      <c r="G243" s="3">
        <v>0.1</v>
      </c>
      <c r="H243">
        <v>1.05</v>
      </c>
      <c r="I243">
        <v>500</v>
      </c>
      <c r="J243" t="s">
        <v>123</v>
      </c>
      <c r="K243">
        <f t="shared" si="27"/>
        <v>1</v>
      </c>
      <c r="L243">
        <f t="shared" si="28"/>
        <v>0</v>
      </c>
      <c r="M243">
        <f t="shared" si="29"/>
        <v>0</v>
      </c>
      <c r="N243">
        <f t="shared" si="30"/>
        <v>0</v>
      </c>
      <c r="O243">
        <f t="shared" si="31"/>
        <v>0</v>
      </c>
      <c r="P243">
        <f t="shared" si="32"/>
        <v>0</v>
      </c>
      <c r="Q243">
        <f t="shared" si="35"/>
        <v>0</v>
      </c>
      <c r="R243">
        <f t="shared" si="33"/>
        <v>0</v>
      </c>
      <c r="S243">
        <f t="shared" si="34"/>
        <v>1</v>
      </c>
    </row>
    <row r="244" spans="1:19" x14ac:dyDescent="0.2">
      <c r="A244">
        <v>243</v>
      </c>
      <c r="B244">
        <v>500</v>
      </c>
      <c r="C244">
        <v>10</v>
      </c>
      <c r="D244">
        <v>0.1</v>
      </c>
      <c r="E244">
        <v>20</v>
      </c>
      <c r="F244">
        <v>100</v>
      </c>
      <c r="G244">
        <v>50</v>
      </c>
      <c r="H244" s="5">
        <v>0.05</v>
      </c>
      <c r="I244">
        <v>5</v>
      </c>
      <c r="J244" t="s">
        <v>128</v>
      </c>
      <c r="K244">
        <f t="shared" si="27"/>
        <v>1</v>
      </c>
      <c r="L244">
        <f t="shared" si="28"/>
        <v>1</v>
      </c>
      <c r="M244">
        <f t="shared" si="29"/>
        <v>1</v>
      </c>
      <c r="N244">
        <f t="shared" si="30"/>
        <v>1</v>
      </c>
      <c r="O244">
        <f t="shared" si="31"/>
        <v>1</v>
      </c>
      <c r="P244">
        <f t="shared" si="32"/>
        <v>1</v>
      </c>
      <c r="Q244">
        <f t="shared" si="35"/>
        <v>1</v>
      </c>
      <c r="R244">
        <f t="shared" si="33"/>
        <v>1</v>
      </c>
      <c r="S244">
        <f t="shared" si="34"/>
        <v>8</v>
      </c>
    </row>
    <row r="245" spans="1:19" x14ac:dyDescent="0.2">
      <c r="A245">
        <v>244</v>
      </c>
      <c r="B245">
        <v>500</v>
      </c>
      <c r="C245">
        <v>10</v>
      </c>
      <c r="D245">
        <v>5</v>
      </c>
      <c r="E245">
        <v>20</v>
      </c>
      <c r="F245">
        <v>250</v>
      </c>
      <c r="G245" s="3">
        <v>0.1</v>
      </c>
      <c r="H245">
        <v>0.1</v>
      </c>
      <c r="I245">
        <v>100</v>
      </c>
      <c r="J245" t="s">
        <v>135</v>
      </c>
      <c r="K245">
        <f t="shared" ref="K245:K308" si="36">IF(OR(B245=500,B245="50%",B245=50%),1,0)</f>
        <v>1</v>
      </c>
      <c r="L245">
        <f t="shared" si="28"/>
        <v>1</v>
      </c>
      <c r="M245">
        <f t="shared" si="29"/>
        <v>0</v>
      </c>
      <c r="N245">
        <f t="shared" si="30"/>
        <v>1</v>
      </c>
      <c r="O245">
        <f t="shared" si="31"/>
        <v>0</v>
      </c>
      <c r="P245">
        <f t="shared" si="32"/>
        <v>0</v>
      </c>
      <c r="Q245">
        <f t="shared" si="35"/>
        <v>0</v>
      </c>
      <c r="R245">
        <f t="shared" si="33"/>
        <v>0</v>
      </c>
      <c r="S245">
        <f t="shared" si="34"/>
        <v>3</v>
      </c>
    </row>
    <row r="246" spans="1:19" x14ac:dyDescent="0.2">
      <c r="A246">
        <v>245</v>
      </c>
      <c r="B246">
        <v>550</v>
      </c>
      <c r="C246">
        <v>10</v>
      </c>
      <c r="D246">
        <v>0.5</v>
      </c>
      <c r="E246">
        <v>20</v>
      </c>
      <c r="F246">
        <v>100</v>
      </c>
      <c r="G246">
        <v>10</v>
      </c>
      <c r="H246">
        <v>0.1</v>
      </c>
      <c r="I246">
        <v>5</v>
      </c>
      <c r="J246" t="s">
        <v>123</v>
      </c>
      <c r="K246">
        <f t="shared" si="36"/>
        <v>0</v>
      </c>
      <c r="L246">
        <f t="shared" si="28"/>
        <v>1</v>
      </c>
      <c r="M246">
        <f t="shared" si="29"/>
        <v>0</v>
      </c>
      <c r="N246">
        <f t="shared" si="30"/>
        <v>1</v>
      </c>
      <c r="O246">
        <f t="shared" si="31"/>
        <v>1</v>
      </c>
      <c r="P246">
        <f t="shared" si="32"/>
        <v>0</v>
      </c>
      <c r="Q246">
        <f t="shared" si="35"/>
        <v>0</v>
      </c>
      <c r="R246">
        <f t="shared" si="33"/>
        <v>1</v>
      </c>
      <c r="S246">
        <f t="shared" si="34"/>
        <v>4</v>
      </c>
    </row>
    <row r="247" spans="1:19" x14ac:dyDescent="0.2">
      <c r="A247">
        <v>246</v>
      </c>
      <c r="B247">
        <v>250</v>
      </c>
      <c r="C247" t="s">
        <v>1237</v>
      </c>
      <c r="D247" s="3">
        <v>0.01</v>
      </c>
      <c r="E247">
        <v>20</v>
      </c>
      <c r="F247">
        <v>100</v>
      </c>
      <c r="G247" s="3">
        <v>0.1</v>
      </c>
      <c r="H247" t="s">
        <v>241</v>
      </c>
      <c r="I247">
        <v>100</v>
      </c>
      <c r="J247" t="s">
        <v>123</v>
      </c>
      <c r="K247">
        <f t="shared" si="36"/>
        <v>0</v>
      </c>
      <c r="L247">
        <f t="shared" si="28"/>
        <v>0</v>
      </c>
      <c r="M247">
        <f t="shared" si="29"/>
        <v>0</v>
      </c>
      <c r="N247">
        <f t="shared" si="30"/>
        <v>1</v>
      </c>
      <c r="O247">
        <f t="shared" si="31"/>
        <v>1</v>
      </c>
      <c r="P247">
        <f t="shared" si="32"/>
        <v>0</v>
      </c>
      <c r="Q247">
        <f t="shared" si="35"/>
        <v>0</v>
      </c>
      <c r="R247">
        <f t="shared" si="33"/>
        <v>0</v>
      </c>
      <c r="S247">
        <f t="shared" si="34"/>
        <v>2</v>
      </c>
    </row>
    <row r="248" spans="1:19" x14ac:dyDescent="0.2">
      <c r="A248">
        <v>247</v>
      </c>
      <c r="B248">
        <v>500</v>
      </c>
      <c r="C248">
        <v>10</v>
      </c>
      <c r="D248">
        <v>0.1</v>
      </c>
      <c r="E248">
        <v>20</v>
      </c>
      <c r="F248">
        <v>100</v>
      </c>
      <c r="G248">
        <v>10</v>
      </c>
      <c r="H248">
        <v>20</v>
      </c>
      <c r="I248">
        <v>20</v>
      </c>
      <c r="J248" t="s">
        <v>135</v>
      </c>
      <c r="K248">
        <f t="shared" si="36"/>
        <v>1</v>
      </c>
      <c r="L248">
        <f t="shared" si="28"/>
        <v>1</v>
      </c>
      <c r="M248">
        <f t="shared" si="29"/>
        <v>1</v>
      </c>
      <c r="N248">
        <f t="shared" si="30"/>
        <v>1</v>
      </c>
      <c r="O248">
        <f t="shared" si="31"/>
        <v>1</v>
      </c>
      <c r="P248">
        <f t="shared" si="32"/>
        <v>0</v>
      </c>
      <c r="Q248">
        <f t="shared" si="35"/>
        <v>0</v>
      </c>
      <c r="R248">
        <f t="shared" si="33"/>
        <v>0</v>
      </c>
      <c r="S248">
        <f t="shared" si="34"/>
        <v>5</v>
      </c>
    </row>
    <row r="249" spans="1:19" x14ac:dyDescent="0.2">
      <c r="A249">
        <v>248</v>
      </c>
      <c r="B249">
        <v>500</v>
      </c>
      <c r="C249">
        <v>10</v>
      </c>
      <c r="D249" s="4">
        <v>1E-4</v>
      </c>
      <c r="E249">
        <v>20</v>
      </c>
      <c r="F249">
        <v>100</v>
      </c>
      <c r="G249" s="3">
        <v>0.9</v>
      </c>
      <c r="H249" t="s">
        <v>134</v>
      </c>
      <c r="I249">
        <v>100</v>
      </c>
      <c r="J249" t="s">
        <v>135</v>
      </c>
      <c r="K249">
        <f t="shared" si="36"/>
        <v>1</v>
      </c>
      <c r="L249">
        <f t="shared" si="28"/>
        <v>1</v>
      </c>
      <c r="M249">
        <f t="shared" si="29"/>
        <v>0</v>
      </c>
      <c r="N249">
        <f t="shared" si="30"/>
        <v>1</v>
      </c>
      <c r="O249">
        <f t="shared" si="31"/>
        <v>1</v>
      </c>
      <c r="P249">
        <f t="shared" si="32"/>
        <v>0</v>
      </c>
      <c r="Q249">
        <f t="shared" si="35"/>
        <v>1</v>
      </c>
      <c r="R249">
        <f t="shared" si="33"/>
        <v>0</v>
      </c>
      <c r="S249">
        <f t="shared" si="34"/>
        <v>5</v>
      </c>
    </row>
    <row r="250" spans="1:19" x14ac:dyDescent="0.2">
      <c r="A250">
        <v>249</v>
      </c>
      <c r="B250">
        <v>500</v>
      </c>
      <c r="C250">
        <v>10</v>
      </c>
      <c r="D250">
        <v>1</v>
      </c>
      <c r="E250">
        <v>20</v>
      </c>
      <c r="F250">
        <v>50</v>
      </c>
      <c r="G250" s="3">
        <v>0.1</v>
      </c>
      <c r="H250" t="s">
        <v>241</v>
      </c>
      <c r="I250" t="s">
        <v>164</v>
      </c>
      <c r="J250" t="s">
        <v>117</v>
      </c>
      <c r="K250">
        <f t="shared" si="36"/>
        <v>1</v>
      </c>
      <c r="L250">
        <f t="shared" si="28"/>
        <v>1</v>
      </c>
      <c r="M250">
        <f t="shared" si="29"/>
        <v>0</v>
      </c>
      <c r="N250">
        <f t="shared" si="30"/>
        <v>1</v>
      </c>
      <c r="O250">
        <f t="shared" si="31"/>
        <v>0</v>
      </c>
      <c r="P250">
        <f t="shared" si="32"/>
        <v>0</v>
      </c>
      <c r="Q250">
        <f t="shared" si="35"/>
        <v>0</v>
      </c>
      <c r="R250">
        <f t="shared" si="33"/>
        <v>0</v>
      </c>
      <c r="S250">
        <f t="shared" si="34"/>
        <v>3</v>
      </c>
    </row>
    <row r="251" spans="1:19" x14ac:dyDescent="0.2">
      <c r="A251">
        <v>250</v>
      </c>
      <c r="B251">
        <v>500</v>
      </c>
      <c r="C251">
        <v>10</v>
      </c>
      <c r="D251">
        <v>0.1</v>
      </c>
      <c r="E251">
        <v>20</v>
      </c>
      <c r="F251">
        <v>100</v>
      </c>
      <c r="G251" s="3">
        <v>0.9</v>
      </c>
      <c r="H251">
        <v>0.05</v>
      </c>
      <c r="I251">
        <v>5</v>
      </c>
      <c r="J251" t="s">
        <v>128</v>
      </c>
      <c r="K251">
        <f t="shared" si="36"/>
        <v>1</v>
      </c>
      <c r="L251">
        <f t="shared" si="28"/>
        <v>1</v>
      </c>
      <c r="M251">
        <f t="shared" si="29"/>
        <v>1</v>
      </c>
      <c r="N251">
        <f t="shared" si="30"/>
        <v>1</v>
      </c>
      <c r="O251">
        <f t="shared" si="31"/>
        <v>1</v>
      </c>
      <c r="P251">
        <f t="shared" si="32"/>
        <v>0</v>
      </c>
      <c r="Q251">
        <f t="shared" si="35"/>
        <v>1</v>
      </c>
      <c r="R251">
        <f t="shared" si="33"/>
        <v>1</v>
      </c>
      <c r="S251">
        <f t="shared" si="34"/>
        <v>7</v>
      </c>
    </row>
    <row r="252" spans="1:19" x14ac:dyDescent="0.2">
      <c r="A252">
        <v>251</v>
      </c>
      <c r="B252">
        <v>500</v>
      </c>
      <c r="C252">
        <v>10</v>
      </c>
      <c r="D252">
        <v>0.1</v>
      </c>
      <c r="E252">
        <v>20</v>
      </c>
      <c r="F252">
        <v>100</v>
      </c>
      <c r="G252">
        <v>50</v>
      </c>
      <c r="H252">
        <v>1.05</v>
      </c>
      <c r="I252">
        <v>5</v>
      </c>
      <c r="J252" t="s">
        <v>123</v>
      </c>
      <c r="K252">
        <f t="shared" si="36"/>
        <v>1</v>
      </c>
      <c r="L252">
        <f t="shared" si="28"/>
        <v>1</v>
      </c>
      <c r="M252">
        <f t="shared" si="29"/>
        <v>1</v>
      </c>
      <c r="N252">
        <f t="shared" si="30"/>
        <v>1</v>
      </c>
      <c r="O252">
        <f t="shared" si="31"/>
        <v>1</v>
      </c>
      <c r="P252">
        <f t="shared" si="32"/>
        <v>1</v>
      </c>
      <c r="Q252">
        <f t="shared" si="35"/>
        <v>0</v>
      </c>
      <c r="R252">
        <f t="shared" si="33"/>
        <v>1</v>
      </c>
      <c r="S252">
        <f t="shared" si="34"/>
        <v>7</v>
      </c>
    </row>
    <row r="253" spans="1:19" x14ac:dyDescent="0.2">
      <c r="A253">
        <v>252</v>
      </c>
      <c r="B253">
        <v>500</v>
      </c>
      <c r="C253">
        <v>10</v>
      </c>
      <c r="D253">
        <v>1</v>
      </c>
      <c r="E253">
        <v>20</v>
      </c>
      <c r="F253">
        <v>100</v>
      </c>
      <c r="G253">
        <v>50</v>
      </c>
      <c r="H253">
        <v>0.1</v>
      </c>
      <c r="I253">
        <v>100</v>
      </c>
      <c r="J253" t="s">
        <v>123</v>
      </c>
      <c r="K253">
        <f t="shared" si="36"/>
        <v>1</v>
      </c>
      <c r="L253">
        <f t="shared" si="28"/>
        <v>1</v>
      </c>
      <c r="M253">
        <f t="shared" si="29"/>
        <v>0</v>
      </c>
      <c r="N253">
        <f t="shared" si="30"/>
        <v>1</v>
      </c>
      <c r="O253">
        <f t="shared" si="31"/>
        <v>1</v>
      </c>
      <c r="P253">
        <f t="shared" si="32"/>
        <v>1</v>
      </c>
      <c r="Q253">
        <f t="shared" si="35"/>
        <v>0</v>
      </c>
      <c r="R253">
        <f t="shared" si="33"/>
        <v>0</v>
      </c>
      <c r="S253">
        <f t="shared" si="34"/>
        <v>5</v>
      </c>
    </row>
    <row r="254" spans="1:19" x14ac:dyDescent="0.2">
      <c r="A254">
        <v>253</v>
      </c>
      <c r="B254">
        <v>500</v>
      </c>
      <c r="C254">
        <v>10</v>
      </c>
      <c r="D254" s="4">
        <v>1E-4</v>
      </c>
      <c r="E254" s="3">
        <v>0.2</v>
      </c>
      <c r="F254">
        <v>100</v>
      </c>
      <c r="G254" t="s">
        <v>489</v>
      </c>
      <c r="H254" t="s">
        <v>241</v>
      </c>
      <c r="I254">
        <v>100</v>
      </c>
      <c r="J254" t="s">
        <v>128</v>
      </c>
      <c r="K254">
        <f t="shared" si="36"/>
        <v>1</v>
      </c>
      <c r="L254">
        <f t="shared" si="28"/>
        <v>1</v>
      </c>
      <c r="M254">
        <f t="shared" si="29"/>
        <v>0</v>
      </c>
      <c r="N254">
        <f t="shared" si="30"/>
        <v>1</v>
      </c>
      <c r="O254">
        <f t="shared" si="31"/>
        <v>1</v>
      </c>
      <c r="P254">
        <f t="shared" si="32"/>
        <v>0</v>
      </c>
      <c r="Q254">
        <f t="shared" si="35"/>
        <v>0</v>
      </c>
      <c r="R254">
        <f t="shared" si="33"/>
        <v>0</v>
      </c>
      <c r="S254">
        <f t="shared" si="34"/>
        <v>4</v>
      </c>
    </row>
    <row r="255" spans="1:19" x14ac:dyDescent="0.2">
      <c r="A255">
        <v>254</v>
      </c>
      <c r="B255">
        <v>500</v>
      </c>
      <c r="C255">
        <v>10</v>
      </c>
      <c r="D255">
        <v>0.1</v>
      </c>
      <c r="E255">
        <v>20</v>
      </c>
      <c r="F255">
        <v>100</v>
      </c>
      <c r="G255">
        <v>50</v>
      </c>
      <c r="H255">
        <v>0.05</v>
      </c>
      <c r="I255">
        <v>5</v>
      </c>
      <c r="J255" t="s">
        <v>123</v>
      </c>
      <c r="K255">
        <f t="shared" si="36"/>
        <v>1</v>
      </c>
      <c r="L255">
        <f t="shared" si="28"/>
        <v>1</v>
      </c>
      <c r="M255">
        <f t="shared" si="29"/>
        <v>1</v>
      </c>
      <c r="N255">
        <f t="shared" si="30"/>
        <v>1</v>
      </c>
      <c r="O255">
        <f t="shared" si="31"/>
        <v>1</v>
      </c>
      <c r="P255">
        <f t="shared" si="32"/>
        <v>1</v>
      </c>
      <c r="Q255">
        <f t="shared" si="35"/>
        <v>1</v>
      </c>
      <c r="R255">
        <f t="shared" si="33"/>
        <v>1</v>
      </c>
      <c r="S255">
        <f t="shared" si="34"/>
        <v>8</v>
      </c>
    </row>
    <row r="256" spans="1:19" x14ac:dyDescent="0.2">
      <c r="A256">
        <v>255</v>
      </c>
      <c r="B256">
        <v>500</v>
      </c>
      <c r="C256">
        <v>10</v>
      </c>
      <c r="D256" s="4">
        <v>1E-3</v>
      </c>
      <c r="E256" s="3">
        <v>0.2</v>
      </c>
      <c r="F256">
        <v>100</v>
      </c>
      <c r="G256" s="3">
        <v>0.1</v>
      </c>
      <c r="H256">
        <v>0.1</v>
      </c>
      <c r="I256" t="s">
        <v>159</v>
      </c>
      <c r="J256" t="s">
        <v>117</v>
      </c>
      <c r="K256">
        <f t="shared" si="36"/>
        <v>1</v>
      </c>
      <c r="L256">
        <f t="shared" si="28"/>
        <v>1</v>
      </c>
      <c r="M256">
        <f t="shared" si="29"/>
        <v>1</v>
      </c>
      <c r="N256">
        <f t="shared" si="30"/>
        <v>1</v>
      </c>
      <c r="O256">
        <f t="shared" si="31"/>
        <v>1</v>
      </c>
      <c r="P256">
        <f t="shared" si="32"/>
        <v>0</v>
      </c>
      <c r="Q256">
        <f t="shared" si="35"/>
        <v>0</v>
      </c>
      <c r="R256">
        <f t="shared" si="33"/>
        <v>1</v>
      </c>
      <c r="S256">
        <f t="shared" si="34"/>
        <v>6</v>
      </c>
    </row>
    <row r="257" spans="1:19" x14ac:dyDescent="0.2">
      <c r="A257">
        <v>256</v>
      </c>
      <c r="B257">
        <v>500</v>
      </c>
      <c r="C257">
        <v>10</v>
      </c>
      <c r="D257" s="4">
        <v>1E-3</v>
      </c>
      <c r="E257">
        <v>20</v>
      </c>
      <c r="F257">
        <v>100</v>
      </c>
      <c r="G257" s="3">
        <v>0.5</v>
      </c>
      <c r="H257" s="5">
        <v>0.05</v>
      </c>
      <c r="I257" t="s">
        <v>159</v>
      </c>
      <c r="J257" t="s">
        <v>123</v>
      </c>
      <c r="K257">
        <f t="shared" si="36"/>
        <v>1</v>
      </c>
      <c r="L257">
        <f t="shared" si="28"/>
        <v>1</v>
      </c>
      <c r="M257">
        <f t="shared" si="29"/>
        <v>1</v>
      </c>
      <c r="N257">
        <f t="shared" si="30"/>
        <v>1</v>
      </c>
      <c r="O257">
        <f t="shared" si="31"/>
        <v>1</v>
      </c>
      <c r="P257">
        <f t="shared" si="32"/>
        <v>1</v>
      </c>
      <c r="Q257">
        <f t="shared" si="35"/>
        <v>1</v>
      </c>
      <c r="R257">
        <f t="shared" si="33"/>
        <v>1</v>
      </c>
      <c r="S257">
        <f t="shared" si="34"/>
        <v>8</v>
      </c>
    </row>
    <row r="258" spans="1:19" x14ac:dyDescent="0.2">
      <c r="A258">
        <v>257</v>
      </c>
      <c r="B258">
        <v>500</v>
      </c>
      <c r="C258">
        <v>10</v>
      </c>
      <c r="D258" s="4">
        <v>1E-3</v>
      </c>
      <c r="E258">
        <v>20</v>
      </c>
      <c r="F258">
        <v>100</v>
      </c>
      <c r="G258" s="3">
        <v>0.1</v>
      </c>
      <c r="H258" s="5">
        <v>0.05</v>
      </c>
      <c r="I258" t="s">
        <v>159</v>
      </c>
      <c r="J258" t="s">
        <v>117</v>
      </c>
      <c r="K258">
        <f t="shared" si="36"/>
        <v>1</v>
      </c>
      <c r="L258">
        <f t="shared" si="28"/>
        <v>1</v>
      </c>
      <c r="M258">
        <f t="shared" si="29"/>
        <v>1</v>
      </c>
      <c r="N258">
        <f t="shared" si="30"/>
        <v>1</v>
      </c>
      <c r="O258">
        <f t="shared" si="31"/>
        <v>1</v>
      </c>
      <c r="P258">
        <f t="shared" si="32"/>
        <v>0</v>
      </c>
      <c r="Q258">
        <f t="shared" si="35"/>
        <v>1</v>
      </c>
      <c r="R258">
        <f t="shared" si="33"/>
        <v>1</v>
      </c>
      <c r="S258">
        <f t="shared" si="34"/>
        <v>7</v>
      </c>
    </row>
    <row r="259" spans="1:19" x14ac:dyDescent="0.2">
      <c r="A259">
        <v>258</v>
      </c>
      <c r="B259">
        <v>500</v>
      </c>
      <c r="C259">
        <v>10</v>
      </c>
      <c r="D259" s="4">
        <v>1E-3</v>
      </c>
      <c r="E259" s="3">
        <v>0.2</v>
      </c>
      <c r="F259">
        <v>100</v>
      </c>
      <c r="G259">
        <v>90</v>
      </c>
      <c r="H259">
        <v>0.1</v>
      </c>
      <c r="I259" t="s">
        <v>1289</v>
      </c>
      <c r="J259" t="s">
        <v>135</v>
      </c>
      <c r="K259">
        <f t="shared" si="36"/>
        <v>1</v>
      </c>
      <c r="L259">
        <f t="shared" ref="L259:L322" si="37">IF(C259=10,1,0)</f>
        <v>1</v>
      </c>
      <c r="M259">
        <f t="shared" ref="M259:M322" si="38">IF(OR(D259=0.1,D259=0.1%),1,0)</f>
        <v>1</v>
      </c>
      <c r="N259">
        <f t="shared" ref="N259:N322" si="39">IF(OR(E259=20,E259=20%),1,0)</f>
        <v>1</v>
      </c>
      <c r="O259">
        <f t="shared" ref="O259:O322" si="40">IF(F259=100,1,0)</f>
        <v>1</v>
      </c>
      <c r="P259">
        <f t="shared" ref="P259:P322" si="41">IF(OR(G259=50%,G259=50),1,0)</f>
        <v>0</v>
      </c>
      <c r="Q259">
        <f t="shared" si="35"/>
        <v>0</v>
      </c>
      <c r="R259">
        <f t="shared" ref="R259:R322" si="42">IF(OR(I259="5 minutes",I259=5, I259="5 min"),1,0)</f>
        <v>0</v>
      </c>
      <c r="S259">
        <f t="shared" ref="S259:S322" si="43">SUM(K259:R259)</f>
        <v>5</v>
      </c>
    </row>
    <row r="260" spans="1:19" x14ac:dyDescent="0.2">
      <c r="A260">
        <v>259</v>
      </c>
      <c r="B260">
        <v>500</v>
      </c>
      <c r="C260">
        <v>10</v>
      </c>
      <c r="D260">
        <v>1E-3</v>
      </c>
      <c r="E260">
        <v>20</v>
      </c>
      <c r="F260">
        <v>100</v>
      </c>
      <c r="G260">
        <v>9</v>
      </c>
      <c r="H260">
        <v>0.05</v>
      </c>
      <c r="I260" t="s">
        <v>164</v>
      </c>
      <c r="J260" t="s">
        <v>135</v>
      </c>
      <c r="K260">
        <f t="shared" si="36"/>
        <v>1</v>
      </c>
      <c r="L260">
        <f t="shared" si="37"/>
        <v>1</v>
      </c>
      <c r="M260">
        <f t="shared" si="38"/>
        <v>1</v>
      </c>
      <c r="N260">
        <f t="shared" si="39"/>
        <v>1</v>
      </c>
      <c r="O260">
        <f t="shared" si="40"/>
        <v>1</v>
      </c>
      <c r="P260">
        <f t="shared" si="41"/>
        <v>0</v>
      </c>
      <c r="Q260">
        <f t="shared" si="35"/>
        <v>1</v>
      </c>
      <c r="R260">
        <f t="shared" si="42"/>
        <v>0</v>
      </c>
      <c r="S260">
        <f t="shared" si="43"/>
        <v>6</v>
      </c>
    </row>
    <row r="261" spans="1:19" x14ac:dyDescent="0.2">
      <c r="A261">
        <v>260</v>
      </c>
      <c r="B261">
        <v>500</v>
      </c>
      <c r="C261">
        <v>10</v>
      </c>
      <c r="D261">
        <v>0.1</v>
      </c>
      <c r="E261">
        <v>20</v>
      </c>
      <c r="F261">
        <v>100</v>
      </c>
      <c r="G261" s="3">
        <v>0.1</v>
      </c>
      <c r="H261" s="5">
        <v>0.1</v>
      </c>
      <c r="I261" t="s">
        <v>159</v>
      </c>
      <c r="J261" t="s">
        <v>128</v>
      </c>
      <c r="K261">
        <f t="shared" si="36"/>
        <v>1</v>
      </c>
      <c r="L261">
        <f t="shared" si="37"/>
        <v>1</v>
      </c>
      <c r="M261">
        <f t="shared" si="38"/>
        <v>1</v>
      </c>
      <c r="N261">
        <f t="shared" si="39"/>
        <v>1</v>
      </c>
      <c r="O261">
        <f t="shared" si="40"/>
        <v>1</v>
      </c>
      <c r="P261">
        <f t="shared" si="41"/>
        <v>0</v>
      </c>
      <c r="Q261">
        <f t="shared" si="35"/>
        <v>0</v>
      </c>
      <c r="R261">
        <f t="shared" si="42"/>
        <v>1</v>
      </c>
      <c r="S261">
        <f t="shared" si="43"/>
        <v>6</v>
      </c>
    </row>
    <row r="262" spans="1:19" x14ac:dyDescent="0.2">
      <c r="A262">
        <v>261</v>
      </c>
      <c r="B262">
        <v>167</v>
      </c>
      <c r="C262">
        <v>10</v>
      </c>
      <c r="D262">
        <v>1</v>
      </c>
      <c r="E262">
        <v>20</v>
      </c>
      <c r="F262">
        <v>100</v>
      </c>
      <c r="G262" s="3">
        <v>0.1</v>
      </c>
      <c r="H262">
        <v>0.9</v>
      </c>
      <c r="I262">
        <v>10</v>
      </c>
      <c r="J262" t="s">
        <v>123</v>
      </c>
      <c r="K262">
        <f t="shared" si="36"/>
        <v>0</v>
      </c>
      <c r="L262">
        <f t="shared" si="37"/>
        <v>1</v>
      </c>
      <c r="M262">
        <f t="shared" si="38"/>
        <v>0</v>
      </c>
      <c r="N262">
        <f t="shared" si="39"/>
        <v>1</v>
      </c>
      <c r="O262">
        <f t="shared" si="40"/>
        <v>1</v>
      </c>
      <c r="P262">
        <f t="shared" si="41"/>
        <v>0</v>
      </c>
      <c r="Q262">
        <f t="shared" si="35"/>
        <v>0</v>
      </c>
      <c r="R262">
        <f t="shared" si="42"/>
        <v>0</v>
      </c>
      <c r="S262">
        <f t="shared" si="43"/>
        <v>3</v>
      </c>
    </row>
    <row r="263" spans="1:19" x14ac:dyDescent="0.2">
      <c r="A263">
        <v>262</v>
      </c>
      <c r="B263">
        <v>500</v>
      </c>
      <c r="C263">
        <v>10</v>
      </c>
      <c r="D263">
        <v>0.1</v>
      </c>
      <c r="E263">
        <v>20</v>
      </c>
      <c r="F263">
        <v>100</v>
      </c>
      <c r="G263" s="3">
        <v>0.9</v>
      </c>
      <c r="H263" t="s">
        <v>241</v>
      </c>
      <c r="I263" t="s">
        <v>159</v>
      </c>
      <c r="J263" t="s">
        <v>128</v>
      </c>
      <c r="K263">
        <f t="shared" si="36"/>
        <v>1</v>
      </c>
      <c r="L263">
        <f t="shared" si="37"/>
        <v>1</v>
      </c>
      <c r="M263">
        <f t="shared" si="38"/>
        <v>1</v>
      </c>
      <c r="N263">
        <f t="shared" si="39"/>
        <v>1</v>
      </c>
      <c r="O263">
        <f t="shared" si="40"/>
        <v>1</v>
      </c>
      <c r="P263">
        <f t="shared" si="41"/>
        <v>0</v>
      </c>
      <c r="Q263">
        <f t="shared" ref="Q263:Q326" si="44">IF(OR(H263="5 cents",H263=0.05,H263="$0.05"),1,0)</f>
        <v>0</v>
      </c>
      <c r="R263">
        <f t="shared" si="42"/>
        <v>1</v>
      </c>
      <c r="S263">
        <f t="shared" si="43"/>
        <v>6</v>
      </c>
    </row>
    <row r="264" spans="1:19" x14ac:dyDescent="0.2">
      <c r="A264">
        <v>263</v>
      </c>
      <c r="B264">
        <v>500</v>
      </c>
      <c r="C264">
        <v>10</v>
      </c>
      <c r="D264" s="4">
        <v>1E-3</v>
      </c>
      <c r="E264" s="3">
        <v>0.2</v>
      </c>
      <c r="F264">
        <v>100</v>
      </c>
      <c r="G264" s="3">
        <v>0.9</v>
      </c>
      <c r="H264" s="5">
        <v>0.05</v>
      </c>
      <c r="I264" t="s">
        <v>159</v>
      </c>
      <c r="J264" t="s">
        <v>128</v>
      </c>
      <c r="K264">
        <f t="shared" si="36"/>
        <v>1</v>
      </c>
      <c r="L264">
        <f t="shared" si="37"/>
        <v>1</v>
      </c>
      <c r="M264">
        <f t="shared" si="38"/>
        <v>1</v>
      </c>
      <c r="N264">
        <f t="shared" si="39"/>
        <v>1</v>
      </c>
      <c r="O264">
        <f t="shared" si="40"/>
        <v>1</v>
      </c>
      <c r="P264">
        <f t="shared" si="41"/>
        <v>0</v>
      </c>
      <c r="Q264">
        <f t="shared" si="44"/>
        <v>1</v>
      </c>
      <c r="R264">
        <f t="shared" si="42"/>
        <v>1</v>
      </c>
      <c r="S264">
        <f t="shared" si="43"/>
        <v>7</v>
      </c>
    </row>
    <row r="265" spans="1:19" x14ac:dyDescent="0.2">
      <c r="A265">
        <v>264</v>
      </c>
      <c r="B265">
        <v>166</v>
      </c>
      <c r="C265">
        <v>10</v>
      </c>
      <c r="D265">
        <v>10</v>
      </c>
      <c r="E265">
        <v>2</v>
      </c>
      <c r="F265">
        <v>100</v>
      </c>
      <c r="G265" t="s">
        <v>1315</v>
      </c>
      <c r="H265">
        <v>0.1</v>
      </c>
      <c r="I265">
        <v>100</v>
      </c>
      <c r="J265" t="s">
        <v>117</v>
      </c>
      <c r="K265">
        <f t="shared" si="36"/>
        <v>0</v>
      </c>
      <c r="L265">
        <f t="shared" si="37"/>
        <v>1</v>
      </c>
      <c r="M265">
        <f t="shared" si="38"/>
        <v>0</v>
      </c>
      <c r="N265">
        <f t="shared" si="39"/>
        <v>0</v>
      </c>
      <c r="O265">
        <f t="shared" si="40"/>
        <v>1</v>
      </c>
      <c r="P265">
        <f t="shared" si="41"/>
        <v>0</v>
      </c>
      <c r="Q265">
        <f t="shared" si="44"/>
        <v>0</v>
      </c>
      <c r="R265">
        <f t="shared" si="42"/>
        <v>0</v>
      </c>
      <c r="S265">
        <f t="shared" si="43"/>
        <v>2</v>
      </c>
    </row>
    <row r="266" spans="1:19" x14ac:dyDescent="0.2">
      <c r="A266">
        <v>265</v>
      </c>
      <c r="B266">
        <v>500</v>
      </c>
      <c r="C266">
        <v>10</v>
      </c>
      <c r="D266">
        <v>0.1</v>
      </c>
      <c r="E266">
        <v>20</v>
      </c>
      <c r="F266">
        <v>100</v>
      </c>
      <c r="G266">
        <v>5</v>
      </c>
      <c r="H266">
        <v>0.05</v>
      </c>
      <c r="I266">
        <v>5</v>
      </c>
      <c r="J266" t="s">
        <v>135</v>
      </c>
      <c r="K266">
        <f t="shared" si="36"/>
        <v>1</v>
      </c>
      <c r="L266">
        <f t="shared" si="37"/>
        <v>1</v>
      </c>
      <c r="M266">
        <f t="shared" si="38"/>
        <v>1</v>
      </c>
      <c r="N266">
        <f t="shared" si="39"/>
        <v>1</v>
      </c>
      <c r="O266">
        <f t="shared" si="40"/>
        <v>1</v>
      </c>
      <c r="P266">
        <f t="shared" si="41"/>
        <v>0</v>
      </c>
      <c r="Q266">
        <f t="shared" si="44"/>
        <v>1</v>
      </c>
      <c r="R266">
        <f t="shared" si="42"/>
        <v>1</v>
      </c>
      <c r="S266">
        <f t="shared" si="43"/>
        <v>7</v>
      </c>
    </row>
    <row r="267" spans="1:19" x14ac:dyDescent="0.2">
      <c r="A267">
        <v>266</v>
      </c>
      <c r="B267">
        <v>500</v>
      </c>
      <c r="C267">
        <v>10</v>
      </c>
      <c r="D267">
        <v>1</v>
      </c>
      <c r="E267">
        <v>20</v>
      </c>
      <c r="F267">
        <v>100</v>
      </c>
      <c r="G267">
        <v>20</v>
      </c>
      <c r="H267">
        <v>0.05</v>
      </c>
      <c r="I267">
        <v>100</v>
      </c>
      <c r="J267" t="s">
        <v>128</v>
      </c>
      <c r="K267">
        <f t="shared" si="36"/>
        <v>1</v>
      </c>
      <c r="L267">
        <f t="shared" si="37"/>
        <v>1</v>
      </c>
      <c r="M267">
        <f t="shared" si="38"/>
        <v>0</v>
      </c>
      <c r="N267">
        <f t="shared" si="39"/>
        <v>1</v>
      </c>
      <c r="O267">
        <f t="shared" si="40"/>
        <v>1</v>
      </c>
      <c r="P267">
        <f t="shared" si="41"/>
        <v>0</v>
      </c>
      <c r="Q267">
        <f t="shared" si="44"/>
        <v>1</v>
      </c>
      <c r="R267">
        <f t="shared" si="42"/>
        <v>0</v>
      </c>
      <c r="S267">
        <f t="shared" si="43"/>
        <v>5</v>
      </c>
    </row>
    <row r="268" spans="1:19" x14ac:dyDescent="0.2">
      <c r="A268">
        <v>267</v>
      </c>
      <c r="B268">
        <v>300</v>
      </c>
      <c r="C268">
        <v>1</v>
      </c>
      <c r="D268">
        <v>0.1</v>
      </c>
      <c r="E268">
        <v>20</v>
      </c>
      <c r="F268">
        <v>10</v>
      </c>
      <c r="G268" t="s">
        <v>1328</v>
      </c>
      <c r="H268">
        <v>0.1</v>
      </c>
      <c r="I268">
        <v>50</v>
      </c>
      <c r="J268" t="s">
        <v>117</v>
      </c>
      <c r="K268">
        <f t="shared" si="36"/>
        <v>0</v>
      </c>
      <c r="L268">
        <f t="shared" si="37"/>
        <v>0</v>
      </c>
      <c r="M268">
        <f t="shared" si="38"/>
        <v>1</v>
      </c>
      <c r="N268">
        <f t="shared" si="39"/>
        <v>1</v>
      </c>
      <c r="O268">
        <f t="shared" si="40"/>
        <v>0</v>
      </c>
      <c r="P268">
        <f t="shared" si="41"/>
        <v>0</v>
      </c>
      <c r="Q268">
        <f t="shared" si="44"/>
        <v>0</v>
      </c>
      <c r="R268">
        <f t="shared" si="42"/>
        <v>0</v>
      </c>
      <c r="S268">
        <f t="shared" si="43"/>
        <v>2</v>
      </c>
    </row>
    <row r="269" spans="1:19" x14ac:dyDescent="0.2">
      <c r="A269">
        <v>268</v>
      </c>
      <c r="B269">
        <v>500</v>
      </c>
      <c r="C269">
        <v>10</v>
      </c>
      <c r="D269">
        <v>0.1</v>
      </c>
      <c r="E269">
        <v>20</v>
      </c>
      <c r="F269">
        <v>100</v>
      </c>
      <c r="G269">
        <v>90</v>
      </c>
      <c r="H269">
        <v>0.05</v>
      </c>
      <c r="I269" t="s">
        <v>159</v>
      </c>
      <c r="J269" t="s">
        <v>123</v>
      </c>
      <c r="K269">
        <f t="shared" si="36"/>
        <v>1</v>
      </c>
      <c r="L269">
        <f t="shared" si="37"/>
        <v>1</v>
      </c>
      <c r="M269">
        <f t="shared" si="38"/>
        <v>1</v>
      </c>
      <c r="N269">
        <f t="shared" si="39"/>
        <v>1</v>
      </c>
      <c r="O269">
        <f t="shared" si="40"/>
        <v>1</v>
      </c>
      <c r="P269">
        <f t="shared" si="41"/>
        <v>0</v>
      </c>
      <c r="Q269">
        <f t="shared" si="44"/>
        <v>1</v>
      </c>
      <c r="R269">
        <f t="shared" si="42"/>
        <v>1</v>
      </c>
      <c r="S269">
        <f t="shared" si="43"/>
        <v>7</v>
      </c>
    </row>
    <row r="270" spans="1:19" x14ac:dyDescent="0.2">
      <c r="A270">
        <v>269</v>
      </c>
      <c r="B270">
        <v>500</v>
      </c>
      <c r="C270">
        <v>10</v>
      </c>
      <c r="D270" s="4">
        <v>1E-3</v>
      </c>
      <c r="E270" s="3">
        <v>0.2</v>
      </c>
      <c r="F270">
        <v>100</v>
      </c>
      <c r="G270" t="s">
        <v>1337</v>
      </c>
      <c r="H270">
        <v>0.05</v>
      </c>
      <c r="I270">
        <v>20</v>
      </c>
      <c r="J270" t="s">
        <v>117</v>
      </c>
      <c r="K270">
        <f t="shared" si="36"/>
        <v>1</v>
      </c>
      <c r="L270">
        <f t="shared" si="37"/>
        <v>1</v>
      </c>
      <c r="M270">
        <f t="shared" si="38"/>
        <v>1</v>
      </c>
      <c r="N270">
        <f t="shared" si="39"/>
        <v>1</v>
      </c>
      <c r="O270">
        <f t="shared" si="40"/>
        <v>1</v>
      </c>
      <c r="P270">
        <f t="shared" si="41"/>
        <v>0</v>
      </c>
      <c r="Q270">
        <f t="shared" si="44"/>
        <v>1</v>
      </c>
      <c r="R270">
        <f t="shared" si="42"/>
        <v>0</v>
      </c>
      <c r="S270">
        <f t="shared" si="43"/>
        <v>6</v>
      </c>
    </row>
    <row r="271" spans="1:19" x14ac:dyDescent="0.2">
      <c r="A271">
        <v>270</v>
      </c>
      <c r="B271">
        <v>500</v>
      </c>
      <c r="C271">
        <v>10</v>
      </c>
      <c r="D271">
        <v>0.1</v>
      </c>
      <c r="E271">
        <v>20</v>
      </c>
      <c r="F271">
        <v>100</v>
      </c>
      <c r="G271" s="3">
        <v>0.5</v>
      </c>
      <c r="H271">
        <v>0.05</v>
      </c>
      <c r="I271">
        <v>5</v>
      </c>
      <c r="J271" t="s">
        <v>117</v>
      </c>
      <c r="K271">
        <f t="shared" si="36"/>
        <v>1</v>
      </c>
      <c r="L271">
        <f t="shared" si="37"/>
        <v>1</v>
      </c>
      <c r="M271">
        <f t="shared" si="38"/>
        <v>1</v>
      </c>
      <c r="N271">
        <f t="shared" si="39"/>
        <v>1</v>
      </c>
      <c r="O271">
        <f t="shared" si="40"/>
        <v>1</v>
      </c>
      <c r="P271">
        <f t="shared" si="41"/>
        <v>1</v>
      </c>
      <c r="Q271">
        <f t="shared" si="44"/>
        <v>1</v>
      </c>
      <c r="R271">
        <f t="shared" si="42"/>
        <v>1</v>
      </c>
      <c r="S271">
        <f t="shared" si="43"/>
        <v>8</v>
      </c>
    </row>
    <row r="272" spans="1:19" x14ac:dyDescent="0.2">
      <c r="A272">
        <v>271</v>
      </c>
      <c r="B272">
        <v>500</v>
      </c>
      <c r="C272">
        <v>10</v>
      </c>
      <c r="D272">
        <v>1</v>
      </c>
      <c r="E272">
        <v>20</v>
      </c>
      <c r="F272">
        <v>100</v>
      </c>
      <c r="G272">
        <v>9</v>
      </c>
      <c r="H272" t="s">
        <v>1021</v>
      </c>
      <c r="I272">
        <v>100</v>
      </c>
      <c r="J272" t="s">
        <v>128</v>
      </c>
      <c r="K272">
        <f t="shared" si="36"/>
        <v>1</v>
      </c>
      <c r="L272">
        <f t="shared" si="37"/>
        <v>1</v>
      </c>
      <c r="M272">
        <f t="shared" si="38"/>
        <v>0</v>
      </c>
      <c r="N272">
        <f t="shared" si="39"/>
        <v>1</v>
      </c>
      <c r="O272">
        <f t="shared" si="40"/>
        <v>1</v>
      </c>
      <c r="P272">
        <f t="shared" si="41"/>
        <v>0</v>
      </c>
      <c r="Q272">
        <f t="shared" si="44"/>
        <v>0</v>
      </c>
      <c r="R272">
        <f t="shared" si="42"/>
        <v>0</v>
      </c>
      <c r="S272">
        <f t="shared" si="43"/>
        <v>4</v>
      </c>
    </row>
    <row r="273" spans="1:19" x14ac:dyDescent="0.2">
      <c r="A273">
        <v>272</v>
      </c>
      <c r="B273">
        <v>500</v>
      </c>
      <c r="C273">
        <v>10</v>
      </c>
      <c r="D273">
        <v>0.01</v>
      </c>
      <c r="E273">
        <v>20</v>
      </c>
      <c r="F273">
        <v>100</v>
      </c>
      <c r="G273" s="3">
        <v>0.9</v>
      </c>
      <c r="H273">
        <v>0.1</v>
      </c>
      <c r="I273">
        <v>100</v>
      </c>
      <c r="J273" t="s">
        <v>117</v>
      </c>
      <c r="K273">
        <f t="shared" si="36"/>
        <v>1</v>
      </c>
      <c r="L273">
        <f t="shared" si="37"/>
        <v>1</v>
      </c>
      <c r="M273">
        <f t="shared" si="38"/>
        <v>0</v>
      </c>
      <c r="N273">
        <f t="shared" si="39"/>
        <v>1</v>
      </c>
      <c r="O273">
        <f t="shared" si="40"/>
        <v>1</v>
      </c>
      <c r="P273">
        <f t="shared" si="41"/>
        <v>0</v>
      </c>
      <c r="Q273">
        <f t="shared" si="44"/>
        <v>0</v>
      </c>
      <c r="R273">
        <f t="shared" si="42"/>
        <v>0</v>
      </c>
      <c r="S273">
        <f t="shared" si="43"/>
        <v>4</v>
      </c>
    </row>
    <row r="274" spans="1:19" x14ac:dyDescent="0.2">
      <c r="A274">
        <v>273</v>
      </c>
      <c r="B274">
        <v>500</v>
      </c>
      <c r="C274">
        <v>10</v>
      </c>
      <c r="D274">
        <v>0.1</v>
      </c>
      <c r="E274">
        <v>20</v>
      </c>
      <c r="F274">
        <v>100</v>
      </c>
      <c r="G274">
        <v>50</v>
      </c>
      <c r="H274">
        <v>0.5</v>
      </c>
      <c r="I274">
        <v>100</v>
      </c>
      <c r="J274" t="s">
        <v>135</v>
      </c>
      <c r="K274">
        <f t="shared" si="36"/>
        <v>1</v>
      </c>
      <c r="L274">
        <f t="shared" si="37"/>
        <v>1</v>
      </c>
      <c r="M274">
        <f t="shared" si="38"/>
        <v>1</v>
      </c>
      <c r="N274">
        <f t="shared" si="39"/>
        <v>1</v>
      </c>
      <c r="O274">
        <f t="shared" si="40"/>
        <v>1</v>
      </c>
      <c r="P274">
        <f t="shared" si="41"/>
        <v>1</v>
      </c>
      <c r="Q274">
        <f t="shared" si="44"/>
        <v>0</v>
      </c>
      <c r="R274">
        <f t="shared" si="42"/>
        <v>0</v>
      </c>
      <c r="S274">
        <f t="shared" si="43"/>
        <v>6</v>
      </c>
    </row>
    <row r="275" spans="1:19" x14ac:dyDescent="0.2">
      <c r="A275">
        <v>274</v>
      </c>
      <c r="B275">
        <v>500</v>
      </c>
      <c r="C275">
        <v>10</v>
      </c>
      <c r="D275">
        <v>0.1</v>
      </c>
      <c r="E275">
        <v>20</v>
      </c>
      <c r="F275">
        <v>100</v>
      </c>
      <c r="G275">
        <v>10</v>
      </c>
      <c r="H275">
        <v>10.5</v>
      </c>
      <c r="I275">
        <v>10</v>
      </c>
      <c r="J275" t="s">
        <v>117</v>
      </c>
      <c r="K275">
        <f t="shared" si="36"/>
        <v>1</v>
      </c>
      <c r="L275">
        <f t="shared" si="37"/>
        <v>1</v>
      </c>
      <c r="M275">
        <f t="shared" si="38"/>
        <v>1</v>
      </c>
      <c r="N275">
        <f t="shared" si="39"/>
        <v>1</v>
      </c>
      <c r="O275">
        <f t="shared" si="40"/>
        <v>1</v>
      </c>
      <c r="P275">
        <f t="shared" si="41"/>
        <v>0</v>
      </c>
      <c r="Q275">
        <f t="shared" si="44"/>
        <v>0</v>
      </c>
      <c r="R275">
        <f t="shared" si="42"/>
        <v>0</v>
      </c>
      <c r="S275">
        <f t="shared" si="43"/>
        <v>5</v>
      </c>
    </row>
    <row r="276" spans="1:19" x14ac:dyDescent="0.2">
      <c r="A276">
        <v>275</v>
      </c>
      <c r="B276">
        <v>500</v>
      </c>
      <c r="C276">
        <v>10</v>
      </c>
      <c r="D276">
        <v>0.1</v>
      </c>
      <c r="E276">
        <v>20</v>
      </c>
      <c r="F276">
        <v>100</v>
      </c>
      <c r="G276">
        <v>50</v>
      </c>
      <c r="H276">
        <v>0.1</v>
      </c>
      <c r="I276">
        <v>5</v>
      </c>
      <c r="J276" t="s">
        <v>123</v>
      </c>
      <c r="K276">
        <f t="shared" si="36"/>
        <v>1</v>
      </c>
      <c r="L276">
        <f t="shared" si="37"/>
        <v>1</v>
      </c>
      <c r="M276">
        <f t="shared" si="38"/>
        <v>1</v>
      </c>
      <c r="N276">
        <f t="shared" si="39"/>
        <v>1</v>
      </c>
      <c r="O276">
        <f t="shared" si="40"/>
        <v>1</v>
      </c>
      <c r="P276">
        <f t="shared" si="41"/>
        <v>1</v>
      </c>
      <c r="Q276">
        <f t="shared" si="44"/>
        <v>0</v>
      </c>
      <c r="R276">
        <f t="shared" si="42"/>
        <v>1</v>
      </c>
      <c r="S276">
        <f t="shared" si="43"/>
        <v>7</v>
      </c>
    </row>
    <row r="277" spans="1:19" ht="34" x14ac:dyDescent="0.2">
      <c r="A277">
        <v>276</v>
      </c>
      <c r="B277" s="3">
        <v>0.5</v>
      </c>
      <c r="C277" s="1" t="s">
        <v>1366</v>
      </c>
      <c r="D277" s="4">
        <v>1E-4</v>
      </c>
      <c r="E277" s="3">
        <v>0.2</v>
      </c>
      <c r="F277">
        <v>100</v>
      </c>
      <c r="G277" s="3">
        <v>0.1</v>
      </c>
      <c r="H277">
        <v>0.1</v>
      </c>
      <c r="I277">
        <v>5</v>
      </c>
      <c r="J277" t="s">
        <v>117</v>
      </c>
      <c r="K277">
        <f t="shared" si="36"/>
        <v>1</v>
      </c>
      <c r="L277">
        <f t="shared" si="37"/>
        <v>0</v>
      </c>
      <c r="M277">
        <f t="shared" si="38"/>
        <v>0</v>
      </c>
      <c r="N277">
        <f t="shared" si="39"/>
        <v>1</v>
      </c>
      <c r="O277">
        <f t="shared" si="40"/>
        <v>1</v>
      </c>
      <c r="P277">
        <f t="shared" si="41"/>
        <v>0</v>
      </c>
      <c r="Q277">
        <f t="shared" si="44"/>
        <v>0</v>
      </c>
      <c r="R277">
        <f t="shared" si="42"/>
        <v>1</v>
      </c>
      <c r="S277">
        <f t="shared" si="43"/>
        <v>4</v>
      </c>
    </row>
    <row r="278" spans="1:19" x14ac:dyDescent="0.2">
      <c r="A278">
        <v>277</v>
      </c>
      <c r="B278">
        <v>500</v>
      </c>
      <c r="C278">
        <v>10</v>
      </c>
      <c r="D278">
        <v>0.1</v>
      </c>
      <c r="E278">
        <v>20</v>
      </c>
      <c r="F278">
        <v>100</v>
      </c>
      <c r="G278" s="3">
        <v>0.5</v>
      </c>
      <c r="H278" t="s">
        <v>134</v>
      </c>
      <c r="I278" t="s">
        <v>159</v>
      </c>
      <c r="J278" t="s">
        <v>135</v>
      </c>
      <c r="K278">
        <f t="shared" si="36"/>
        <v>1</v>
      </c>
      <c r="L278">
        <f t="shared" si="37"/>
        <v>1</v>
      </c>
      <c r="M278">
        <f t="shared" si="38"/>
        <v>1</v>
      </c>
      <c r="N278">
        <f t="shared" si="39"/>
        <v>1</v>
      </c>
      <c r="O278">
        <f t="shared" si="40"/>
        <v>1</v>
      </c>
      <c r="P278">
        <f t="shared" si="41"/>
        <v>1</v>
      </c>
      <c r="Q278">
        <f t="shared" si="44"/>
        <v>1</v>
      </c>
      <c r="R278">
        <f t="shared" si="42"/>
        <v>1</v>
      </c>
      <c r="S278">
        <f t="shared" si="43"/>
        <v>8</v>
      </c>
    </row>
    <row r="279" spans="1:19" x14ac:dyDescent="0.2">
      <c r="A279">
        <v>278</v>
      </c>
      <c r="B279">
        <v>500</v>
      </c>
      <c r="C279">
        <v>10</v>
      </c>
      <c r="D279" s="4">
        <v>1E-3</v>
      </c>
      <c r="E279">
        <v>20</v>
      </c>
      <c r="F279">
        <v>100</v>
      </c>
      <c r="G279" s="3">
        <v>0.1</v>
      </c>
      <c r="H279">
        <v>0.05</v>
      </c>
      <c r="I279">
        <v>100</v>
      </c>
      <c r="J279" t="s">
        <v>117</v>
      </c>
      <c r="K279">
        <f t="shared" si="36"/>
        <v>1</v>
      </c>
      <c r="L279">
        <f t="shared" si="37"/>
        <v>1</v>
      </c>
      <c r="M279">
        <f t="shared" si="38"/>
        <v>1</v>
      </c>
      <c r="N279">
        <f t="shared" si="39"/>
        <v>1</v>
      </c>
      <c r="O279">
        <f t="shared" si="40"/>
        <v>1</v>
      </c>
      <c r="P279">
        <f t="shared" si="41"/>
        <v>0</v>
      </c>
      <c r="Q279">
        <f t="shared" si="44"/>
        <v>1</v>
      </c>
      <c r="R279">
        <f t="shared" si="42"/>
        <v>0</v>
      </c>
      <c r="S279">
        <f t="shared" si="43"/>
        <v>6</v>
      </c>
    </row>
    <row r="280" spans="1:19" x14ac:dyDescent="0.2">
      <c r="A280">
        <v>279</v>
      </c>
      <c r="B280">
        <v>500</v>
      </c>
      <c r="C280">
        <v>10</v>
      </c>
      <c r="D280">
        <v>0.1</v>
      </c>
      <c r="E280">
        <v>20</v>
      </c>
      <c r="F280">
        <v>100</v>
      </c>
      <c r="G280">
        <v>50</v>
      </c>
      <c r="H280">
        <v>0.05</v>
      </c>
      <c r="I280" t="s">
        <v>159</v>
      </c>
      <c r="J280" t="s">
        <v>128</v>
      </c>
      <c r="K280">
        <f t="shared" si="36"/>
        <v>1</v>
      </c>
      <c r="L280">
        <f t="shared" si="37"/>
        <v>1</v>
      </c>
      <c r="M280">
        <f t="shared" si="38"/>
        <v>1</v>
      </c>
      <c r="N280">
        <f t="shared" si="39"/>
        <v>1</v>
      </c>
      <c r="O280">
        <f t="shared" si="40"/>
        <v>1</v>
      </c>
      <c r="P280">
        <f t="shared" si="41"/>
        <v>1</v>
      </c>
      <c r="Q280">
        <f t="shared" si="44"/>
        <v>1</v>
      </c>
      <c r="R280">
        <f t="shared" si="42"/>
        <v>1</v>
      </c>
      <c r="S280">
        <f t="shared" si="43"/>
        <v>8</v>
      </c>
    </row>
    <row r="281" spans="1:19" ht="170" x14ac:dyDescent="0.2">
      <c r="A281">
        <v>280</v>
      </c>
      <c r="B281">
        <v>500</v>
      </c>
      <c r="C281">
        <v>100</v>
      </c>
      <c r="D281" s="4">
        <v>1E-3</v>
      </c>
      <c r="E281" s="3">
        <v>0.2</v>
      </c>
      <c r="F281">
        <v>100</v>
      </c>
      <c r="G281" s="3">
        <v>0.85</v>
      </c>
      <c r="H281" s="1" t="s">
        <v>1387</v>
      </c>
      <c r="I281" t="s">
        <v>159</v>
      </c>
      <c r="J281" t="s">
        <v>135</v>
      </c>
      <c r="K281">
        <f t="shared" si="36"/>
        <v>1</v>
      </c>
      <c r="L281">
        <f t="shared" si="37"/>
        <v>0</v>
      </c>
      <c r="M281">
        <f t="shared" si="38"/>
        <v>1</v>
      </c>
      <c r="N281">
        <f t="shared" si="39"/>
        <v>1</v>
      </c>
      <c r="O281">
        <f t="shared" si="40"/>
        <v>1</v>
      </c>
      <c r="P281">
        <f t="shared" si="41"/>
        <v>0</v>
      </c>
      <c r="Q281">
        <f t="shared" si="44"/>
        <v>0</v>
      </c>
      <c r="R281">
        <f t="shared" si="42"/>
        <v>1</v>
      </c>
      <c r="S281">
        <f t="shared" si="43"/>
        <v>5</v>
      </c>
    </row>
    <row r="282" spans="1:19" x14ac:dyDescent="0.2">
      <c r="A282">
        <v>281</v>
      </c>
      <c r="B282">
        <v>500</v>
      </c>
      <c r="C282">
        <v>10</v>
      </c>
      <c r="D282">
        <v>0.05</v>
      </c>
      <c r="E282">
        <v>20</v>
      </c>
      <c r="F282">
        <v>100</v>
      </c>
      <c r="G282" s="3">
        <v>0.9</v>
      </c>
      <c r="H282">
        <v>0.05</v>
      </c>
      <c r="I282" t="s">
        <v>159</v>
      </c>
      <c r="J282" t="s">
        <v>117</v>
      </c>
      <c r="K282">
        <f t="shared" si="36"/>
        <v>1</v>
      </c>
      <c r="L282">
        <f t="shared" si="37"/>
        <v>1</v>
      </c>
      <c r="M282">
        <f t="shared" si="38"/>
        <v>0</v>
      </c>
      <c r="N282">
        <f t="shared" si="39"/>
        <v>1</v>
      </c>
      <c r="O282">
        <f t="shared" si="40"/>
        <v>1</v>
      </c>
      <c r="P282">
        <f t="shared" si="41"/>
        <v>0</v>
      </c>
      <c r="Q282">
        <f t="shared" si="44"/>
        <v>1</v>
      </c>
      <c r="R282">
        <f t="shared" si="42"/>
        <v>1</v>
      </c>
      <c r="S282">
        <f t="shared" si="43"/>
        <v>6</v>
      </c>
    </row>
    <row r="283" spans="1:19" x14ac:dyDescent="0.2">
      <c r="A283">
        <v>282</v>
      </c>
      <c r="B283">
        <v>500</v>
      </c>
      <c r="C283">
        <v>10</v>
      </c>
      <c r="D283">
        <v>10</v>
      </c>
      <c r="E283">
        <v>20</v>
      </c>
      <c r="F283">
        <v>1000</v>
      </c>
      <c r="G283" t="s">
        <v>1396</v>
      </c>
      <c r="H283">
        <v>0.1</v>
      </c>
      <c r="I283">
        <v>100</v>
      </c>
      <c r="J283" t="s">
        <v>135</v>
      </c>
      <c r="K283">
        <f t="shared" si="36"/>
        <v>1</v>
      </c>
      <c r="L283">
        <f t="shared" si="37"/>
        <v>1</v>
      </c>
      <c r="M283">
        <f t="shared" si="38"/>
        <v>0</v>
      </c>
      <c r="N283">
        <f t="shared" si="39"/>
        <v>1</v>
      </c>
      <c r="O283">
        <f t="shared" si="40"/>
        <v>0</v>
      </c>
      <c r="P283">
        <f t="shared" si="41"/>
        <v>0</v>
      </c>
      <c r="Q283">
        <f t="shared" si="44"/>
        <v>0</v>
      </c>
      <c r="R283">
        <f t="shared" si="42"/>
        <v>0</v>
      </c>
      <c r="S283">
        <f t="shared" si="43"/>
        <v>3</v>
      </c>
    </row>
    <row r="284" spans="1:19" x14ac:dyDescent="0.2">
      <c r="A284">
        <v>283</v>
      </c>
      <c r="B284">
        <v>500</v>
      </c>
      <c r="C284">
        <v>10</v>
      </c>
      <c r="D284">
        <v>1E-3</v>
      </c>
      <c r="E284">
        <v>20</v>
      </c>
      <c r="F284">
        <v>100</v>
      </c>
      <c r="G284" s="3">
        <v>0.9</v>
      </c>
      <c r="H284">
        <v>0.05</v>
      </c>
      <c r="I284" t="s">
        <v>159</v>
      </c>
      <c r="J284" t="s">
        <v>128</v>
      </c>
      <c r="K284">
        <f t="shared" si="36"/>
        <v>1</v>
      </c>
      <c r="L284">
        <f t="shared" si="37"/>
        <v>1</v>
      </c>
      <c r="M284">
        <f t="shared" si="38"/>
        <v>1</v>
      </c>
      <c r="N284">
        <f t="shared" si="39"/>
        <v>1</v>
      </c>
      <c r="O284">
        <f t="shared" si="40"/>
        <v>1</v>
      </c>
      <c r="P284">
        <f t="shared" si="41"/>
        <v>0</v>
      </c>
      <c r="Q284">
        <f t="shared" si="44"/>
        <v>1</v>
      </c>
      <c r="R284">
        <f t="shared" si="42"/>
        <v>1</v>
      </c>
      <c r="S284">
        <f t="shared" si="43"/>
        <v>7</v>
      </c>
    </row>
    <row r="285" spans="1:19" x14ac:dyDescent="0.2">
      <c r="A285">
        <v>284</v>
      </c>
      <c r="B285">
        <v>600</v>
      </c>
      <c r="C285">
        <v>10</v>
      </c>
      <c r="D285">
        <v>0.5</v>
      </c>
      <c r="E285">
        <v>20</v>
      </c>
      <c r="F285">
        <v>100</v>
      </c>
      <c r="G285">
        <v>50</v>
      </c>
      <c r="H285">
        <v>0.1</v>
      </c>
      <c r="I285">
        <v>100</v>
      </c>
      <c r="J285" t="s">
        <v>117</v>
      </c>
      <c r="K285">
        <f t="shared" si="36"/>
        <v>0</v>
      </c>
      <c r="L285">
        <f t="shared" si="37"/>
        <v>1</v>
      </c>
      <c r="M285">
        <f t="shared" si="38"/>
        <v>0</v>
      </c>
      <c r="N285">
        <f t="shared" si="39"/>
        <v>1</v>
      </c>
      <c r="O285">
        <f t="shared" si="40"/>
        <v>1</v>
      </c>
      <c r="P285">
        <f t="shared" si="41"/>
        <v>1</v>
      </c>
      <c r="Q285">
        <f t="shared" si="44"/>
        <v>0</v>
      </c>
      <c r="R285">
        <f t="shared" si="42"/>
        <v>0</v>
      </c>
      <c r="S285">
        <f t="shared" si="43"/>
        <v>4</v>
      </c>
    </row>
    <row r="286" spans="1:19" x14ac:dyDescent="0.2">
      <c r="A286">
        <v>285</v>
      </c>
      <c r="B286">
        <v>600</v>
      </c>
      <c r="C286">
        <v>0.1</v>
      </c>
      <c r="D286">
        <v>1</v>
      </c>
      <c r="E286">
        <v>25</v>
      </c>
      <c r="F286">
        <v>100</v>
      </c>
      <c r="G286">
        <v>40</v>
      </c>
      <c r="H286">
        <v>0.1</v>
      </c>
      <c r="I286">
        <v>100</v>
      </c>
      <c r="J286" t="s">
        <v>123</v>
      </c>
      <c r="K286">
        <f t="shared" si="36"/>
        <v>0</v>
      </c>
      <c r="L286">
        <f t="shared" si="37"/>
        <v>0</v>
      </c>
      <c r="M286">
        <f t="shared" si="38"/>
        <v>0</v>
      </c>
      <c r="N286">
        <f t="shared" si="39"/>
        <v>0</v>
      </c>
      <c r="O286">
        <f t="shared" si="40"/>
        <v>1</v>
      </c>
      <c r="P286">
        <f t="shared" si="41"/>
        <v>0</v>
      </c>
      <c r="Q286">
        <f t="shared" si="44"/>
        <v>0</v>
      </c>
      <c r="R286">
        <f t="shared" si="42"/>
        <v>0</v>
      </c>
      <c r="S286">
        <f t="shared" si="43"/>
        <v>1</v>
      </c>
    </row>
    <row r="287" spans="1:19" x14ac:dyDescent="0.2">
      <c r="A287">
        <v>286</v>
      </c>
      <c r="B287">
        <v>500</v>
      </c>
      <c r="C287">
        <v>10</v>
      </c>
      <c r="D287">
        <v>0.01</v>
      </c>
      <c r="E287">
        <v>20</v>
      </c>
      <c r="F287">
        <v>100</v>
      </c>
      <c r="G287" s="3">
        <v>0.9</v>
      </c>
      <c r="H287" s="5">
        <v>0.05</v>
      </c>
      <c r="I287" t="s">
        <v>164</v>
      </c>
      <c r="J287" t="s">
        <v>128</v>
      </c>
      <c r="K287">
        <f t="shared" si="36"/>
        <v>1</v>
      </c>
      <c r="L287">
        <f t="shared" si="37"/>
        <v>1</v>
      </c>
      <c r="M287">
        <f t="shared" si="38"/>
        <v>0</v>
      </c>
      <c r="N287">
        <f t="shared" si="39"/>
        <v>1</v>
      </c>
      <c r="O287">
        <f t="shared" si="40"/>
        <v>1</v>
      </c>
      <c r="P287">
        <f t="shared" si="41"/>
        <v>0</v>
      </c>
      <c r="Q287">
        <f t="shared" si="44"/>
        <v>1</v>
      </c>
      <c r="R287">
        <f t="shared" si="42"/>
        <v>0</v>
      </c>
      <c r="S287">
        <f t="shared" si="43"/>
        <v>5</v>
      </c>
    </row>
    <row r="288" spans="1:19" x14ac:dyDescent="0.2">
      <c r="A288">
        <v>287</v>
      </c>
      <c r="B288">
        <v>500</v>
      </c>
      <c r="C288">
        <v>10</v>
      </c>
      <c r="D288" s="4">
        <v>1.0000000000000001E-5</v>
      </c>
      <c r="E288" s="3">
        <v>0.2</v>
      </c>
      <c r="F288">
        <v>100</v>
      </c>
      <c r="G288" s="3">
        <v>0.18</v>
      </c>
      <c r="H288">
        <v>0.1</v>
      </c>
      <c r="I288" t="s">
        <v>164</v>
      </c>
      <c r="J288" t="s">
        <v>123</v>
      </c>
      <c r="K288">
        <f t="shared" si="36"/>
        <v>1</v>
      </c>
      <c r="L288">
        <f t="shared" si="37"/>
        <v>1</v>
      </c>
      <c r="M288">
        <f t="shared" si="38"/>
        <v>0</v>
      </c>
      <c r="N288">
        <f t="shared" si="39"/>
        <v>1</v>
      </c>
      <c r="O288">
        <f t="shared" si="40"/>
        <v>1</v>
      </c>
      <c r="P288">
        <f t="shared" si="41"/>
        <v>0</v>
      </c>
      <c r="Q288">
        <f t="shared" si="44"/>
        <v>0</v>
      </c>
      <c r="R288">
        <f t="shared" si="42"/>
        <v>0</v>
      </c>
      <c r="S288">
        <f t="shared" si="43"/>
        <v>4</v>
      </c>
    </row>
    <row r="289" spans="1:19" x14ac:dyDescent="0.2">
      <c r="A289">
        <v>288</v>
      </c>
      <c r="B289">
        <v>333</v>
      </c>
      <c r="C289">
        <v>10</v>
      </c>
      <c r="D289">
        <v>10</v>
      </c>
      <c r="E289">
        <v>20</v>
      </c>
      <c r="F289">
        <v>100</v>
      </c>
      <c r="G289">
        <v>90</v>
      </c>
      <c r="H289">
        <v>0.05</v>
      </c>
      <c r="I289">
        <v>5</v>
      </c>
      <c r="J289" t="s">
        <v>135</v>
      </c>
      <c r="K289">
        <f t="shared" si="36"/>
        <v>0</v>
      </c>
      <c r="L289">
        <f t="shared" si="37"/>
        <v>1</v>
      </c>
      <c r="M289">
        <f t="shared" si="38"/>
        <v>0</v>
      </c>
      <c r="N289">
        <f t="shared" si="39"/>
        <v>1</v>
      </c>
      <c r="O289">
        <f t="shared" si="40"/>
        <v>1</v>
      </c>
      <c r="P289">
        <f t="shared" si="41"/>
        <v>0</v>
      </c>
      <c r="Q289">
        <f t="shared" si="44"/>
        <v>1</v>
      </c>
      <c r="R289">
        <f t="shared" si="42"/>
        <v>1</v>
      </c>
      <c r="S289">
        <f t="shared" si="43"/>
        <v>5</v>
      </c>
    </row>
    <row r="290" spans="1:19" x14ac:dyDescent="0.2">
      <c r="A290">
        <v>289</v>
      </c>
      <c r="B290">
        <v>500</v>
      </c>
      <c r="C290">
        <v>10</v>
      </c>
      <c r="D290" s="4">
        <v>1E-3</v>
      </c>
      <c r="E290">
        <v>20</v>
      </c>
      <c r="F290">
        <v>10</v>
      </c>
      <c r="G290" s="3">
        <v>0.5</v>
      </c>
      <c r="H290" s="5">
        <v>0.05</v>
      </c>
      <c r="I290" t="s">
        <v>159</v>
      </c>
      <c r="J290" t="s">
        <v>123</v>
      </c>
      <c r="K290">
        <f t="shared" si="36"/>
        <v>1</v>
      </c>
      <c r="L290">
        <f t="shared" si="37"/>
        <v>1</v>
      </c>
      <c r="M290">
        <f t="shared" si="38"/>
        <v>1</v>
      </c>
      <c r="N290">
        <f t="shared" si="39"/>
        <v>1</v>
      </c>
      <c r="O290">
        <f t="shared" si="40"/>
        <v>0</v>
      </c>
      <c r="P290">
        <f t="shared" si="41"/>
        <v>1</v>
      </c>
      <c r="Q290">
        <f t="shared" si="44"/>
        <v>1</v>
      </c>
      <c r="R290">
        <f t="shared" si="42"/>
        <v>1</v>
      </c>
      <c r="S290">
        <f t="shared" si="43"/>
        <v>7</v>
      </c>
    </row>
    <row r="291" spans="1:19" x14ac:dyDescent="0.2">
      <c r="A291">
        <v>290</v>
      </c>
      <c r="B291" s="3">
        <v>0.5</v>
      </c>
      <c r="C291">
        <v>10</v>
      </c>
      <c r="D291" s="3">
        <v>0.01</v>
      </c>
      <c r="E291" s="3">
        <v>0.2</v>
      </c>
      <c r="F291">
        <v>100</v>
      </c>
      <c r="G291" s="3">
        <v>0.9</v>
      </c>
      <c r="H291" t="s">
        <v>703</v>
      </c>
      <c r="I291" t="s">
        <v>122</v>
      </c>
      <c r="J291" t="s">
        <v>135</v>
      </c>
      <c r="K291">
        <f t="shared" si="36"/>
        <v>1</v>
      </c>
      <c r="L291">
        <f t="shared" si="37"/>
        <v>1</v>
      </c>
      <c r="M291">
        <f t="shared" si="38"/>
        <v>0</v>
      </c>
      <c r="N291">
        <f t="shared" si="39"/>
        <v>1</v>
      </c>
      <c r="O291">
        <f t="shared" si="40"/>
        <v>1</v>
      </c>
      <c r="P291">
        <f t="shared" si="41"/>
        <v>0</v>
      </c>
      <c r="Q291">
        <f t="shared" si="44"/>
        <v>0</v>
      </c>
      <c r="R291">
        <f t="shared" si="42"/>
        <v>0</v>
      </c>
      <c r="S291">
        <f t="shared" si="43"/>
        <v>4</v>
      </c>
    </row>
    <row r="292" spans="1:19" x14ac:dyDescent="0.2">
      <c r="A292">
        <v>291</v>
      </c>
      <c r="B292">
        <v>330</v>
      </c>
      <c r="C292">
        <v>10</v>
      </c>
      <c r="D292">
        <v>0.1</v>
      </c>
      <c r="E292">
        <v>20</v>
      </c>
      <c r="F292">
        <v>1</v>
      </c>
      <c r="G292">
        <v>90</v>
      </c>
      <c r="H292">
        <v>0.1</v>
      </c>
      <c r="I292">
        <v>5</v>
      </c>
      <c r="J292" t="s">
        <v>117</v>
      </c>
      <c r="K292">
        <f t="shared" si="36"/>
        <v>0</v>
      </c>
      <c r="L292">
        <f t="shared" si="37"/>
        <v>1</v>
      </c>
      <c r="M292">
        <f t="shared" si="38"/>
        <v>1</v>
      </c>
      <c r="N292">
        <f t="shared" si="39"/>
        <v>1</v>
      </c>
      <c r="O292">
        <f t="shared" si="40"/>
        <v>0</v>
      </c>
      <c r="P292">
        <f t="shared" si="41"/>
        <v>0</v>
      </c>
      <c r="Q292">
        <f t="shared" si="44"/>
        <v>0</v>
      </c>
      <c r="R292">
        <f t="shared" si="42"/>
        <v>1</v>
      </c>
      <c r="S292">
        <f t="shared" si="43"/>
        <v>4</v>
      </c>
    </row>
    <row r="293" spans="1:19" x14ac:dyDescent="0.2">
      <c r="A293">
        <v>292</v>
      </c>
      <c r="B293">
        <v>500</v>
      </c>
      <c r="C293">
        <v>10</v>
      </c>
      <c r="D293">
        <v>0.1</v>
      </c>
      <c r="E293">
        <v>20</v>
      </c>
      <c r="F293">
        <v>10</v>
      </c>
      <c r="G293" t="s">
        <v>1045</v>
      </c>
      <c r="H293" t="s">
        <v>134</v>
      </c>
      <c r="I293" t="s">
        <v>159</v>
      </c>
      <c r="J293" t="s">
        <v>135</v>
      </c>
      <c r="K293">
        <f t="shared" si="36"/>
        <v>1</v>
      </c>
      <c r="L293">
        <f t="shared" si="37"/>
        <v>1</v>
      </c>
      <c r="M293">
        <f t="shared" si="38"/>
        <v>1</v>
      </c>
      <c r="N293">
        <f t="shared" si="39"/>
        <v>1</v>
      </c>
      <c r="O293">
        <f t="shared" si="40"/>
        <v>0</v>
      </c>
      <c r="P293">
        <f t="shared" si="41"/>
        <v>0</v>
      </c>
      <c r="Q293">
        <f t="shared" si="44"/>
        <v>1</v>
      </c>
      <c r="R293">
        <f t="shared" si="42"/>
        <v>1</v>
      </c>
      <c r="S293">
        <f t="shared" si="43"/>
        <v>6</v>
      </c>
    </row>
    <row r="294" spans="1:19" x14ac:dyDescent="0.2">
      <c r="A294">
        <v>293</v>
      </c>
      <c r="B294">
        <v>500</v>
      </c>
      <c r="C294">
        <v>10</v>
      </c>
      <c r="D294">
        <v>0.1</v>
      </c>
      <c r="E294">
        <v>20</v>
      </c>
      <c r="F294">
        <v>100</v>
      </c>
      <c r="G294">
        <v>50</v>
      </c>
      <c r="H294">
        <v>0.05</v>
      </c>
      <c r="I294">
        <v>5</v>
      </c>
      <c r="J294" t="s">
        <v>128</v>
      </c>
      <c r="K294">
        <f t="shared" si="36"/>
        <v>1</v>
      </c>
      <c r="L294">
        <f t="shared" si="37"/>
        <v>1</v>
      </c>
      <c r="M294">
        <f t="shared" si="38"/>
        <v>1</v>
      </c>
      <c r="N294">
        <f t="shared" si="39"/>
        <v>1</v>
      </c>
      <c r="O294">
        <f t="shared" si="40"/>
        <v>1</v>
      </c>
      <c r="P294">
        <f t="shared" si="41"/>
        <v>1</v>
      </c>
      <c r="Q294">
        <f t="shared" si="44"/>
        <v>1</v>
      </c>
      <c r="R294">
        <f t="shared" si="42"/>
        <v>1</v>
      </c>
      <c r="S294">
        <f t="shared" si="43"/>
        <v>8</v>
      </c>
    </row>
    <row r="295" spans="1:19" x14ac:dyDescent="0.2">
      <c r="A295">
        <v>294</v>
      </c>
      <c r="B295">
        <v>500</v>
      </c>
      <c r="C295">
        <v>10</v>
      </c>
      <c r="D295" s="4">
        <v>1E-3</v>
      </c>
      <c r="E295">
        <v>20</v>
      </c>
      <c r="F295">
        <v>1</v>
      </c>
      <c r="G295" s="3">
        <v>0.9</v>
      </c>
      <c r="H295" s="5">
        <v>0.05</v>
      </c>
      <c r="I295">
        <v>5</v>
      </c>
      <c r="J295" t="s">
        <v>123</v>
      </c>
      <c r="K295">
        <f t="shared" si="36"/>
        <v>1</v>
      </c>
      <c r="L295">
        <f t="shared" si="37"/>
        <v>1</v>
      </c>
      <c r="M295">
        <f t="shared" si="38"/>
        <v>1</v>
      </c>
      <c r="N295">
        <f t="shared" si="39"/>
        <v>1</v>
      </c>
      <c r="O295">
        <f t="shared" si="40"/>
        <v>0</v>
      </c>
      <c r="P295">
        <f t="shared" si="41"/>
        <v>0</v>
      </c>
      <c r="Q295">
        <f t="shared" si="44"/>
        <v>1</v>
      </c>
      <c r="R295">
        <f t="shared" si="42"/>
        <v>1</v>
      </c>
      <c r="S295">
        <f t="shared" si="43"/>
        <v>6</v>
      </c>
    </row>
    <row r="296" spans="1:19" x14ac:dyDescent="0.2">
      <c r="A296">
        <v>295</v>
      </c>
      <c r="B296">
        <v>500</v>
      </c>
      <c r="C296">
        <v>10</v>
      </c>
      <c r="D296">
        <v>0.1</v>
      </c>
      <c r="E296">
        <v>20</v>
      </c>
      <c r="F296">
        <v>100</v>
      </c>
      <c r="G296">
        <v>0.5</v>
      </c>
      <c r="H296">
        <v>0.05</v>
      </c>
      <c r="I296">
        <v>5</v>
      </c>
      <c r="J296" t="s">
        <v>135</v>
      </c>
      <c r="K296">
        <f t="shared" si="36"/>
        <v>1</v>
      </c>
      <c r="L296">
        <f t="shared" si="37"/>
        <v>1</v>
      </c>
      <c r="M296">
        <f t="shared" si="38"/>
        <v>1</v>
      </c>
      <c r="N296">
        <f t="shared" si="39"/>
        <v>1</v>
      </c>
      <c r="O296">
        <f t="shared" si="40"/>
        <v>1</v>
      </c>
      <c r="P296">
        <f t="shared" si="41"/>
        <v>1</v>
      </c>
      <c r="Q296">
        <f t="shared" si="44"/>
        <v>1</v>
      </c>
      <c r="R296">
        <f t="shared" si="42"/>
        <v>1</v>
      </c>
      <c r="S296">
        <f t="shared" si="43"/>
        <v>8</v>
      </c>
    </row>
    <row r="297" spans="1:19" x14ac:dyDescent="0.2">
      <c r="A297">
        <v>296</v>
      </c>
      <c r="B297">
        <v>500</v>
      </c>
      <c r="C297">
        <v>10</v>
      </c>
      <c r="D297" s="4">
        <v>1E-3</v>
      </c>
      <c r="E297">
        <v>20</v>
      </c>
      <c r="F297">
        <v>10</v>
      </c>
      <c r="G297" t="s">
        <v>1459</v>
      </c>
      <c r="H297">
        <v>0.05</v>
      </c>
      <c r="I297">
        <v>10</v>
      </c>
      <c r="J297" t="s">
        <v>123</v>
      </c>
      <c r="K297">
        <f t="shared" si="36"/>
        <v>1</v>
      </c>
      <c r="L297">
        <f t="shared" si="37"/>
        <v>1</v>
      </c>
      <c r="M297">
        <f t="shared" si="38"/>
        <v>1</v>
      </c>
      <c r="N297">
        <f t="shared" si="39"/>
        <v>1</v>
      </c>
      <c r="O297">
        <f t="shared" si="40"/>
        <v>0</v>
      </c>
      <c r="P297">
        <f t="shared" si="41"/>
        <v>0</v>
      </c>
      <c r="Q297">
        <f t="shared" si="44"/>
        <v>1</v>
      </c>
      <c r="R297">
        <f t="shared" si="42"/>
        <v>0</v>
      </c>
      <c r="S297">
        <f t="shared" si="43"/>
        <v>5</v>
      </c>
    </row>
    <row r="298" spans="1:19" x14ac:dyDescent="0.2">
      <c r="A298">
        <v>297</v>
      </c>
      <c r="B298">
        <v>500</v>
      </c>
      <c r="C298">
        <v>10</v>
      </c>
      <c r="D298">
        <v>1E-3</v>
      </c>
      <c r="E298">
        <v>20</v>
      </c>
      <c r="F298">
        <v>100</v>
      </c>
      <c r="G298" s="3">
        <v>0.9</v>
      </c>
      <c r="H298">
        <v>1.05</v>
      </c>
      <c r="I298">
        <v>5</v>
      </c>
      <c r="J298" t="s">
        <v>128</v>
      </c>
      <c r="K298">
        <f t="shared" si="36"/>
        <v>1</v>
      </c>
      <c r="L298">
        <f t="shared" si="37"/>
        <v>1</v>
      </c>
      <c r="M298">
        <f t="shared" si="38"/>
        <v>1</v>
      </c>
      <c r="N298">
        <f t="shared" si="39"/>
        <v>1</v>
      </c>
      <c r="O298">
        <f t="shared" si="40"/>
        <v>1</v>
      </c>
      <c r="P298">
        <f t="shared" si="41"/>
        <v>0</v>
      </c>
      <c r="Q298">
        <f t="shared" si="44"/>
        <v>0</v>
      </c>
      <c r="R298">
        <f t="shared" si="42"/>
        <v>1</v>
      </c>
      <c r="S298">
        <f t="shared" si="43"/>
        <v>6</v>
      </c>
    </row>
    <row r="299" spans="1:19" x14ac:dyDescent="0.2">
      <c r="A299">
        <v>298</v>
      </c>
      <c r="B299">
        <v>500</v>
      </c>
      <c r="C299">
        <v>10</v>
      </c>
      <c r="D299">
        <v>10</v>
      </c>
      <c r="E299">
        <v>20</v>
      </c>
      <c r="F299">
        <v>100</v>
      </c>
      <c r="G299">
        <v>90</v>
      </c>
      <c r="H299">
        <v>0.05</v>
      </c>
      <c r="I299">
        <v>5</v>
      </c>
      <c r="J299" t="s">
        <v>128</v>
      </c>
      <c r="K299">
        <f t="shared" si="36"/>
        <v>1</v>
      </c>
      <c r="L299">
        <f t="shared" si="37"/>
        <v>1</v>
      </c>
      <c r="M299">
        <f t="shared" si="38"/>
        <v>0</v>
      </c>
      <c r="N299">
        <f t="shared" si="39"/>
        <v>1</v>
      </c>
      <c r="O299">
        <f t="shared" si="40"/>
        <v>1</v>
      </c>
      <c r="P299">
        <f t="shared" si="41"/>
        <v>0</v>
      </c>
      <c r="Q299">
        <f t="shared" si="44"/>
        <v>1</v>
      </c>
      <c r="R299">
        <f t="shared" si="42"/>
        <v>1</v>
      </c>
      <c r="S299">
        <f t="shared" si="43"/>
        <v>6</v>
      </c>
    </row>
    <row r="300" spans="1:19" x14ac:dyDescent="0.2">
      <c r="A300">
        <v>299</v>
      </c>
      <c r="B300">
        <v>500</v>
      </c>
      <c r="C300">
        <v>100</v>
      </c>
      <c r="D300" s="3">
        <v>0.01</v>
      </c>
      <c r="E300">
        <v>20</v>
      </c>
      <c r="F300">
        <v>100</v>
      </c>
      <c r="G300">
        <v>10</v>
      </c>
      <c r="H300">
        <v>0.1</v>
      </c>
      <c r="I300" t="s">
        <v>164</v>
      </c>
      <c r="J300" t="s">
        <v>117</v>
      </c>
      <c r="K300">
        <f t="shared" si="36"/>
        <v>1</v>
      </c>
      <c r="L300">
        <f t="shared" si="37"/>
        <v>0</v>
      </c>
      <c r="M300">
        <f t="shared" si="38"/>
        <v>0</v>
      </c>
      <c r="N300">
        <f t="shared" si="39"/>
        <v>1</v>
      </c>
      <c r="O300">
        <f t="shared" si="40"/>
        <v>1</v>
      </c>
      <c r="P300">
        <f t="shared" si="41"/>
        <v>0</v>
      </c>
      <c r="Q300">
        <f t="shared" si="44"/>
        <v>0</v>
      </c>
      <c r="R300">
        <f t="shared" si="42"/>
        <v>0</v>
      </c>
      <c r="S300">
        <f t="shared" si="43"/>
        <v>3</v>
      </c>
    </row>
    <row r="301" spans="1:19" x14ac:dyDescent="0.2">
      <c r="A301">
        <v>300</v>
      </c>
      <c r="B301">
        <v>500</v>
      </c>
      <c r="C301">
        <v>10</v>
      </c>
      <c r="D301">
        <v>10</v>
      </c>
      <c r="E301" t="s">
        <v>1476</v>
      </c>
      <c r="F301">
        <v>100</v>
      </c>
      <c r="G301" s="3">
        <v>0.1</v>
      </c>
      <c r="H301">
        <v>0.1</v>
      </c>
      <c r="I301">
        <v>100</v>
      </c>
      <c r="J301" t="s">
        <v>128</v>
      </c>
      <c r="K301">
        <f t="shared" si="36"/>
        <v>1</v>
      </c>
      <c r="L301">
        <f t="shared" si="37"/>
        <v>1</v>
      </c>
      <c r="M301">
        <f t="shared" si="38"/>
        <v>0</v>
      </c>
      <c r="N301">
        <f t="shared" si="39"/>
        <v>0</v>
      </c>
      <c r="O301">
        <f t="shared" si="40"/>
        <v>1</v>
      </c>
      <c r="P301">
        <f t="shared" si="41"/>
        <v>0</v>
      </c>
      <c r="Q301">
        <f t="shared" si="44"/>
        <v>0</v>
      </c>
      <c r="R301">
        <f t="shared" si="42"/>
        <v>0</v>
      </c>
      <c r="S301">
        <f t="shared" si="43"/>
        <v>3</v>
      </c>
    </row>
    <row r="302" spans="1:19" x14ac:dyDescent="0.2">
      <c r="A302">
        <v>301</v>
      </c>
      <c r="B302">
        <v>500</v>
      </c>
      <c r="C302">
        <v>1</v>
      </c>
      <c r="D302">
        <v>0.1</v>
      </c>
      <c r="E302">
        <v>20</v>
      </c>
      <c r="F302">
        <v>100</v>
      </c>
      <c r="G302">
        <v>50</v>
      </c>
      <c r="H302">
        <v>0.1</v>
      </c>
      <c r="I302">
        <v>5</v>
      </c>
      <c r="J302" t="s">
        <v>117</v>
      </c>
      <c r="K302">
        <f t="shared" si="36"/>
        <v>1</v>
      </c>
      <c r="L302">
        <f t="shared" si="37"/>
        <v>0</v>
      </c>
      <c r="M302">
        <f t="shared" si="38"/>
        <v>1</v>
      </c>
      <c r="N302">
        <f t="shared" si="39"/>
        <v>1</v>
      </c>
      <c r="O302">
        <f t="shared" si="40"/>
        <v>1</v>
      </c>
      <c r="P302">
        <f t="shared" si="41"/>
        <v>1</v>
      </c>
      <c r="Q302">
        <f t="shared" si="44"/>
        <v>0</v>
      </c>
      <c r="R302">
        <f t="shared" si="42"/>
        <v>1</v>
      </c>
      <c r="S302">
        <f t="shared" si="43"/>
        <v>6</v>
      </c>
    </row>
    <row r="303" spans="1:19" x14ac:dyDescent="0.2">
      <c r="A303">
        <v>302</v>
      </c>
      <c r="B303">
        <v>500</v>
      </c>
      <c r="C303">
        <v>10</v>
      </c>
      <c r="D303" s="4">
        <v>1E-3</v>
      </c>
      <c r="E303" s="3">
        <v>0.2</v>
      </c>
      <c r="F303">
        <v>100</v>
      </c>
      <c r="G303" t="s">
        <v>1485</v>
      </c>
      <c r="H303" t="s">
        <v>241</v>
      </c>
      <c r="I303" t="s">
        <v>159</v>
      </c>
      <c r="J303" t="s">
        <v>123</v>
      </c>
      <c r="K303">
        <f t="shared" si="36"/>
        <v>1</v>
      </c>
      <c r="L303">
        <f t="shared" si="37"/>
        <v>1</v>
      </c>
      <c r="M303">
        <f t="shared" si="38"/>
        <v>1</v>
      </c>
      <c r="N303">
        <f t="shared" si="39"/>
        <v>1</v>
      </c>
      <c r="O303">
        <f t="shared" si="40"/>
        <v>1</v>
      </c>
      <c r="P303">
        <f t="shared" si="41"/>
        <v>0</v>
      </c>
      <c r="Q303">
        <f t="shared" si="44"/>
        <v>0</v>
      </c>
      <c r="R303">
        <f t="shared" si="42"/>
        <v>1</v>
      </c>
      <c r="S303">
        <f t="shared" si="43"/>
        <v>6</v>
      </c>
    </row>
    <row r="304" spans="1:19" x14ac:dyDescent="0.2">
      <c r="A304">
        <v>303</v>
      </c>
      <c r="B304">
        <v>500</v>
      </c>
      <c r="C304">
        <v>10</v>
      </c>
      <c r="D304">
        <v>0.01</v>
      </c>
      <c r="E304">
        <v>20</v>
      </c>
      <c r="F304">
        <v>100</v>
      </c>
      <c r="G304">
        <v>10</v>
      </c>
      <c r="H304" t="s">
        <v>134</v>
      </c>
      <c r="I304" t="s">
        <v>159</v>
      </c>
      <c r="J304" t="s">
        <v>123</v>
      </c>
      <c r="K304">
        <f t="shared" si="36"/>
        <v>1</v>
      </c>
      <c r="L304">
        <f t="shared" si="37"/>
        <v>1</v>
      </c>
      <c r="M304">
        <f t="shared" si="38"/>
        <v>0</v>
      </c>
      <c r="N304">
        <f t="shared" si="39"/>
        <v>1</v>
      </c>
      <c r="O304">
        <f t="shared" si="40"/>
        <v>1</v>
      </c>
      <c r="P304">
        <f t="shared" si="41"/>
        <v>0</v>
      </c>
      <c r="Q304">
        <f t="shared" si="44"/>
        <v>1</v>
      </c>
      <c r="R304">
        <f t="shared" si="42"/>
        <v>1</v>
      </c>
      <c r="S304">
        <f t="shared" si="43"/>
        <v>6</v>
      </c>
    </row>
    <row r="305" spans="1:19" x14ac:dyDescent="0.2">
      <c r="A305">
        <v>304</v>
      </c>
      <c r="B305">
        <v>500</v>
      </c>
      <c r="C305">
        <v>100</v>
      </c>
      <c r="D305">
        <v>0.01</v>
      </c>
      <c r="E305" s="3">
        <v>0.2</v>
      </c>
      <c r="F305">
        <v>100</v>
      </c>
      <c r="G305">
        <v>10</v>
      </c>
      <c r="H305">
        <v>0.5</v>
      </c>
      <c r="I305">
        <v>100</v>
      </c>
      <c r="J305" t="s">
        <v>117</v>
      </c>
      <c r="K305">
        <f t="shared" si="36"/>
        <v>1</v>
      </c>
      <c r="L305">
        <f t="shared" si="37"/>
        <v>0</v>
      </c>
      <c r="M305">
        <f t="shared" si="38"/>
        <v>0</v>
      </c>
      <c r="N305">
        <f t="shared" si="39"/>
        <v>1</v>
      </c>
      <c r="O305">
        <f t="shared" si="40"/>
        <v>1</v>
      </c>
      <c r="P305">
        <f t="shared" si="41"/>
        <v>0</v>
      </c>
      <c r="Q305">
        <f t="shared" si="44"/>
        <v>0</v>
      </c>
      <c r="R305">
        <f t="shared" si="42"/>
        <v>0</v>
      </c>
      <c r="S305">
        <f t="shared" si="43"/>
        <v>3</v>
      </c>
    </row>
    <row r="306" spans="1:19" x14ac:dyDescent="0.2">
      <c r="A306">
        <v>305</v>
      </c>
      <c r="B306">
        <v>500</v>
      </c>
      <c r="C306">
        <v>10</v>
      </c>
      <c r="D306">
        <v>0.1</v>
      </c>
      <c r="E306">
        <v>20</v>
      </c>
      <c r="F306">
        <v>100</v>
      </c>
      <c r="G306">
        <v>90</v>
      </c>
      <c r="H306">
        <v>0.05</v>
      </c>
      <c r="I306">
        <v>5</v>
      </c>
      <c r="J306" t="s">
        <v>128</v>
      </c>
      <c r="K306">
        <f t="shared" si="36"/>
        <v>1</v>
      </c>
      <c r="L306">
        <f t="shared" si="37"/>
        <v>1</v>
      </c>
      <c r="M306">
        <f t="shared" si="38"/>
        <v>1</v>
      </c>
      <c r="N306">
        <f t="shared" si="39"/>
        <v>1</v>
      </c>
      <c r="O306">
        <f t="shared" si="40"/>
        <v>1</v>
      </c>
      <c r="P306">
        <f t="shared" si="41"/>
        <v>0</v>
      </c>
      <c r="Q306">
        <f t="shared" si="44"/>
        <v>1</v>
      </c>
      <c r="R306">
        <f t="shared" si="42"/>
        <v>1</v>
      </c>
      <c r="S306">
        <f t="shared" si="43"/>
        <v>7</v>
      </c>
    </row>
    <row r="307" spans="1:19" x14ac:dyDescent="0.2">
      <c r="A307">
        <v>306</v>
      </c>
      <c r="B307">
        <v>500</v>
      </c>
      <c r="C307">
        <v>10</v>
      </c>
      <c r="D307">
        <v>0.1</v>
      </c>
      <c r="E307">
        <v>20</v>
      </c>
      <c r="F307">
        <v>100</v>
      </c>
      <c r="G307">
        <v>50</v>
      </c>
      <c r="H307">
        <v>0.05</v>
      </c>
      <c r="I307" t="s">
        <v>159</v>
      </c>
      <c r="J307" t="s">
        <v>117</v>
      </c>
      <c r="K307">
        <f t="shared" si="36"/>
        <v>1</v>
      </c>
      <c r="L307">
        <f t="shared" si="37"/>
        <v>1</v>
      </c>
      <c r="M307">
        <f t="shared" si="38"/>
        <v>1</v>
      </c>
      <c r="N307">
        <f t="shared" si="39"/>
        <v>1</v>
      </c>
      <c r="O307">
        <f t="shared" si="40"/>
        <v>1</v>
      </c>
      <c r="P307">
        <f t="shared" si="41"/>
        <v>1</v>
      </c>
      <c r="Q307">
        <f t="shared" si="44"/>
        <v>1</v>
      </c>
      <c r="R307">
        <f t="shared" si="42"/>
        <v>1</v>
      </c>
      <c r="S307">
        <f t="shared" si="43"/>
        <v>8</v>
      </c>
    </row>
    <row r="308" spans="1:19" x14ac:dyDescent="0.2">
      <c r="A308">
        <v>307</v>
      </c>
      <c r="B308">
        <v>700</v>
      </c>
      <c r="C308">
        <v>1</v>
      </c>
      <c r="D308">
        <v>0.01</v>
      </c>
      <c r="E308">
        <v>20</v>
      </c>
      <c r="F308">
        <v>100</v>
      </c>
      <c r="G308">
        <v>81</v>
      </c>
      <c r="H308">
        <v>5</v>
      </c>
      <c r="I308">
        <v>5</v>
      </c>
      <c r="J308" t="s">
        <v>123</v>
      </c>
      <c r="K308">
        <f t="shared" si="36"/>
        <v>0</v>
      </c>
      <c r="L308">
        <f t="shared" si="37"/>
        <v>0</v>
      </c>
      <c r="M308">
        <f t="shared" si="38"/>
        <v>0</v>
      </c>
      <c r="N308">
        <f t="shared" si="39"/>
        <v>1</v>
      </c>
      <c r="O308">
        <f t="shared" si="40"/>
        <v>1</v>
      </c>
      <c r="P308">
        <f t="shared" si="41"/>
        <v>0</v>
      </c>
      <c r="Q308">
        <f t="shared" si="44"/>
        <v>0</v>
      </c>
      <c r="R308">
        <f t="shared" si="42"/>
        <v>1</v>
      </c>
      <c r="S308">
        <f t="shared" si="43"/>
        <v>3</v>
      </c>
    </row>
    <row r="309" spans="1:19" x14ac:dyDescent="0.2">
      <c r="A309">
        <v>308</v>
      </c>
      <c r="B309">
        <v>500</v>
      </c>
      <c r="C309">
        <v>10</v>
      </c>
      <c r="D309">
        <v>10</v>
      </c>
      <c r="E309">
        <v>20</v>
      </c>
      <c r="F309">
        <v>100</v>
      </c>
      <c r="G309">
        <v>10</v>
      </c>
      <c r="H309">
        <v>0.1</v>
      </c>
      <c r="I309">
        <v>100</v>
      </c>
      <c r="J309" t="s">
        <v>128</v>
      </c>
      <c r="K309">
        <f t="shared" ref="K309:K372" si="45">IF(OR(B309=500,B309="50%",B309=50%),1,0)</f>
        <v>1</v>
      </c>
      <c r="L309">
        <f t="shared" si="37"/>
        <v>1</v>
      </c>
      <c r="M309">
        <f t="shared" si="38"/>
        <v>0</v>
      </c>
      <c r="N309">
        <f t="shared" si="39"/>
        <v>1</v>
      </c>
      <c r="O309">
        <f t="shared" si="40"/>
        <v>1</v>
      </c>
      <c r="P309">
        <f t="shared" si="41"/>
        <v>0</v>
      </c>
      <c r="Q309">
        <f t="shared" si="44"/>
        <v>0</v>
      </c>
      <c r="R309">
        <f t="shared" si="42"/>
        <v>0</v>
      </c>
      <c r="S309">
        <f t="shared" si="43"/>
        <v>4</v>
      </c>
    </row>
    <row r="310" spans="1:19" x14ac:dyDescent="0.2">
      <c r="A310">
        <v>309</v>
      </c>
      <c r="B310">
        <v>500</v>
      </c>
      <c r="C310">
        <v>10</v>
      </c>
      <c r="D310">
        <v>1</v>
      </c>
      <c r="E310">
        <v>20</v>
      </c>
      <c r="F310">
        <v>100</v>
      </c>
      <c r="G310" s="3">
        <v>0.9</v>
      </c>
      <c r="H310">
        <v>0.1</v>
      </c>
      <c r="I310" t="s">
        <v>1517</v>
      </c>
      <c r="J310" t="s">
        <v>128</v>
      </c>
      <c r="K310">
        <f t="shared" si="45"/>
        <v>1</v>
      </c>
      <c r="L310">
        <f t="shared" si="37"/>
        <v>1</v>
      </c>
      <c r="M310">
        <f t="shared" si="38"/>
        <v>0</v>
      </c>
      <c r="N310">
        <f t="shared" si="39"/>
        <v>1</v>
      </c>
      <c r="O310">
        <f t="shared" si="40"/>
        <v>1</v>
      </c>
      <c r="P310">
        <f t="shared" si="41"/>
        <v>0</v>
      </c>
      <c r="Q310">
        <f t="shared" si="44"/>
        <v>0</v>
      </c>
      <c r="R310">
        <f t="shared" si="42"/>
        <v>0</v>
      </c>
      <c r="S310">
        <f t="shared" si="43"/>
        <v>4</v>
      </c>
    </row>
    <row r="311" spans="1:19" x14ac:dyDescent="0.2">
      <c r="A311">
        <v>310</v>
      </c>
      <c r="B311">
        <v>500</v>
      </c>
      <c r="C311">
        <v>10</v>
      </c>
      <c r="D311">
        <v>0.1</v>
      </c>
      <c r="E311">
        <v>20</v>
      </c>
      <c r="F311">
        <v>100</v>
      </c>
      <c r="G311">
        <v>90</v>
      </c>
      <c r="H311">
        <v>0.05</v>
      </c>
      <c r="I311" t="s">
        <v>159</v>
      </c>
      <c r="J311" t="s">
        <v>135</v>
      </c>
      <c r="K311">
        <f t="shared" si="45"/>
        <v>1</v>
      </c>
      <c r="L311">
        <f t="shared" si="37"/>
        <v>1</v>
      </c>
      <c r="M311">
        <f t="shared" si="38"/>
        <v>1</v>
      </c>
      <c r="N311">
        <f t="shared" si="39"/>
        <v>1</v>
      </c>
      <c r="O311">
        <f t="shared" si="40"/>
        <v>1</v>
      </c>
      <c r="P311">
        <f t="shared" si="41"/>
        <v>0</v>
      </c>
      <c r="Q311">
        <f t="shared" si="44"/>
        <v>1</v>
      </c>
      <c r="R311">
        <f t="shared" si="42"/>
        <v>1</v>
      </c>
      <c r="S311">
        <f t="shared" si="43"/>
        <v>7</v>
      </c>
    </row>
    <row r="312" spans="1:19" x14ac:dyDescent="0.2">
      <c r="A312">
        <v>311</v>
      </c>
      <c r="B312">
        <v>500</v>
      </c>
      <c r="C312">
        <v>10</v>
      </c>
      <c r="D312">
        <v>0.01</v>
      </c>
      <c r="E312">
        <v>20</v>
      </c>
      <c r="F312">
        <v>100</v>
      </c>
      <c r="G312" s="3">
        <v>0.09</v>
      </c>
      <c r="H312">
        <v>0.1</v>
      </c>
      <c r="I312" t="s">
        <v>164</v>
      </c>
      <c r="J312" t="s">
        <v>117</v>
      </c>
      <c r="K312">
        <f t="shared" si="45"/>
        <v>1</v>
      </c>
      <c r="L312">
        <f t="shared" si="37"/>
        <v>1</v>
      </c>
      <c r="M312">
        <f t="shared" si="38"/>
        <v>0</v>
      </c>
      <c r="N312">
        <f t="shared" si="39"/>
        <v>1</v>
      </c>
      <c r="O312">
        <f t="shared" si="40"/>
        <v>1</v>
      </c>
      <c r="P312">
        <f t="shared" si="41"/>
        <v>0</v>
      </c>
      <c r="Q312">
        <f t="shared" si="44"/>
        <v>0</v>
      </c>
      <c r="R312">
        <f t="shared" si="42"/>
        <v>0</v>
      </c>
      <c r="S312">
        <f t="shared" si="43"/>
        <v>4</v>
      </c>
    </row>
    <row r="313" spans="1:19" x14ac:dyDescent="0.2">
      <c r="A313">
        <v>312</v>
      </c>
      <c r="B313">
        <v>500</v>
      </c>
      <c r="C313">
        <v>10</v>
      </c>
      <c r="D313">
        <v>0.01</v>
      </c>
      <c r="E313">
        <v>20</v>
      </c>
      <c r="F313">
        <v>100</v>
      </c>
      <c r="G313">
        <v>80</v>
      </c>
      <c r="H313">
        <v>10</v>
      </c>
      <c r="I313" t="s">
        <v>159</v>
      </c>
      <c r="J313" t="s">
        <v>135</v>
      </c>
      <c r="K313">
        <f t="shared" si="45"/>
        <v>1</v>
      </c>
      <c r="L313">
        <f t="shared" si="37"/>
        <v>1</v>
      </c>
      <c r="M313">
        <f t="shared" si="38"/>
        <v>0</v>
      </c>
      <c r="N313">
        <f t="shared" si="39"/>
        <v>1</v>
      </c>
      <c r="O313">
        <f t="shared" si="40"/>
        <v>1</v>
      </c>
      <c r="P313">
        <f t="shared" si="41"/>
        <v>0</v>
      </c>
      <c r="Q313">
        <f t="shared" si="44"/>
        <v>0</v>
      </c>
      <c r="R313">
        <f t="shared" si="42"/>
        <v>1</v>
      </c>
      <c r="S313">
        <f t="shared" si="43"/>
        <v>5</v>
      </c>
    </row>
    <row r="314" spans="1:19" x14ac:dyDescent="0.2">
      <c r="A314">
        <v>313</v>
      </c>
      <c r="B314">
        <v>500</v>
      </c>
      <c r="C314">
        <v>10</v>
      </c>
      <c r="D314">
        <v>1E-3</v>
      </c>
      <c r="E314">
        <v>20</v>
      </c>
      <c r="F314">
        <v>100</v>
      </c>
      <c r="G314" s="3">
        <v>0.1</v>
      </c>
      <c r="H314">
        <v>0.05</v>
      </c>
      <c r="I314" t="s">
        <v>159</v>
      </c>
      <c r="J314" t="s">
        <v>117</v>
      </c>
      <c r="K314">
        <f t="shared" si="45"/>
        <v>1</v>
      </c>
      <c r="L314">
        <f t="shared" si="37"/>
        <v>1</v>
      </c>
      <c r="M314">
        <f t="shared" si="38"/>
        <v>1</v>
      </c>
      <c r="N314">
        <f t="shared" si="39"/>
        <v>1</v>
      </c>
      <c r="O314">
        <f t="shared" si="40"/>
        <v>1</v>
      </c>
      <c r="P314">
        <f t="shared" si="41"/>
        <v>0</v>
      </c>
      <c r="Q314">
        <f t="shared" si="44"/>
        <v>1</v>
      </c>
      <c r="R314">
        <f t="shared" si="42"/>
        <v>1</v>
      </c>
      <c r="S314">
        <f t="shared" si="43"/>
        <v>7</v>
      </c>
    </row>
    <row r="315" spans="1:19" x14ac:dyDescent="0.2">
      <c r="A315">
        <v>314</v>
      </c>
      <c r="B315">
        <v>500</v>
      </c>
      <c r="C315">
        <v>10</v>
      </c>
      <c r="D315">
        <v>1E-3</v>
      </c>
      <c r="E315">
        <v>20</v>
      </c>
      <c r="F315">
        <v>100</v>
      </c>
      <c r="G315">
        <v>10</v>
      </c>
      <c r="H315">
        <v>5</v>
      </c>
      <c r="I315">
        <v>5</v>
      </c>
      <c r="J315" t="s">
        <v>128</v>
      </c>
      <c r="K315">
        <f t="shared" si="45"/>
        <v>1</v>
      </c>
      <c r="L315">
        <f t="shared" si="37"/>
        <v>1</v>
      </c>
      <c r="M315">
        <f t="shared" si="38"/>
        <v>1</v>
      </c>
      <c r="N315">
        <f t="shared" si="39"/>
        <v>1</v>
      </c>
      <c r="O315">
        <f t="shared" si="40"/>
        <v>1</v>
      </c>
      <c r="P315">
        <f t="shared" si="41"/>
        <v>0</v>
      </c>
      <c r="Q315">
        <f t="shared" si="44"/>
        <v>0</v>
      </c>
      <c r="R315">
        <f t="shared" si="42"/>
        <v>1</v>
      </c>
      <c r="S315">
        <f t="shared" si="43"/>
        <v>6</v>
      </c>
    </row>
    <row r="316" spans="1:19" x14ac:dyDescent="0.2">
      <c r="A316">
        <v>315</v>
      </c>
      <c r="B316">
        <v>500</v>
      </c>
      <c r="C316">
        <v>10</v>
      </c>
      <c r="D316" s="4">
        <v>1E-3</v>
      </c>
      <c r="E316">
        <v>20</v>
      </c>
      <c r="F316">
        <v>100</v>
      </c>
      <c r="G316" s="3">
        <v>0.9</v>
      </c>
      <c r="H316" s="5">
        <v>0.5</v>
      </c>
      <c r="I316" t="s">
        <v>385</v>
      </c>
      <c r="J316" t="s">
        <v>135</v>
      </c>
      <c r="K316">
        <f t="shared" si="45"/>
        <v>1</v>
      </c>
      <c r="L316">
        <f t="shared" si="37"/>
        <v>1</v>
      </c>
      <c r="M316">
        <f t="shared" si="38"/>
        <v>1</v>
      </c>
      <c r="N316">
        <f t="shared" si="39"/>
        <v>1</v>
      </c>
      <c r="O316">
        <f t="shared" si="40"/>
        <v>1</v>
      </c>
      <c r="P316">
        <f t="shared" si="41"/>
        <v>0</v>
      </c>
      <c r="Q316">
        <f t="shared" si="44"/>
        <v>0</v>
      </c>
      <c r="R316">
        <f t="shared" si="42"/>
        <v>1</v>
      </c>
      <c r="S316">
        <f t="shared" si="43"/>
        <v>6</v>
      </c>
    </row>
    <row r="317" spans="1:19" x14ac:dyDescent="0.2">
      <c r="A317">
        <v>316</v>
      </c>
      <c r="B317">
        <v>500</v>
      </c>
      <c r="C317">
        <v>10</v>
      </c>
      <c r="D317">
        <v>0.1</v>
      </c>
      <c r="E317">
        <v>20</v>
      </c>
      <c r="F317">
        <v>100</v>
      </c>
      <c r="G317" s="3">
        <v>0.5</v>
      </c>
      <c r="H317" s="5">
        <v>0.05</v>
      </c>
      <c r="I317" t="s">
        <v>159</v>
      </c>
      <c r="J317" t="s">
        <v>135</v>
      </c>
      <c r="K317">
        <f t="shared" si="45"/>
        <v>1</v>
      </c>
      <c r="L317">
        <f t="shared" si="37"/>
        <v>1</v>
      </c>
      <c r="M317">
        <f t="shared" si="38"/>
        <v>1</v>
      </c>
      <c r="N317">
        <f t="shared" si="39"/>
        <v>1</v>
      </c>
      <c r="O317">
        <f t="shared" si="40"/>
        <v>1</v>
      </c>
      <c r="P317">
        <f t="shared" si="41"/>
        <v>1</v>
      </c>
      <c r="Q317">
        <f t="shared" si="44"/>
        <v>1</v>
      </c>
      <c r="R317">
        <f t="shared" si="42"/>
        <v>1</v>
      </c>
      <c r="S317">
        <f t="shared" si="43"/>
        <v>8</v>
      </c>
    </row>
    <row r="318" spans="1:19" x14ac:dyDescent="0.2">
      <c r="A318">
        <v>317</v>
      </c>
      <c r="B318">
        <v>500</v>
      </c>
      <c r="C318">
        <v>10</v>
      </c>
      <c r="D318" s="3">
        <v>0.01</v>
      </c>
      <c r="E318" s="3">
        <v>0.2</v>
      </c>
      <c r="F318">
        <v>100</v>
      </c>
      <c r="G318" s="3">
        <v>0.09</v>
      </c>
      <c r="H318">
        <v>0.05</v>
      </c>
      <c r="I318" t="s">
        <v>159</v>
      </c>
      <c r="J318" t="s">
        <v>128</v>
      </c>
      <c r="K318">
        <f t="shared" si="45"/>
        <v>1</v>
      </c>
      <c r="L318">
        <f t="shared" si="37"/>
        <v>1</v>
      </c>
      <c r="M318">
        <f t="shared" si="38"/>
        <v>0</v>
      </c>
      <c r="N318">
        <f t="shared" si="39"/>
        <v>1</v>
      </c>
      <c r="O318">
        <f t="shared" si="40"/>
        <v>1</v>
      </c>
      <c r="P318">
        <f t="shared" si="41"/>
        <v>0</v>
      </c>
      <c r="Q318">
        <f t="shared" si="44"/>
        <v>1</v>
      </c>
      <c r="R318">
        <f t="shared" si="42"/>
        <v>1</v>
      </c>
      <c r="S318">
        <f t="shared" si="43"/>
        <v>6</v>
      </c>
    </row>
    <row r="319" spans="1:19" x14ac:dyDescent="0.2">
      <c r="A319">
        <v>318</v>
      </c>
      <c r="B319">
        <v>333</v>
      </c>
      <c r="C319">
        <v>10</v>
      </c>
      <c r="D319">
        <v>1</v>
      </c>
      <c r="E319">
        <v>20</v>
      </c>
      <c r="F319">
        <v>100</v>
      </c>
      <c r="G319">
        <v>5</v>
      </c>
      <c r="H319">
        <v>0.05</v>
      </c>
      <c r="I319">
        <v>5</v>
      </c>
      <c r="J319" t="s">
        <v>123</v>
      </c>
      <c r="K319">
        <f t="shared" si="45"/>
        <v>0</v>
      </c>
      <c r="L319">
        <f t="shared" si="37"/>
        <v>1</v>
      </c>
      <c r="M319">
        <f t="shared" si="38"/>
        <v>0</v>
      </c>
      <c r="N319">
        <f t="shared" si="39"/>
        <v>1</v>
      </c>
      <c r="O319">
        <f t="shared" si="40"/>
        <v>1</v>
      </c>
      <c r="P319">
        <f t="shared" si="41"/>
        <v>0</v>
      </c>
      <c r="Q319">
        <f t="shared" si="44"/>
        <v>1</v>
      </c>
      <c r="R319">
        <f t="shared" si="42"/>
        <v>1</v>
      </c>
      <c r="S319">
        <f t="shared" si="43"/>
        <v>5</v>
      </c>
    </row>
    <row r="320" spans="1:19" x14ac:dyDescent="0.2">
      <c r="A320">
        <v>319</v>
      </c>
      <c r="B320">
        <v>500</v>
      </c>
      <c r="C320">
        <v>10</v>
      </c>
      <c r="D320" s="3">
        <v>0.01</v>
      </c>
      <c r="E320" s="3">
        <v>0.2</v>
      </c>
      <c r="F320">
        <v>100</v>
      </c>
      <c r="G320" s="3">
        <v>0.9</v>
      </c>
      <c r="H320">
        <v>0.1</v>
      </c>
      <c r="I320" t="s">
        <v>159</v>
      </c>
      <c r="J320" t="s">
        <v>123</v>
      </c>
      <c r="K320">
        <f t="shared" si="45"/>
        <v>1</v>
      </c>
      <c r="L320">
        <f t="shared" si="37"/>
        <v>1</v>
      </c>
      <c r="M320">
        <f t="shared" si="38"/>
        <v>0</v>
      </c>
      <c r="N320">
        <f t="shared" si="39"/>
        <v>1</v>
      </c>
      <c r="O320">
        <f t="shared" si="40"/>
        <v>1</v>
      </c>
      <c r="P320">
        <f t="shared" si="41"/>
        <v>0</v>
      </c>
      <c r="Q320">
        <f t="shared" si="44"/>
        <v>0</v>
      </c>
      <c r="R320">
        <f t="shared" si="42"/>
        <v>1</v>
      </c>
      <c r="S320">
        <f t="shared" si="43"/>
        <v>5</v>
      </c>
    </row>
    <row r="321" spans="1:19" x14ac:dyDescent="0.2">
      <c r="A321">
        <v>320</v>
      </c>
      <c r="B321">
        <v>500</v>
      </c>
      <c r="C321">
        <v>10</v>
      </c>
      <c r="D321" s="4">
        <v>1E-3</v>
      </c>
      <c r="E321" s="3">
        <v>0.2</v>
      </c>
      <c r="F321">
        <v>100</v>
      </c>
      <c r="G321" s="3">
        <v>0.82</v>
      </c>
      <c r="H321" t="s">
        <v>241</v>
      </c>
      <c r="I321" t="s">
        <v>164</v>
      </c>
      <c r="J321" t="s">
        <v>128</v>
      </c>
      <c r="K321">
        <f t="shared" si="45"/>
        <v>1</v>
      </c>
      <c r="L321">
        <f t="shared" si="37"/>
        <v>1</v>
      </c>
      <c r="M321">
        <f t="shared" si="38"/>
        <v>1</v>
      </c>
      <c r="N321">
        <f t="shared" si="39"/>
        <v>1</v>
      </c>
      <c r="O321">
        <f t="shared" si="40"/>
        <v>1</v>
      </c>
      <c r="P321">
        <f t="shared" si="41"/>
        <v>0</v>
      </c>
      <c r="Q321">
        <f t="shared" si="44"/>
        <v>0</v>
      </c>
      <c r="R321">
        <f t="shared" si="42"/>
        <v>0</v>
      </c>
      <c r="S321">
        <f t="shared" si="43"/>
        <v>5</v>
      </c>
    </row>
    <row r="322" spans="1:19" x14ac:dyDescent="0.2">
      <c r="A322">
        <v>321</v>
      </c>
      <c r="B322" t="s">
        <v>1572</v>
      </c>
      <c r="C322" t="s">
        <v>1573</v>
      </c>
      <c r="D322" s="4">
        <v>1E-3</v>
      </c>
      <c r="E322" s="3">
        <v>0.2</v>
      </c>
      <c r="F322">
        <v>100</v>
      </c>
      <c r="G322" s="3">
        <v>0.5</v>
      </c>
      <c r="H322" s="5">
        <v>0.05</v>
      </c>
      <c r="I322" t="s">
        <v>164</v>
      </c>
      <c r="J322" t="s">
        <v>128</v>
      </c>
      <c r="K322">
        <f t="shared" si="45"/>
        <v>0</v>
      </c>
      <c r="L322">
        <f t="shared" si="37"/>
        <v>0</v>
      </c>
      <c r="M322">
        <f t="shared" si="38"/>
        <v>1</v>
      </c>
      <c r="N322">
        <f t="shared" si="39"/>
        <v>1</v>
      </c>
      <c r="O322">
        <f t="shared" si="40"/>
        <v>1</v>
      </c>
      <c r="P322">
        <f t="shared" si="41"/>
        <v>1</v>
      </c>
      <c r="Q322">
        <f t="shared" si="44"/>
        <v>1</v>
      </c>
      <c r="R322">
        <f t="shared" si="42"/>
        <v>0</v>
      </c>
      <c r="S322">
        <f t="shared" si="43"/>
        <v>5</v>
      </c>
    </row>
    <row r="323" spans="1:19" x14ac:dyDescent="0.2">
      <c r="A323">
        <v>322</v>
      </c>
      <c r="B323">
        <v>500</v>
      </c>
      <c r="C323">
        <v>10</v>
      </c>
      <c r="D323">
        <v>0.1</v>
      </c>
      <c r="E323" s="3">
        <v>0.2</v>
      </c>
      <c r="F323">
        <v>10</v>
      </c>
      <c r="G323" s="3">
        <v>0.18</v>
      </c>
      <c r="H323" t="s">
        <v>241</v>
      </c>
      <c r="I323" t="s">
        <v>159</v>
      </c>
      <c r="J323" t="s">
        <v>123</v>
      </c>
      <c r="K323">
        <f t="shared" si="45"/>
        <v>1</v>
      </c>
      <c r="L323">
        <f t="shared" ref="L323:L386" si="46">IF(C323=10,1,0)</f>
        <v>1</v>
      </c>
      <c r="M323">
        <f t="shared" ref="M323:M386" si="47">IF(OR(D323=0.1,D323=0.1%),1,0)</f>
        <v>1</v>
      </c>
      <c r="N323">
        <f t="shared" ref="N323:N386" si="48">IF(OR(E323=20,E323=20%),1,0)</f>
        <v>1</v>
      </c>
      <c r="O323">
        <f t="shared" ref="O323:O386" si="49">IF(F323=100,1,0)</f>
        <v>0</v>
      </c>
      <c r="P323">
        <f t="shared" ref="P323:P386" si="50">IF(OR(G323=50%,G323=50),1,0)</f>
        <v>0</v>
      </c>
      <c r="Q323">
        <f t="shared" si="44"/>
        <v>0</v>
      </c>
      <c r="R323">
        <f t="shared" ref="R323:R386" si="51">IF(OR(I323="5 minutes",I323=5, I323="5 min"),1,0)</f>
        <v>1</v>
      </c>
      <c r="S323">
        <f t="shared" ref="S323:S386" si="52">SUM(K323:R323)</f>
        <v>5</v>
      </c>
    </row>
    <row r="324" spans="1:19" x14ac:dyDescent="0.2">
      <c r="A324">
        <v>323</v>
      </c>
      <c r="B324">
        <v>50</v>
      </c>
      <c r="C324">
        <v>10</v>
      </c>
      <c r="D324">
        <v>10</v>
      </c>
      <c r="E324">
        <v>20</v>
      </c>
      <c r="F324">
        <v>100</v>
      </c>
      <c r="G324" t="s">
        <v>1585</v>
      </c>
      <c r="H324" s="5">
        <v>0.1</v>
      </c>
      <c r="I324">
        <v>100</v>
      </c>
      <c r="J324" t="s">
        <v>117</v>
      </c>
      <c r="K324">
        <f t="shared" si="45"/>
        <v>0</v>
      </c>
      <c r="L324">
        <f t="shared" si="46"/>
        <v>1</v>
      </c>
      <c r="M324">
        <f t="shared" si="47"/>
        <v>0</v>
      </c>
      <c r="N324">
        <f t="shared" si="48"/>
        <v>1</v>
      </c>
      <c r="O324">
        <f t="shared" si="49"/>
        <v>1</v>
      </c>
      <c r="P324">
        <f t="shared" si="50"/>
        <v>0</v>
      </c>
      <c r="Q324">
        <f t="shared" si="44"/>
        <v>0</v>
      </c>
      <c r="R324">
        <f t="shared" si="51"/>
        <v>0</v>
      </c>
      <c r="S324">
        <f t="shared" si="52"/>
        <v>3</v>
      </c>
    </row>
    <row r="325" spans="1:19" x14ac:dyDescent="0.2">
      <c r="A325">
        <v>324</v>
      </c>
      <c r="B325" s="3">
        <v>0.5</v>
      </c>
      <c r="C325">
        <v>10</v>
      </c>
      <c r="D325" s="3">
        <v>0.1</v>
      </c>
      <c r="E325">
        <v>20</v>
      </c>
      <c r="F325">
        <v>100</v>
      </c>
      <c r="G325" s="3">
        <v>0.09</v>
      </c>
      <c r="H325" t="s">
        <v>134</v>
      </c>
      <c r="I325">
        <v>5</v>
      </c>
      <c r="J325" t="s">
        <v>128</v>
      </c>
      <c r="K325">
        <f t="shared" si="45"/>
        <v>1</v>
      </c>
      <c r="L325">
        <f t="shared" si="46"/>
        <v>1</v>
      </c>
      <c r="M325">
        <f t="shared" si="47"/>
        <v>1</v>
      </c>
      <c r="N325">
        <f t="shared" si="48"/>
        <v>1</v>
      </c>
      <c r="O325">
        <f t="shared" si="49"/>
        <v>1</v>
      </c>
      <c r="P325">
        <f t="shared" si="50"/>
        <v>0</v>
      </c>
      <c r="Q325">
        <f t="shared" si="44"/>
        <v>1</v>
      </c>
      <c r="R325">
        <f t="shared" si="51"/>
        <v>1</v>
      </c>
      <c r="S325">
        <f t="shared" si="52"/>
        <v>7</v>
      </c>
    </row>
    <row r="326" spans="1:19" x14ac:dyDescent="0.2">
      <c r="A326">
        <v>325</v>
      </c>
      <c r="B326">
        <v>120</v>
      </c>
      <c r="C326">
        <v>10</v>
      </c>
      <c r="D326">
        <v>100</v>
      </c>
      <c r="E326">
        <v>20</v>
      </c>
      <c r="F326">
        <v>10</v>
      </c>
      <c r="G326" t="s">
        <v>1595</v>
      </c>
      <c r="H326">
        <v>5</v>
      </c>
      <c r="I326">
        <v>5</v>
      </c>
      <c r="J326" t="s">
        <v>135</v>
      </c>
      <c r="K326">
        <f t="shared" si="45"/>
        <v>0</v>
      </c>
      <c r="L326">
        <f t="shared" si="46"/>
        <v>1</v>
      </c>
      <c r="M326">
        <f t="shared" si="47"/>
        <v>0</v>
      </c>
      <c r="N326">
        <f t="shared" si="48"/>
        <v>1</v>
      </c>
      <c r="O326">
        <f t="shared" si="49"/>
        <v>0</v>
      </c>
      <c r="P326">
        <f t="shared" si="50"/>
        <v>0</v>
      </c>
      <c r="Q326">
        <f t="shared" si="44"/>
        <v>0</v>
      </c>
      <c r="R326">
        <f t="shared" si="51"/>
        <v>1</v>
      </c>
      <c r="S326">
        <f t="shared" si="52"/>
        <v>3</v>
      </c>
    </row>
    <row r="327" spans="1:19" x14ac:dyDescent="0.2">
      <c r="A327">
        <v>326</v>
      </c>
      <c r="B327">
        <v>660</v>
      </c>
      <c r="C327">
        <v>10</v>
      </c>
      <c r="D327">
        <v>0.01</v>
      </c>
      <c r="E327">
        <v>20</v>
      </c>
      <c r="F327">
        <v>100</v>
      </c>
      <c r="G327" s="3">
        <v>0.9</v>
      </c>
      <c r="H327">
        <v>0.1</v>
      </c>
      <c r="I327">
        <v>100</v>
      </c>
      <c r="J327" t="s">
        <v>117</v>
      </c>
      <c r="K327">
        <f t="shared" si="45"/>
        <v>0</v>
      </c>
      <c r="L327">
        <f t="shared" si="46"/>
        <v>1</v>
      </c>
      <c r="M327">
        <f t="shared" si="47"/>
        <v>0</v>
      </c>
      <c r="N327">
        <f t="shared" si="48"/>
        <v>1</v>
      </c>
      <c r="O327">
        <f t="shared" si="49"/>
        <v>1</v>
      </c>
      <c r="P327">
        <f t="shared" si="50"/>
        <v>0</v>
      </c>
      <c r="Q327">
        <f t="shared" ref="Q327:Q390" si="53">IF(OR(H327="5 cents",H327=0.05,H327="$0.05"),1,0)</f>
        <v>0</v>
      </c>
      <c r="R327">
        <f t="shared" si="51"/>
        <v>0</v>
      </c>
      <c r="S327">
        <f t="shared" si="52"/>
        <v>3</v>
      </c>
    </row>
    <row r="328" spans="1:19" x14ac:dyDescent="0.2">
      <c r="A328">
        <v>327</v>
      </c>
      <c r="B328">
        <v>500</v>
      </c>
      <c r="C328">
        <v>10</v>
      </c>
      <c r="D328">
        <v>0.1</v>
      </c>
      <c r="E328">
        <v>20</v>
      </c>
      <c r="F328">
        <v>100</v>
      </c>
      <c r="G328" s="3">
        <v>0.5</v>
      </c>
      <c r="H328">
        <v>0.05</v>
      </c>
      <c r="I328">
        <v>5</v>
      </c>
      <c r="J328" t="s">
        <v>135</v>
      </c>
      <c r="K328">
        <f t="shared" si="45"/>
        <v>1</v>
      </c>
      <c r="L328">
        <f t="shared" si="46"/>
        <v>1</v>
      </c>
      <c r="M328">
        <f t="shared" si="47"/>
        <v>1</v>
      </c>
      <c r="N328">
        <f t="shared" si="48"/>
        <v>1</v>
      </c>
      <c r="O328">
        <f t="shared" si="49"/>
        <v>1</v>
      </c>
      <c r="P328">
        <f t="shared" si="50"/>
        <v>1</v>
      </c>
      <c r="Q328">
        <f t="shared" si="53"/>
        <v>1</v>
      </c>
      <c r="R328">
        <f t="shared" si="51"/>
        <v>1</v>
      </c>
      <c r="S328">
        <f t="shared" si="52"/>
        <v>8</v>
      </c>
    </row>
    <row r="329" spans="1:19" x14ac:dyDescent="0.2">
      <c r="A329">
        <v>328</v>
      </c>
      <c r="B329">
        <v>500</v>
      </c>
      <c r="C329">
        <v>10</v>
      </c>
      <c r="D329">
        <v>0.1</v>
      </c>
      <c r="E329">
        <v>20</v>
      </c>
      <c r="F329">
        <v>100</v>
      </c>
      <c r="G329" s="3">
        <v>0.5</v>
      </c>
      <c r="H329">
        <v>0.05</v>
      </c>
      <c r="I329" t="s">
        <v>208</v>
      </c>
      <c r="J329" t="s">
        <v>128</v>
      </c>
      <c r="K329">
        <f t="shared" si="45"/>
        <v>1</v>
      </c>
      <c r="L329">
        <f t="shared" si="46"/>
        <v>1</v>
      </c>
      <c r="M329">
        <f t="shared" si="47"/>
        <v>1</v>
      </c>
      <c r="N329">
        <f t="shared" si="48"/>
        <v>1</v>
      </c>
      <c r="O329">
        <f t="shared" si="49"/>
        <v>1</v>
      </c>
      <c r="P329">
        <f t="shared" si="50"/>
        <v>1</v>
      </c>
      <c r="Q329">
        <f t="shared" si="53"/>
        <v>1</v>
      </c>
      <c r="R329">
        <v>1</v>
      </c>
      <c r="S329">
        <f t="shared" si="52"/>
        <v>8</v>
      </c>
    </row>
    <row r="330" spans="1:19" x14ac:dyDescent="0.2">
      <c r="A330">
        <v>329</v>
      </c>
      <c r="B330" t="s">
        <v>1612</v>
      </c>
      <c r="C330" t="s">
        <v>1039</v>
      </c>
      <c r="D330" s="4">
        <v>1E-3</v>
      </c>
      <c r="E330">
        <v>20</v>
      </c>
      <c r="F330">
        <v>100</v>
      </c>
      <c r="G330" t="s">
        <v>1585</v>
      </c>
      <c r="H330" t="s">
        <v>219</v>
      </c>
      <c r="I330" t="s">
        <v>1613</v>
      </c>
      <c r="J330" t="s">
        <v>135</v>
      </c>
      <c r="K330">
        <f t="shared" si="45"/>
        <v>0</v>
      </c>
      <c r="L330">
        <f t="shared" si="46"/>
        <v>0</v>
      </c>
      <c r="M330">
        <f t="shared" si="47"/>
        <v>1</v>
      </c>
      <c r="N330">
        <f t="shared" si="48"/>
        <v>1</v>
      </c>
      <c r="O330">
        <f t="shared" si="49"/>
        <v>1</v>
      </c>
      <c r="P330">
        <f t="shared" si="50"/>
        <v>0</v>
      </c>
      <c r="Q330">
        <f t="shared" si="53"/>
        <v>0</v>
      </c>
      <c r="R330">
        <f t="shared" si="51"/>
        <v>0</v>
      </c>
      <c r="S330">
        <f t="shared" si="52"/>
        <v>3</v>
      </c>
    </row>
    <row r="331" spans="1:19" x14ac:dyDescent="0.2">
      <c r="A331">
        <v>330</v>
      </c>
      <c r="B331">
        <v>500</v>
      </c>
      <c r="C331" t="s">
        <v>1039</v>
      </c>
      <c r="D331">
        <v>1</v>
      </c>
      <c r="E331">
        <v>25</v>
      </c>
      <c r="F331">
        <v>100</v>
      </c>
      <c r="G331" s="3">
        <v>0.09</v>
      </c>
      <c r="H331">
        <v>0.1</v>
      </c>
      <c r="I331" t="s">
        <v>159</v>
      </c>
      <c r="J331" t="s">
        <v>117</v>
      </c>
      <c r="K331">
        <f t="shared" si="45"/>
        <v>1</v>
      </c>
      <c r="L331">
        <f t="shared" si="46"/>
        <v>0</v>
      </c>
      <c r="M331">
        <f t="shared" si="47"/>
        <v>0</v>
      </c>
      <c r="N331">
        <f t="shared" si="48"/>
        <v>0</v>
      </c>
      <c r="O331">
        <f t="shared" si="49"/>
        <v>1</v>
      </c>
      <c r="P331">
        <f t="shared" si="50"/>
        <v>0</v>
      </c>
      <c r="Q331">
        <f t="shared" si="53"/>
        <v>0</v>
      </c>
      <c r="R331">
        <f t="shared" si="51"/>
        <v>1</v>
      </c>
      <c r="S331">
        <f t="shared" si="52"/>
        <v>3</v>
      </c>
    </row>
    <row r="332" spans="1:19" x14ac:dyDescent="0.2">
      <c r="A332">
        <v>331</v>
      </c>
      <c r="B332">
        <v>550</v>
      </c>
      <c r="C332">
        <v>1</v>
      </c>
      <c r="D332" s="3">
        <v>0.01</v>
      </c>
      <c r="E332">
        <v>20</v>
      </c>
      <c r="F332">
        <v>100</v>
      </c>
      <c r="G332" s="3">
        <v>0.01</v>
      </c>
      <c r="H332">
        <v>0.1</v>
      </c>
      <c r="I332" t="s">
        <v>159</v>
      </c>
      <c r="J332" t="s">
        <v>135</v>
      </c>
      <c r="K332">
        <f t="shared" si="45"/>
        <v>0</v>
      </c>
      <c r="L332">
        <f t="shared" si="46"/>
        <v>0</v>
      </c>
      <c r="M332">
        <f t="shared" si="47"/>
        <v>0</v>
      </c>
      <c r="N332">
        <f t="shared" si="48"/>
        <v>1</v>
      </c>
      <c r="O332">
        <f t="shared" si="49"/>
        <v>1</v>
      </c>
      <c r="P332">
        <f t="shared" si="50"/>
        <v>0</v>
      </c>
      <c r="Q332">
        <f t="shared" si="53"/>
        <v>0</v>
      </c>
      <c r="R332">
        <f t="shared" si="51"/>
        <v>1</v>
      </c>
      <c r="S332">
        <f t="shared" si="52"/>
        <v>3</v>
      </c>
    </row>
    <row r="333" spans="1:19" x14ac:dyDescent="0.2">
      <c r="A333">
        <v>332</v>
      </c>
      <c r="B333">
        <v>500</v>
      </c>
      <c r="C333">
        <v>10</v>
      </c>
      <c r="D333" s="4">
        <v>9.9999999999999995E-7</v>
      </c>
      <c r="E333" s="3">
        <v>0.2</v>
      </c>
      <c r="F333">
        <v>100</v>
      </c>
      <c r="G333" s="3">
        <v>0.09</v>
      </c>
      <c r="H333">
        <v>0.1</v>
      </c>
      <c r="I333" t="s">
        <v>1628</v>
      </c>
      <c r="J333" t="s">
        <v>117</v>
      </c>
      <c r="K333">
        <f t="shared" si="45"/>
        <v>1</v>
      </c>
      <c r="L333">
        <f t="shared" si="46"/>
        <v>1</v>
      </c>
      <c r="M333">
        <f t="shared" si="47"/>
        <v>0</v>
      </c>
      <c r="N333">
        <f t="shared" si="48"/>
        <v>1</v>
      </c>
      <c r="O333">
        <f t="shared" si="49"/>
        <v>1</v>
      </c>
      <c r="P333">
        <f t="shared" si="50"/>
        <v>0</v>
      </c>
      <c r="Q333">
        <f t="shared" si="53"/>
        <v>0</v>
      </c>
      <c r="R333">
        <f t="shared" si="51"/>
        <v>0</v>
      </c>
      <c r="S333">
        <f t="shared" si="52"/>
        <v>4</v>
      </c>
    </row>
    <row r="334" spans="1:19" x14ac:dyDescent="0.2">
      <c r="A334">
        <v>333</v>
      </c>
      <c r="B334">
        <v>500</v>
      </c>
      <c r="C334">
        <v>10</v>
      </c>
      <c r="D334">
        <v>0.1</v>
      </c>
      <c r="E334">
        <v>20</v>
      </c>
      <c r="F334">
        <v>100</v>
      </c>
      <c r="G334">
        <v>50</v>
      </c>
      <c r="H334" s="5">
        <v>0.05</v>
      </c>
      <c r="I334" t="s">
        <v>159</v>
      </c>
      <c r="J334" t="s">
        <v>117</v>
      </c>
      <c r="K334">
        <f t="shared" si="45"/>
        <v>1</v>
      </c>
      <c r="L334">
        <f t="shared" si="46"/>
        <v>1</v>
      </c>
      <c r="M334">
        <f t="shared" si="47"/>
        <v>1</v>
      </c>
      <c r="N334">
        <f t="shared" si="48"/>
        <v>1</v>
      </c>
      <c r="O334">
        <f t="shared" si="49"/>
        <v>1</v>
      </c>
      <c r="P334">
        <f t="shared" si="50"/>
        <v>1</v>
      </c>
      <c r="Q334">
        <f t="shared" si="53"/>
        <v>1</v>
      </c>
      <c r="R334">
        <f t="shared" si="51"/>
        <v>1</v>
      </c>
      <c r="S334">
        <f t="shared" si="52"/>
        <v>8</v>
      </c>
    </row>
    <row r="335" spans="1:19" x14ac:dyDescent="0.2">
      <c r="A335">
        <v>334</v>
      </c>
      <c r="B335">
        <v>500</v>
      </c>
      <c r="C335">
        <v>10</v>
      </c>
      <c r="D335" s="4">
        <v>1E-3</v>
      </c>
      <c r="E335">
        <v>20</v>
      </c>
      <c r="F335">
        <v>100</v>
      </c>
      <c r="G335" s="3">
        <v>0.1</v>
      </c>
      <c r="H335" t="s">
        <v>134</v>
      </c>
      <c r="I335" t="s">
        <v>159</v>
      </c>
      <c r="J335" t="s">
        <v>117</v>
      </c>
      <c r="K335">
        <f t="shared" si="45"/>
        <v>1</v>
      </c>
      <c r="L335">
        <f t="shared" si="46"/>
        <v>1</v>
      </c>
      <c r="M335">
        <f t="shared" si="47"/>
        <v>1</v>
      </c>
      <c r="N335">
        <f t="shared" si="48"/>
        <v>1</v>
      </c>
      <c r="O335">
        <f t="shared" si="49"/>
        <v>1</v>
      </c>
      <c r="P335">
        <f t="shared" si="50"/>
        <v>0</v>
      </c>
      <c r="Q335">
        <f t="shared" si="53"/>
        <v>1</v>
      </c>
      <c r="R335">
        <f t="shared" si="51"/>
        <v>1</v>
      </c>
      <c r="S335">
        <f t="shared" si="52"/>
        <v>7</v>
      </c>
    </row>
    <row r="336" spans="1:19" x14ac:dyDescent="0.2">
      <c r="A336">
        <v>335</v>
      </c>
      <c r="B336">
        <v>500</v>
      </c>
      <c r="C336">
        <v>10</v>
      </c>
      <c r="D336">
        <v>0.1</v>
      </c>
      <c r="E336">
        <v>20</v>
      </c>
      <c r="F336">
        <v>100</v>
      </c>
      <c r="G336" t="s">
        <v>1165</v>
      </c>
      <c r="H336">
        <v>0.05</v>
      </c>
      <c r="I336">
        <v>5</v>
      </c>
      <c r="J336" t="s">
        <v>123</v>
      </c>
      <c r="K336">
        <f t="shared" si="45"/>
        <v>1</v>
      </c>
      <c r="L336">
        <f t="shared" si="46"/>
        <v>1</v>
      </c>
      <c r="M336">
        <f t="shared" si="47"/>
        <v>1</v>
      </c>
      <c r="N336">
        <f t="shared" si="48"/>
        <v>1</v>
      </c>
      <c r="O336">
        <f t="shared" si="49"/>
        <v>1</v>
      </c>
      <c r="P336">
        <f t="shared" si="50"/>
        <v>0</v>
      </c>
      <c r="Q336">
        <f t="shared" si="53"/>
        <v>1</v>
      </c>
      <c r="R336">
        <f t="shared" si="51"/>
        <v>1</v>
      </c>
      <c r="S336">
        <f t="shared" si="52"/>
        <v>7</v>
      </c>
    </row>
    <row r="337" spans="1:19" x14ac:dyDescent="0.2">
      <c r="A337">
        <v>336</v>
      </c>
      <c r="B337">
        <v>500</v>
      </c>
      <c r="C337">
        <v>10</v>
      </c>
      <c r="D337" s="3">
        <v>0.1</v>
      </c>
      <c r="E337">
        <v>20</v>
      </c>
      <c r="F337">
        <v>100</v>
      </c>
      <c r="G337" s="3">
        <v>0.18</v>
      </c>
      <c r="H337" t="s">
        <v>985</v>
      </c>
      <c r="I337" t="s">
        <v>404</v>
      </c>
      <c r="J337" t="s">
        <v>123</v>
      </c>
      <c r="K337">
        <f t="shared" si="45"/>
        <v>1</v>
      </c>
      <c r="L337">
        <f t="shared" si="46"/>
        <v>1</v>
      </c>
      <c r="M337">
        <f t="shared" si="47"/>
        <v>1</v>
      </c>
      <c r="N337">
        <f t="shared" si="48"/>
        <v>1</v>
      </c>
      <c r="O337">
        <f t="shared" si="49"/>
        <v>1</v>
      </c>
      <c r="P337">
        <f t="shared" si="50"/>
        <v>0</v>
      </c>
      <c r="Q337">
        <f t="shared" si="53"/>
        <v>0</v>
      </c>
      <c r="R337">
        <f t="shared" si="51"/>
        <v>0</v>
      </c>
      <c r="S337">
        <f t="shared" si="52"/>
        <v>5</v>
      </c>
    </row>
    <row r="338" spans="1:19" x14ac:dyDescent="0.2">
      <c r="A338">
        <v>337</v>
      </c>
      <c r="B338">
        <v>500</v>
      </c>
      <c r="C338">
        <v>10</v>
      </c>
      <c r="D338">
        <v>0.1</v>
      </c>
      <c r="E338">
        <v>20</v>
      </c>
      <c r="F338">
        <v>100</v>
      </c>
      <c r="G338">
        <v>50</v>
      </c>
      <c r="H338">
        <v>0.05</v>
      </c>
      <c r="I338">
        <v>5</v>
      </c>
      <c r="J338" t="s">
        <v>117</v>
      </c>
      <c r="K338">
        <f t="shared" si="45"/>
        <v>1</v>
      </c>
      <c r="L338">
        <f t="shared" si="46"/>
        <v>1</v>
      </c>
      <c r="M338">
        <f t="shared" si="47"/>
        <v>1</v>
      </c>
      <c r="N338">
        <f t="shared" si="48"/>
        <v>1</v>
      </c>
      <c r="O338">
        <f t="shared" si="49"/>
        <v>1</v>
      </c>
      <c r="P338">
        <f t="shared" si="50"/>
        <v>1</v>
      </c>
      <c r="Q338">
        <f t="shared" si="53"/>
        <v>1</v>
      </c>
      <c r="R338">
        <f t="shared" si="51"/>
        <v>1</v>
      </c>
      <c r="S338">
        <f t="shared" si="52"/>
        <v>8</v>
      </c>
    </row>
    <row r="339" spans="1:19" x14ac:dyDescent="0.2">
      <c r="A339">
        <v>338</v>
      </c>
      <c r="B339" s="3">
        <v>0.5</v>
      </c>
      <c r="C339">
        <v>10</v>
      </c>
      <c r="D339" t="s">
        <v>1045</v>
      </c>
      <c r="E339">
        <v>20</v>
      </c>
      <c r="F339">
        <v>100</v>
      </c>
      <c r="G339" t="s">
        <v>625</v>
      </c>
      <c r="H339" s="5">
        <v>0.1</v>
      </c>
      <c r="I339" t="s">
        <v>159</v>
      </c>
      <c r="J339" t="s">
        <v>128</v>
      </c>
      <c r="K339">
        <f t="shared" si="45"/>
        <v>1</v>
      </c>
      <c r="L339">
        <f t="shared" si="46"/>
        <v>1</v>
      </c>
      <c r="M339">
        <f t="shared" si="47"/>
        <v>0</v>
      </c>
      <c r="N339">
        <f t="shared" si="48"/>
        <v>1</v>
      </c>
      <c r="O339">
        <f t="shared" si="49"/>
        <v>1</v>
      </c>
      <c r="P339">
        <f t="shared" si="50"/>
        <v>0</v>
      </c>
      <c r="Q339">
        <f t="shared" si="53"/>
        <v>0</v>
      </c>
      <c r="R339">
        <f t="shared" si="51"/>
        <v>1</v>
      </c>
      <c r="S339">
        <f t="shared" si="52"/>
        <v>5</v>
      </c>
    </row>
    <row r="340" spans="1:19" x14ac:dyDescent="0.2">
      <c r="A340">
        <v>339</v>
      </c>
      <c r="B340">
        <v>500</v>
      </c>
      <c r="C340">
        <v>100</v>
      </c>
      <c r="D340">
        <v>0.1</v>
      </c>
      <c r="E340">
        <v>20</v>
      </c>
      <c r="F340">
        <v>100</v>
      </c>
      <c r="G340">
        <v>10</v>
      </c>
      <c r="H340">
        <v>0.9</v>
      </c>
      <c r="I340">
        <v>100</v>
      </c>
      <c r="J340" t="s">
        <v>128</v>
      </c>
      <c r="K340">
        <f t="shared" si="45"/>
        <v>1</v>
      </c>
      <c r="L340">
        <f t="shared" si="46"/>
        <v>0</v>
      </c>
      <c r="M340">
        <f t="shared" si="47"/>
        <v>1</v>
      </c>
      <c r="N340">
        <f t="shared" si="48"/>
        <v>1</v>
      </c>
      <c r="O340">
        <f t="shared" si="49"/>
        <v>1</v>
      </c>
      <c r="P340">
        <f t="shared" si="50"/>
        <v>0</v>
      </c>
      <c r="Q340">
        <f t="shared" si="53"/>
        <v>0</v>
      </c>
      <c r="R340">
        <f t="shared" si="51"/>
        <v>0</v>
      </c>
      <c r="S340">
        <f t="shared" si="52"/>
        <v>4</v>
      </c>
    </row>
    <row r="341" spans="1:19" x14ac:dyDescent="0.2">
      <c r="A341">
        <v>340</v>
      </c>
      <c r="B341">
        <v>500</v>
      </c>
      <c r="C341">
        <v>10</v>
      </c>
      <c r="D341">
        <v>1E-3</v>
      </c>
      <c r="E341">
        <v>20</v>
      </c>
      <c r="F341">
        <v>100</v>
      </c>
      <c r="G341">
        <v>50</v>
      </c>
      <c r="H341">
        <v>0.05</v>
      </c>
      <c r="I341">
        <v>100</v>
      </c>
      <c r="J341" t="s">
        <v>117</v>
      </c>
      <c r="K341">
        <f t="shared" si="45"/>
        <v>1</v>
      </c>
      <c r="L341">
        <f t="shared" si="46"/>
        <v>1</v>
      </c>
      <c r="M341">
        <f t="shared" si="47"/>
        <v>1</v>
      </c>
      <c r="N341">
        <f t="shared" si="48"/>
        <v>1</v>
      </c>
      <c r="O341">
        <f t="shared" si="49"/>
        <v>1</v>
      </c>
      <c r="P341">
        <f t="shared" si="50"/>
        <v>1</v>
      </c>
      <c r="Q341">
        <f t="shared" si="53"/>
        <v>1</v>
      </c>
      <c r="R341">
        <f t="shared" si="51"/>
        <v>0</v>
      </c>
      <c r="S341">
        <f t="shared" si="52"/>
        <v>7</v>
      </c>
    </row>
    <row r="342" spans="1:19" x14ac:dyDescent="0.2">
      <c r="A342">
        <v>341</v>
      </c>
      <c r="B342">
        <v>500</v>
      </c>
      <c r="C342">
        <v>0.1</v>
      </c>
      <c r="D342">
        <v>0.1</v>
      </c>
      <c r="E342">
        <v>20</v>
      </c>
      <c r="F342">
        <v>100</v>
      </c>
      <c r="G342" s="3">
        <v>0.1</v>
      </c>
      <c r="H342">
        <v>0.05</v>
      </c>
      <c r="I342">
        <v>5</v>
      </c>
      <c r="J342" t="s">
        <v>135</v>
      </c>
      <c r="K342">
        <f t="shared" si="45"/>
        <v>1</v>
      </c>
      <c r="L342">
        <f t="shared" si="46"/>
        <v>0</v>
      </c>
      <c r="M342">
        <f t="shared" si="47"/>
        <v>1</v>
      </c>
      <c r="N342">
        <f t="shared" si="48"/>
        <v>1</v>
      </c>
      <c r="O342">
        <f t="shared" si="49"/>
        <v>1</v>
      </c>
      <c r="P342">
        <f t="shared" si="50"/>
        <v>0</v>
      </c>
      <c r="Q342">
        <f t="shared" si="53"/>
        <v>1</v>
      </c>
      <c r="R342">
        <f t="shared" si="51"/>
        <v>1</v>
      </c>
      <c r="S342">
        <f t="shared" si="52"/>
        <v>6</v>
      </c>
    </row>
    <row r="343" spans="1:19" x14ac:dyDescent="0.2">
      <c r="A343">
        <v>342</v>
      </c>
      <c r="B343">
        <v>500</v>
      </c>
      <c r="C343">
        <v>10</v>
      </c>
      <c r="D343" t="s">
        <v>1018</v>
      </c>
      <c r="E343">
        <v>20</v>
      </c>
      <c r="F343" t="s">
        <v>535</v>
      </c>
      <c r="G343" t="s">
        <v>1673</v>
      </c>
      <c r="H343" t="s">
        <v>134</v>
      </c>
      <c r="I343" t="s">
        <v>208</v>
      </c>
      <c r="J343" t="s">
        <v>117</v>
      </c>
      <c r="K343">
        <f t="shared" si="45"/>
        <v>1</v>
      </c>
      <c r="L343">
        <f t="shared" si="46"/>
        <v>1</v>
      </c>
      <c r="M343">
        <f t="shared" si="47"/>
        <v>0</v>
      </c>
      <c r="N343">
        <f t="shared" si="48"/>
        <v>1</v>
      </c>
      <c r="O343">
        <f t="shared" si="49"/>
        <v>0</v>
      </c>
      <c r="P343">
        <f t="shared" si="50"/>
        <v>0</v>
      </c>
      <c r="Q343">
        <f t="shared" si="53"/>
        <v>1</v>
      </c>
      <c r="R343">
        <v>1</v>
      </c>
      <c r="S343">
        <f t="shared" si="52"/>
        <v>5</v>
      </c>
    </row>
    <row r="344" spans="1:19" x14ac:dyDescent="0.2">
      <c r="A344">
        <v>343</v>
      </c>
      <c r="B344">
        <v>500</v>
      </c>
      <c r="C344">
        <v>1</v>
      </c>
      <c r="D344">
        <v>1E-4</v>
      </c>
      <c r="E344">
        <v>20</v>
      </c>
      <c r="F344">
        <v>1</v>
      </c>
      <c r="G344">
        <v>10</v>
      </c>
      <c r="H344">
        <v>0.1</v>
      </c>
      <c r="I344">
        <v>5</v>
      </c>
      <c r="J344" t="s">
        <v>135</v>
      </c>
      <c r="K344">
        <f t="shared" si="45"/>
        <v>1</v>
      </c>
      <c r="L344">
        <f t="shared" si="46"/>
        <v>0</v>
      </c>
      <c r="M344">
        <f t="shared" si="47"/>
        <v>0</v>
      </c>
      <c r="N344">
        <f t="shared" si="48"/>
        <v>1</v>
      </c>
      <c r="O344">
        <f t="shared" si="49"/>
        <v>0</v>
      </c>
      <c r="P344">
        <f t="shared" si="50"/>
        <v>0</v>
      </c>
      <c r="Q344">
        <f t="shared" si="53"/>
        <v>0</v>
      </c>
      <c r="R344">
        <f t="shared" si="51"/>
        <v>1</v>
      </c>
      <c r="S344">
        <f t="shared" si="52"/>
        <v>3</v>
      </c>
    </row>
    <row r="345" spans="1:19" x14ac:dyDescent="0.2">
      <c r="A345">
        <v>344</v>
      </c>
      <c r="B345" s="3">
        <v>0.5</v>
      </c>
      <c r="C345">
        <v>10</v>
      </c>
      <c r="D345" s="4">
        <v>1E-3</v>
      </c>
      <c r="E345" s="3">
        <v>0.2</v>
      </c>
      <c r="F345">
        <v>100</v>
      </c>
      <c r="G345" s="3">
        <v>0.82</v>
      </c>
      <c r="H345" s="5">
        <v>0.1</v>
      </c>
      <c r="I345">
        <v>5</v>
      </c>
      <c r="J345" t="s">
        <v>117</v>
      </c>
      <c r="K345">
        <f t="shared" si="45"/>
        <v>1</v>
      </c>
      <c r="L345">
        <f t="shared" si="46"/>
        <v>1</v>
      </c>
      <c r="M345">
        <f t="shared" si="47"/>
        <v>1</v>
      </c>
      <c r="N345">
        <f t="shared" si="48"/>
        <v>1</v>
      </c>
      <c r="O345">
        <f t="shared" si="49"/>
        <v>1</v>
      </c>
      <c r="P345">
        <f t="shared" si="50"/>
        <v>0</v>
      </c>
      <c r="Q345">
        <f t="shared" si="53"/>
        <v>0</v>
      </c>
      <c r="R345">
        <f t="shared" si="51"/>
        <v>1</v>
      </c>
      <c r="S345">
        <f t="shared" si="52"/>
        <v>6</v>
      </c>
    </row>
    <row r="346" spans="1:19" x14ac:dyDescent="0.2">
      <c r="A346">
        <v>345</v>
      </c>
      <c r="B346">
        <v>500</v>
      </c>
      <c r="C346">
        <v>10</v>
      </c>
      <c r="D346">
        <v>1</v>
      </c>
      <c r="E346">
        <v>20</v>
      </c>
      <c r="F346">
        <v>100</v>
      </c>
      <c r="G346" t="s">
        <v>1691</v>
      </c>
      <c r="H346" t="s">
        <v>241</v>
      </c>
      <c r="I346" t="s">
        <v>164</v>
      </c>
      <c r="J346" t="s">
        <v>123</v>
      </c>
      <c r="K346">
        <f t="shared" si="45"/>
        <v>1</v>
      </c>
      <c r="L346">
        <f t="shared" si="46"/>
        <v>1</v>
      </c>
      <c r="M346">
        <f t="shared" si="47"/>
        <v>0</v>
      </c>
      <c r="N346">
        <f t="shared" si="48"/>
        <v>1</v>
      </c>
      <c r="O346">
        <f t="shared" si="49"/>
        <v>1</v>
      </c>
      <c r="P346">
        <f t="shared" si="50"/>
        <v>0</v>
      </c>
      <c r="Q346">
        <f t="shared" si="53"/>
        <v>0</v>
      </c>
      <c r="R346">
        <f t="shared" si="51"/>
        <v>0</v>
      </c>
      <c r="S346">
        <f t="shared" si="52"/>
        <v>4</v>
      </c>
    </row>
    <row r="347" spans="1:19" x14ac:dyDescent="0.2">
      <c r="A347">
        <v>346</v>
      </c>
      <c r="B347">
        <v>500</v>
      </c>
      <c r="C347">
        <v>10</v>
      </c>
      <c r="D347" s="3">
        <v>0.01</v>
      </c>
      <c r="E347" s="3">
        <v>0.2</v>
      </c>
      <c r="F347">
        <v>100</v>
      </c>
      <c r="G347" s="3">
        <v>0.9</v>
      </c>
      <c r="H347" s="5">
        <v>0.1</v>
      </c>
      <c r="I347" t="s">
        <v>159</v>
      </c>
      <c r="J347" t="s">
        <v>135</v>
      </c>
      <c r="K347">
        <f t="shared" si="45"/>
        <v>1</v>
      </c>
      <c r="L347">
        <f t="shared" si="46"/>
        <v>1</v>
      </c>
      <c r="M347">
        <f t="shared" si="47"/>
        <v>0</v>
      </c>
      <c r="N347">
        <f t="shared" si="48"/>
        <v>1</v>
      </c>
      <c r="O347">
        <f t="shared" si="49"/>
        <v>1</v>
      </c>
      <c r="P347">
        <f t="shared" si="50"/>
        <v>0</v>
      </c>
      <c r="Q347">
        <f t="shared" si="53"/>
        <v>0</v>
      </c>
      <c r="R347">
        <f t="shared" si="51"/>
        <v>1</v>
      </c>
      <c r="S347">
        <f t="shared" si="52"/>
        <v>5</v>
      </c>
    </row>
    <row r="348" spans="1:19" x14ac:dyDescent="0.2">
      <c r="A348">
        <v>347</v>
      </c>
      <c r="B348">
        <v>500</v>
      </c>
      <c r="C348">
        <v>10</v>
      </c>
      <c r="D348">
        <v>1000</v>
      </c>
      <c r="E348">
        <v>20</v>
      </c>
      <c r="F348">
        <v>100</v>
      </c>
      <c r="G348" t="s">
        <v>1700</v>
      </c>
      <c r="H348" s="5">
        <v>0.1</v>
      </c>
      <c r="I348" t="s">
        <v>164</v>
      </c>
      <c r="J348" t="s">
        <v>123</v>
      </c>
      <c r="K348">
        <f t="shared" si="45"/>
        <v>1</v>
      </c>
      <c r="L348">
        <f t="shared" si="46"/>
        <v>1</v>
      </c>
      <c r="M348">
        <f t="shared" si="47"/>
        <v>0</v>
      </c>
      <c r="N348">
        <f t="shared" si="48"/>
        <v>1</v>
      </c>
      <c r="O348">
        <f t="shared" si="49"/>
        <v>1</v>
      </c>
      <c r="P348">
        <f t="shared" si="50"/>
        <v>0</v>
      </c>
      <c r="Q348">
        <f t="shared" si="53"/>
        <v>0</v>
      </c>
      <c r="R348">
        <f t="shared" si="51"/>
        <v>0</v>
      </c>
      <c r="S348">
        <f t="shared" si="52"/>
        <v>4</v>
      </c>
    </row>
    <row r="349" spans="1:19" x14ac:dyDescent="0.2">
      <c r="A349">
        <v>348</v>
      </c>
      <c r="B349">
        <v>200</v>
      </c>
      <c r="C349">
        <v>10</v>
      </c>
      <c r="D349">
        <v>80</v>
      </c>
      <c r="E349">
        <v>20</v>
      </c>
      <c r="F349">
        <v>100</v>
      </c>
      <c r="G349" t="s">
        <v>1705</v>
      </c>
      <c r="H349" t="s">
        <v>1706</v>
      </c>
      <c r="I349">
        <v>100</v>
      </c>
      <c r="J349" t="s">
        <v>128</v>
      </c>
      <c r="K349">
        <f t="shared" si="45"/>
        <v>0</v>
      </c>
      <c r="L349">
        <f t="shared" si="46"/>
        <v>1</v>
      </c>
      <c r="M349">
        <f t="shared" si="47"/>
        <v>0</v>
      </c>
      <c r="N349">
        <f t="shared" si="48"/>
        <v>1</v>
      </c>
      <c r="O349">
        <f t="shared" si="49"/>
        <v>1</v>
      </c>
      <c r="P349">
        <f t="shared" si="50"/>
        <v>0</v>
      </c>
      <c r="Q349">
        <f t="shared" si="53"/>
        <v>0</v>
      </c>
      <c r="R349">
        <f t="shared" si="51"/>
        <v>0</v>
      </c>
      <c r="S349">
        <f t="shared" si="52"/>
        <v>3</v>
      </c>
    </row>
    <row r="350" spans="1:19" x14ac:dyDescent="0.2">
      <c r="A350">
        <v>349</v>
      </c>
      <c r="B350">
        <v>500</v>
      </c>
      <c r="C350">
        <v>10</v>
      </c>
      <c r="D350" s="3">
        <v>0.01</v>
      </c>
      <c r="E350" s="3">
        <v>0.2</v>
      </c>
      <c r="F350">
        <v>100</v>
      </c>
      <c r="G350" s="3">
        <v>0.9</v>
      </c>
      <c r="H350">
        <v>0.5</v>
      </c>
      <c r="I350">
        <v>500</v>
      </c>
      <c r="J350" t="s">
        <v>123</v>
      </c>
      <c r="K350">
        <f t="shared" si="45"/>
        <v>1</v>
      </c>
      <c r="L350">
        <f t="shared" si="46"/>
        <v>1</v>
      </c>
      <c r="M350">
        <f t="shared" si="47"/>
        <v>0</v>
      </c>
      <c r="N350">
        <f t="shared" si="48"/>
        <v>1</v>
      </c>
      <c r="O350">
        <f t="shared" si="49"/>
        <v>1</v>
      </c>
      <c r="P350">
        <f t="shared" si="50"/>
        <v>0</v>
      </c>
      <c r="Q350">
        <f t="shared" si="53"/>
        <v>0</v>
      </c>
      <c r="R350">
        <f t="shared" si="51"/>
        <v>0</v>
      </c>
      <c r="S350">
        <f t="shared" si="52"/>
        <v>4</v>
      </c>
    </row>
    <row r="351" spans="1:19" x14ac:dyDescent="0.2">
      <c r="A351">
        <v>350</v>
      </c>
      <c r="B351">
        <v>500</v>
      </c>
      <c r="C351">
        <v>10</v>
      </c>
      <c r="D351">
        <v>1E-3</v>
      </c>
      <c r="E351">
        <v>20</v>
      </c>
      <c r="F351">
        <v>100</v>
      </c>
      <c r="G351" t="s">
        <v>1485</v>
      </c>
      <c r="H351">
        <v>0.1</v>
      </c>
      <c r="I351">
        <v>100</v>
      </c>
      <c r="J351" t="s">
        <v>135</v>
      </c>
      <c r="K351">
        <f t="shared" si="45"/>
        <v>1</v>
      </c>
      <c r="L351">
        <f t="shared" si="46"/>
        <v>1</v>
      </c>
      <c r="M351">
        <f t="shared" si="47"/>
        <v>1</v>
      </c>
      <c r="N351">
        <f t="shared" si="48"/>
        <v>1</v>
      </c>
      <c r="O351">
        <f t="shared" si="49"/>
        <v>1</v>
      </c>
      <c r="P351">
        <f t="shared" si="50"/>
        <v>0</v>
      </c>
      <c r="Q351">
        <f t="shared" si="53"/>
        <v>0</v>
      </c>
      <c r="R351">
        <f t="shared" si="51"/>
        <v>0</v>
      </c>
      <c r="S351">
        <f t="shared" si="52"/>
        <v>5</v>
      </c>
    </row>
    <row r="352" spans="1:19" x14ac:dyDescent="0.2">
      <c r="A352">
        <v>351</v>
      </c>
      <c r="B352">
        <v>500</v>
      </c>
      <c r="C352">
        <v>10</v>
      </c>
      <c r="D352" s="4">
        <v>1E-3</v>
      </c>
      <c r="E352">
        <v>20</v>
      </c>
      <c r="F352">
        <v>100</v>
      </c>
      <c r="G352" s="3">
        <v>0.09</v>
      </c>
      <c r="H352">
        <v>0.1</v>
      </c>
      <c r="I352" t="s">
        <v>164</v>
      </c>
      <c r="J352" t="s">
        <v>123</v>
      </c>
      <c r="K352">
        <f t="shared" si="45"/>
        <v>1</v>
      </c>
      <c r="L352">
        <f t="shared" si="46"/>
        <v>1</v>
      </c>
      <c r="M352">
        <f t="shared" si="47"/>
        <v>1</v>
      </c>
      <c r="N352">
        <f t="shared" si="48"/>
        <v>1</v>
      </c>
      <c r="O352">
        <f t="shared" si="49"/>
        <v>1</v>
      </c>
      <c r="P352">
        <f t="shared" si="50"/>
        <v>0</v>
      </c>
      <c r="Q352">
        <f t="shared" si="53"/>
        <v>0</v>
      </c>
      <c r="R352">
        <f t="shared" si="51"/>
        <v>0</v>
      </c>
      <c r="S352">
        <f t="shared" si="52"/>
        <v>5</v>
      </c>
    </row>
    <row r="353" spans="1:19" x14ac:dyDescent="0.2">
      <c r="A353">
        <v>352</v>
      </c>
      <c r="B353">
        <v>500</v>
      </c>
      <c r="C353">
        <v>10</v>
      </c>
      <c r="D353" s="4">
        <v>1E-3</v>
      </c>
      <c r="E353">
        <v>20</v>
      </c>
      <c r="F353">
        <v>100</v>
      </c>
      <c r="G353">
        <v>50</v>
      </c>
      <c r="H353" s="5">
        <v>0.05</v>
      </c>
      <c r="I353" t="s">
        <v>159</v>
      </c>
      <c r="J353" t="s">
        <v>117</v>
      </c>
      <c r="K353">
        <f t="shared" si="45"/>
        <v>1</v>
      </c>
      <c r="L353">
        <f t="shared" si="46"/>
        <v>1</v>
      </c>
      <c r="M353">
        <f t="shared" si="47"/>
        <v>1</v>
      </c>
      <c r="N353">
        <f t="shared" si="48"/>
        <v>1</v>
      </c>
      <c r="O353">
        <f t="shared" si="49"/>
        <v>1</v>
      </c>
      <c r="P353">
        <f t="shared" si="50"/>
        <v>1</v>
      </c>
      <c r="Q353">
        <f t="shared" si="53"/>
        <v>1</v>
      </c>
      <c r="R353">
        <f t="shared" si="51"/>
        <v>1</v>
      </c>
      <c r="S353">
        <f t="shared" si="52"/>
        <v>8</v>
      </c>
    </row>
    <row r="354" spans="1:19" x14ac:dyDescent="0.2">
      <c r="A354">
        <v>353</v>
      </c>
      <c r="B354">
        <v>500</v>
      </c>
      <c r="C354">
        <v>10</v>
      </c>
      <c r="D354">
        <v>0.1</v>
      </c>
      <c r="E354">
        <v>20</v>
      </c>
      <c r="F354">
        <v>10</v>
      </c>
      <c r="G354">
        <v>90</v>
      </c>
      <c r="H354">
        <v>0.05</v>
      </c>
      <c r="I354">
        <v>5</v>
      </c>
      <c r="J354" t="s">
        <v>128</v>
      </c>
      <c r="K354">
        <f t="shared" si="45"/>
        <v>1</v>
      </c>
      <c r="L354">
        <f t="shared" si="46"/>
        <v>1</v>
      </c>
      <c r="M354">
        <f t="shared" si="47"/>
        <v>1</v>
      </c>
      <c r="N354">
        <f t="shared" si="48"/>
        <v>1</v>
      </c>
      <c r="O354">
        <f t="shared" si="49"/>
        <v>0</v>
      </c>
      <c r="P354">
        <f t="shared" si="50"/>
        <v>0</v>
      </c>
      <c r="Q354">
        <f t="shared" si="53"/>
        <v>1</v>
      </c>
      <c r="R354">
        <f t="shared" si="51"/>
        <v>1</v>
      </c>
      <c r="S354">
        <f t="shared" si="52"/>
        <v>6</v>
      </c>
    </row>
    <row r="355" spans="1:19" x14ac:dyDescent="0.2">
      <c r="A355">
        <v>354</v>
      </c>
      <c r="B355" s="3">
        <v>0.55000000000000004</v>
      </c>
      <c r="C355" s="3">
        <v>0.01</v>
      </c>
      <c r="D355" s="4">
        <v>1E-3</v>
      </c>
      <c r="E355" s="3">
        <v>0.2</v>
      </c>
      <c r="F355">
        <v>10</v>
      </c>
      <c r="G355" s="3">
        <v>0.18</v>
      </c>
      <c r="H355" t="s">
        <v>1733</v>
      </c>
      <c r="I355" t="s">
        <v>164</v>
      </c>
      <c r="J355" t="s">
        <v>128</v>
      </c>
      <c r="K355">
        <f t="shared" si="45"/>
        <v>0</v>
      </c>
      <c r="L355">
        <f t="shared" si="46"/>
        <v>0</v>
      </c>
      <c r="M355">
        <f t="shared" si="47"/>
        <v>1</v>
      </c>
      <c r="N355">
        <f t="shared" si="48"/>
        <v>1</v>
      </c>
      <c r="O355">
        <f t="shared" si="49"/>
        <v>0</v>
      </c>
      <c r="P355">
        <f t="shared" si="50"/>
        <v>0</v>
      </c>
      <c r="Q355">
        <f t="shared" si="53"/>
        <v>0</v>
      </c>
      <c r="R355">
        <f t="shared" si="51"/>
        <v>0</v>
      </c>
      <c r="S355">
        <f t="shared" si="52"/>
        <v>2</v>
      </c>
    </row>
    <row r="356" spans="1:19" x14ac:dyDescent="0.2">
      <c r="A356">
        <v>355</v>
      </c>
      <c r="B356">
        <v>500</v>
      </c>
      <c r="C356">
        <v>10</v>
      </c>
      <c r="D356" s="4">
        <v>1E-3</v>
      </c>
      <c r="E356" s="3">
        <v>0.2</v>
      </c>
      <c r="F356">
        <v>10</v>
      </c>
      <c r="G356" t="s">
        <v>1741</v>
      </c>
      <c r="H356" t="s">
        <v>1706</v>
      </c>
      <c r="I356" t="s">
        <v>1742</v>
      </c>
      <c r="J356" t="s">
        <v>123</v>
      </c>
      <c r="K356">
        <f t="shared" si="45"/>
        <v>1</v>
      </c>
      <c r="L356">
        <f t="shared" si="46"/>
        <v>1</v>
      </c>
      <c r="M356">
        <f t="shared" si="47"/>
        <v>1</v>
      </c>
      <c r="N356">
        <f t="shared" si="48"/>
        <v>1</v>
      </c>
      <c r="O356">
        <f t="shared" si="49"/>
        <v>0</v>
      </c>
      <c r="P356">
        <f t="shared" si="50"/>
        <v>0</v>
      </c>
      <c r="Q356">
        <f t="shared" si="53"/>
        <v>0</v>
      </c>
      <c r="R356">
        <f t="shared" si="51"/>
        <v>0</v>
      </c>
      <c r="S356">
        <f t="shared" si="52"/>
        <v>4</v>
      </c>
    </row>
    <row r="357" spans="1:19" x14ac:dyDescent="0.2">
      <c r="A357">
        <v>356</v>
      </c>
      <c r="B357">
        <v>500</v>
      </c>
      <c r="C357">
        <v>10</v>
      </c>
      <c r="D357">
        <v>10</v>
      </c>
      <c r="E357">
        <v>20</v>
      </c>
      <c r="F357">
        <v>100</v>
      </c>
      <c r="G357" s="3">
        <v>0.5</v>
      </c>
      <c r="H357">
        <v>0.05</v>
      </c>
      <c r="I357" t="s">
        <v>159</v>
      </c>
      <c r="J357" t="s">
        <v>128</v>
      </c>
      <c r="K357">
        <f t="shared" si="45"/>
        <v>1</v>
      </c>
      <c r="L357">
        <f t="shared" si="46"/>
        <v>1</v>
      </c>
      <c r="M357">
        <f t="shared" si="47"/>
        <v>0</v>
      </c>
      <c r="N357">
        <f t="shared" si="48"/>
        <v>1</v>
      </c>
      <c r="O357">
        <f t="shared" si="49"/>
        <v>1</v>
      </c>
      <c r="P357">
        <f t="shared" si="50"/>
        <v>1</v>
      </c>
      <c r="Q357">
        <f t="shared" si="53"/>
        <v>1</v>
      </c>
      <c r="R357">
        <f t="shared" si="51"/>
        <v>1</v>
      </c>
      <c r="S357">
        <f t="shared" si="52"/>
        <v>7</v>
      </c>
    </row>
    <row r="358" spans="1:19" x14ac:dyDescent="0.2">
      <c r="A358">
        <v>357</v>
      </c>
      <c r="B358">
        <v>500</v>
      </c>
      <c r="C358">
        <v>10</v>
      </c>
      <c r="D358" s="4">
        <v>1E-3</v>
      </c>
      <c r="E358">
        <v>20</v>
      </c>
      <c r="F358">
        <v>100</v>
      </c>
      <c r="G358" s="3">
        <v>0.5</v>
      </c>
      <c r="H358" s="5">
        <v>0.05</v>
      </c>
      <c r="I358">
        <v>100</v>
      </c>
      <c r="J358" t="s">
        <v>128</v>
      </c>
      <c r="K358">
        <f t="shared" si="45"/>
        <v>1</v>
      </c>
      <c r="L358">
        <f t="shared" si="46"/>
        <v>1</v>
      </c>
      <c r="M358">
        <f t="shared" si="47"/>
        <v>1</v>
      </c>
      <c r="N358">
        <f t="shared" si="48"/>
        <v>1</v>
      </c>
      <c r="O358">
        <f t="shared" si="49"/>
        <v>1</v>
      </c>
      <c r="P358">
        <f t="shared" si="50"/>
        <v>1</v>
      </c>
      <c r="Q358">
        <f t="shared" si="53"/>
        <v>1</v>
      </c>
      <c r="R358">
        <f t="shared" si="51"/>
        <v>0</v>
      </c>
      <c r="S358">
        <f t="shared" si="52"/>
        <v>7</v>
      </c>
    </row>
    <row r="359" spans="1:19" x14ac:dyDescent="0.2">
      <c r="A359">
        <v>358</v>
      </c>
      <c r="B359">
        <v>500</v>
      </c>
      <c r="C359">
        <v>10</v>
      </c>
      <c r="D359">
        <v>1E-3</v>
      </c>
      <c r="E359">
        <v>20</v>
      </c>
      <c r="F359">
        <v>100</v>
      </c>
      <c r="G359" s="3">
        <v>0.9</v>
      </c>
      <c r="H359">
        <v>0.05</v>
      </c>
      <c r="I359" t="s">
        <v>159</v>
      </c>
      <c r="J359" t="s">
        <v>135</v>
      </c>
      <c r="K359">
        <f t="shared" si="45"/>
        <v>1</v>
      </c>
      <c r="L359">
        <f t="shared" si="46"/>
        <v>1</v>
      </c>
      <c r="M359">
        <f t="shared" si="47"/>
        <v>1</v>
      </c>
      <c r="N359">
        <f t="shared" si="48"/>
        <v>1</v>
      </c>
      <c r="O359">
        <f t="shared" si="49"/>
        <v>1</v>
      </c>
      <c r="P359">
        <f t="shared" si="50"/>
        <v>0</v>
      </c>
      <c r="Q359">
        <f t="shared" si="53"/>
        <v>1</v>
      </c>
      <c r="R359">
        <f t="shared" si="51"/>
        <v>1</v>
      </c>
      <c r="S359">
        <f t="shared" si="52"/>
        <v>7</v>
      </c>
    </row>
    <row r="360" spans="1:19" x14ac:dyDescent="0.2">
      <c r="A360">
        <v>359</v>
      </c>
      <c r="B360">
        <v>300</v>
      </c>
      <c r="C360">
        <v>10</v>
      </c>
      <c r="D360">
        <v>10</v>
      </c>
      <c r="E360">
        <v>20</v>
      </c>
      <c r="F360">
        <v>100</v>
      </c>
      <c r="G360" t="s">
        <v>1762</v>
      </c>
      <c r="H360" s="5">
        <v>0.1</v>
      </c>
      <c r="I360" t="s">
        <v>148</v>
      </c>
      <c r="J360" t="s">
        <v>117</v>
      </c>
      <c r="K360">
        <f t="shared" si="45"/>
        <v>0</v>
      </c>
      <c r="L360">
        <f t="shared" si="46"/>
        <v>1</v>
      </c>
      <c r="M360">
        <f t="shared" si="47"/>
        <v>0</v>
      </c>
      <c r="N360">
        <f t="shared" si="48"/>
        <v>1</v>
      </c>
      <c r="O360">
        <f t="shared" si="49"/>
        <v>1</v>
      </c>
      <c r="P360">
        <f t="shared" si="50"/>
        <v>0</v>
      </c>
      <c r="Q360">
        <f t="shared" si="53"/>
        <v>0</v>
      </c>
      <c r="R360">
        <f t="shared" si="51"/>
        <v>0</v>
      </c>
      <c r="S360">
        <f t="shared" si="52"/>
        <v>3</v>
      </c>
    </row>
    <row r="361" spans="1:19" x14ac:dyDescent="0.2">
      <c r="A361">
        <v>360</v>
      </c>
      <c r="B361" s="3">
        <v>0.5</v>
      </c>
      <c r="C361">
        <v>10</v>
      </c>
      <c r="D361" s="4">
        <v>1E-3</v>
      </c>
      <c r="E361">
        <v>20</v>
      </c>
      <c r="F361">
        <v>100</v>
      </c>
      <c r="G361" t="s">
        <v>1768</v>
      </c>
      <c r="H361">
        <v>0.1</v>
      </c>
      <c r="I361" t="s">
        <v>159</v>
      </c>
      <c r="J361" t="s">
        <v>123</v>
      </c>
      <c r="K361">
        <f t="shared" si="45"/>
        <v>1</v>
      </c>
      <c r="L361">
        <f t="shared" si="46"/>
        <v>1</v>
      </c>
      <c r="M361">
        <f t="shared" si="47"/>
        <v>1</v>
      </c>
      <c r="N361">
        <f t="shared" si="48"/>
        <v>1</v>
      </c>
      <c r="O361">
        <f t="shared" si="49"/>
        <v>1</v>
      </c>
      <c r="P361">
        <f t="shared" si="50"/>
        <v>0</v>
      </c>
      <c r="Q361">
        <f t="shared" si="53"/>
        <v>0</v>
      </c>
      <c r="R361">
        <f t="shared" si="51"/>
        <v>1</v>
      </c>
      <c r="S361">
        <f t="shared" si="52"/>
        <v>6</v>
      </c>
    </row>
    <row r="362" spans="1:19" x14ac:dyDescent="0.2">
      <c r="A362">
        <v>361</v>
      </c>
      <c r="B362">
        <v>500</v>
      </c>
      <c r="C362">
        <v>10</v>
      </c>
      <c r="D362">
        <v>0.1</v>
      </c>
      <c r="E362">
        <v>20</v>
      </c>
      <c r="F362">
        <v>100</v>
      </c>
      <c r="G362" s="3">
        <v>0.5</v>
      </c>
      <c r="H362">
        <v>0.05</v>
      </c>
      <c r="I362" t="s">
        <v>159</v>
      </c>
      <c r="J362" t="s">
        <v>135</v>
      </c>
      <c r="K362">
        <f t="shared" si="45"/>
        <v>1</v>
      </c>
      <c r="L362">
        <f t="shared" si="46"/>
        <v>1</v>
      </c>
      <c r="M362">
        <f t="shared" si="47"/>
        <v>1</v>
      </c>
      <c r="N362">
        <f t="shared" si="48"/>
        <v>1</v>
      </c>
      <c r="O362">
        <f t="shared" si="49"/>
        <v>1</v>
      </c>
      <c r="P362">
        <f t="shared" si="50"/>
        <v>1</v>
      </c>
      <c r="Q362">
        <f t="shared" si="53"/>
        <v>1</v>
      </c>
      <c r="R362">
        <f t="shared" si="51"/>
        <v>1</v>
      </c>
      <c r="S362">
        <f t="shared" si="52"/>
        <v>8</v>
      </c>
    </row>
    <row r="363" spans="1:19" x14ac:dyDescent="0.2">
      <c r="A363">
        <v>362</v>
      </c>
      <c r="B363">
        <v>500</v>
      </c>
      <c r="C363">
        <v>10</v>
      </c>
      <c r="D363">
        <v>0.1</v>
      </c>
      <c r="E363">
        <v>20</v>
      </c>
      <c r="F363">
        <v>100</v>
      </c>
      <c r="G363" t="s">
        <v>1777</v>
      </c>
      <c r="H363" t="s">
        <v>134</v>
      </c>
      <c r="I363" t="s">
        <v>159</v>
      </c>
      <c r="J363" t="s">
        <v>117</v>
      </c>
      <c r="K363">
        <f t="shared" si="45"/>
        <v>1</v>
      </c>
      <c r="L363">
        <f t="shared" si="46"/>
        <v>1</v>
      </c>
      <c r="M363">
        <f t="shared" si="47"/>
        <v>1</v>
      </c>
      <c r="N363">
        <f t="shared" si="48"/>
        <v>1</v>
      </c>
      <c r="O363">
        <f t="shared" si="49"/>
        <v>1</v>
      </c>
      <c r="P363">
        <f t="shared" si="50"/>
        <v>0</v>
      </c>
      <c r="Q363">
        <f t="shared" si="53"/>
        <v>1</v>
      </c>
      <c r="R363">
        <f t="shared" si="51"/>
        <v>1</v>
      </c>
      <c r="S363">
        <f t="shared" si="52"/>
        <v>7</v>
      </c>
    </row>
    <row r="364" spans="1:19" x14ac:dyDescent="0.2">
      <c r="A364">
        <v>363</v>
      </c>
      <c r="B364">
        <v>500</v>
      </c>
      <c r="C364">
        <v>10</v>
      </c>
      <c r="D364">
        <v>10</v>
      </c>
      <c r="E364">
        <v>20</v>
      </c>
      <c r="F364">
        <v>100</v>
      </c>
      <c r="G364">
        <v>9</v>
      </c>
      <c r="H364">
        <v>0.05</v>
      </c>
      <c r="I364" t="s">
        <v>159</v>
      </c>
      <c r="J364" t="s">
        <v>117</v>
      </c>
      <c r="K364">
        <f t="shared" si="45"/>
        <v>1</v>
      </c>
      <c r="L364">
        <f t="shared" si="46"/>
        <v>1</v>
      </c>
      <c r="M364">
        <f t="shared" si="47"/>
        <v>0</v>
      </c>
      <c r="N364">
        <f t="shared" si="48"/>
        <v>1</v>
      </c>
      <c r="O364">
        <f t="shared" si="49"/>
        <v>1</v>
      </c>
      <c r="P364">
        <f t="shared" si="50"/>
        <v>0</v>
      </c>
      <c r="Q364">
        <f t="shared" si="53"/>
        <v>1</v>
      </c>
      <c r="R364">
        <f t="shared" si="51"/>
        <v>1</v>
      </c>
      <c r="S364">
        <f t="shared" si="52"/>
        <v>6</v>
      </c>
    </row>
    <row r="365" spans="1:19" x14ac:dyDescent="0.2">
      <c r="A365">
        <v>364</v>
      </c>
      <c r="B365">
        <v>500</v>
      </c>
      <c r="C365">
        <v>10</v>
      </c>
      <c r="D365" s="4">
        <v>1E-3</v>
      </c>
      <c r="E365">
        <v>20</v>
      </c>
      <c r="F365">
        <v>100</v>
      </c>
      <c r="G365" s="3">
        <v>0.09</v>
      </c>
      <c r="H365">
        <v>0.05</v>
      </c>
      <c r="I365">
        <v>5</v>
      </c>
      <c r="J365" t="s">
        <v>123</v>
      </c>
      <c r="K365">
        <f t="shared" si="45"/>
        <v>1</v>
      </c>
      <c r="L365">
        <f t="shared" si="46"/>
        <v>1</v>
      </c>
      <c r="M365">
        <f t="shared" si="47"/>
        <v>1</v>
      </c>
      <c r="N365">
        <f t="shared" si="48"/>
        <v>1</v>
      </c>
      <c r="O365">
        <f t="shared" si="49"/>
        <v>1</v>
      </c>
      <c r="P365">
        <f t="shared" si="50"/>
        <v>0</v>
      </c>
      <c r="Q365">
        <f t="shared" si="53"/>
        <v>1</v>
      </c>
      <c r="R365">
        <f t="shared" si="51"/>
        <v>1</v>
      </c>
      <c r="S365">
        <f t="shared" si="52"/>
        <v>7</v>
      </c>
    </row>
    <row r="366" spans="1:19" x14ac:dyDescent="0.2">
      <c r="A366">
        <v>365</v>
      </c>
      <c r="B366">
        <v>500</v>
      </c>
      <c r="C366">
        <v>10</v>
      </c>
      <c r="D366" s="3">
        <v>0.01</v>
      </c>
      <c r="E366">
        <v>20</v>
      </c>
      <c r="F366" s="3">
        <v>0.01</v>
      </c>
      <c r="G366" t="s">
        <v>1791</v>
      </c>
      <c r="H366">
        <v>0.1</v>
      </c>
      <c r="I366">
        <v>100</v>
      </c>
      <c r="J366" t="s">
        <v>123</v>
      </c>
      <c r="K366">
        <f t="shared" si="45"/>
        <v>1</v>
      </c>
      <c r="L366">
        <f t="shared" si="46"/>
        <v>1</v>
      </c>
      <c r="M366">
        <f t="shared" si="47"/>
        <v>0</v>
      </c>
      <c r="N366">
        <f t="shared" si="48"/>
        <v>1</v>
      </c>
      <c r="O366">
        <f t="shared" si="49"/>
        <v>0</v>
      </c>
      <c r="P366">
        <f t="shared" si="50"/>
        <v>0</v>
      </c>
      <c r="Q366">
        <f t="shared" si="53"/>
        <v>0</v>
      </c>
      <c r="R366">
        <f t="shared" si="51"/>
        <v>0</v>
      </c>
      <c r="S366">
        <f t="shared" si="52"/>
        <v>3</v>
      </c>
    </row>
    <row r="367" spans="1:19" x14ac:dyDescent="0.2">
      <c r="A367">
        <v>366</v>
      </c>
      <c r="B367">
        <v>500</v>
      </c>
      <c r="C367">
        <v>10</v>
      </c>
      <c r="D367" s="4">
        <v>1E-3</v>
      </c>
      <c r="E367">
        <v>20</v>
      </c>
      <c r="F367">
        <v>100</v>
      </c>
      <c r="G367" s="3">
        <v>0.9</v>
      </c>
      <c r="H367" s="5">
        <v>0.1</v>
      </c>
      <c r="I367">
        <v>5</v>
      </c>
      <c r="J367" t="s">
        <v>117</v>
      </c>
      <c r="K367">
        <f t="shared" si="45"/>
        <v>1</v>
      </c>
      <c r="L367">
        <f t="shared" si="46"/>
        <v>1</v>
      </c>
      <c r="M367">
        <f t="shared" si="47"/>
        <v>1</v>
      </c>
      <c r="N367">
        <f t="shared" si="48"/>
        <v>1</v>
      </c>
      <c r="O367">
        <f t="shared" si="49"/>
        <v>1</v>
      </c>
      <c r="P367">
        <f t="shared" si="50"/>
        <v>0</v>
      </c>
      <c r="Q367">
        <f t="shared" si="53"/>
        <v>0</v>
      </c>
      <c r="R367">
        <f t="shared" si="51"/>
        <v>1</v>
      </c>
      <c r="S367">
        <f t="shared" si="52"/>
        <v>6</v>
      </c>
    </row>
    <row r="368" spans="1:19" x14ac:dyDescent="0.2">
      <c r="A368">
        <v>367</v>
      </c>
      <c r="B368">
        <v>500</v>
      </c>
      <c r="C368">
        <v>10</v>
      </c>
      <c r="D368" s="4">
        <v>1E-3</v>
      </c>
      <c r="E368" s="3">
        <v>0.2</v>
      </c>
      <c r="F368">
        <v>100</v>
      </c>
      <c r="G368">
        <v>1</v>
      </c>
      <c r="H368">
        <v>0.1</v>
      </c>
      <c r="I368">
        <v>100</v>
      </c>
      <c r="J368" t="s">
        <v>135</v>
      </c>
      <c r="K368">
        <f t="shared" si="45"/>
        <v>1</v>
      </c>
      <c r="L368">
        <f t="shared" si="46"/>
        <v>1</v>
      </c>
      <c r="M368">
        <f t="shared" si="47"/>
        <v>1</v>
      </c>
      <c r="N368">
        <f t="shared" si="48"/>
        <v>1</v>
      </c>
      <c r="O368">
        <f t="shared" si="49"/>
        <v>1</v>
      </c>
      <c r="P368">
        <f t="shared" si="50"/>
        <v>0</v>
      </c>
      <c r="Q368">
        <f t="shared" si="53"/>
        <v>0</v>
      </c>
      <c r="R368">
        <f t="shared" si="51"/>
        <v>0</v>
      </c>
      <c r="S368">
        <f t="shared" si="52"/>
        <v>5</v>
      </c>
    </row>
    <row r="369" spans="1:19" x14ac:dyDescent="0.2">
      <c r="A369">
        <v>368</v>
      </c>
      <c r="B369">
        <v>500</v>
      </c>
      <c r="C369">
        <v>10</v>
      </c>
      <c r="D369">
        <v>0.5</v>
      </c>
      <c r="E369">
        <v>20</v>
      </c>
      <c r="F369">
        <v>100</v>
      </c>
      <c r="G369">
        <v>18</v>
      </c>
      <c r="H369" t="s">
        <v>134</v>
      </c>
      <c r="I369" t="s">
        <v>159</v>
      </c>
      <c r="J369" t="s">
        <v>128</v>
      </c>
      <c r="K369">
        <f t="shared" si="45"/>
        <v>1</v>
      </c>
      <c r="L369">
        <f t="shared" si="46"/>
        <v>1</v>
      </c>
      <c r="M369">
        <f t="shared" si="47"/>
        <v>0</v>
      </c>
      <c r="N369">
        <f t="shared" si="48"/>
        <v>1</v>
      </c>
      <c r="O369">
        <f t="shared" si="49"/>
        <v>1</v>
      </c>
      <c r="P369">
        <f t="shared" si="50"/>
        <v>0</v>
      </c>
      <c r="Q369">
        <f t="shared" si="53"/>
        <v>1</v>
      </c>
      <c r="R369">
        <f t="shared" si="51"/>
        <v>1</v>
      </c>
      <c r="S369">
        <f t="shared" si="52"/>
        <v>6</v>
      </c>
    </row>
    <row r="370" spans="1:19" x14ac:dyDescent="0.2">
      <c r="A370">
        <v>369</v>
      </c>
      <c r="B370">
        <v>500</v>
      </c>
      <c r="C370">
        <v>10</v>
      </c>
      <c r="D370" s="3">
        <v>0.01</v>
      </c>
      <c r="E370">
        <v>20</v>
      </c>
      <c r="F370">
        <v>100</v>
      </c>
      <c r="G370" s="3">
        <v>0.9</v>
      </c>
      <c r="H370">
        <v>0.05</v>
      </c>
      <c r="I370">
        <v>100</v>
      </c>
      <c r="J370" t="s">
        <v>128</v>
      </c>
      <c r="K370">
        <f t="shared" si="45"/>
        <v>1</v>
      </c>
      <c r="L370">
        <f t="shared" si="46"/>
        <v>1</v>
      </c>
      <c r="M370">
        <f t="shared" si="47"/>
        <v>0</v>
      </c>
      <c r="N370">
        <f t="shared" si="48"/>
        <v>1</v>
      </c>
      <c r="O370">
        <f t="shared" si="49"/>
        <v>1</v>
      </c>
      <c r="P370">
        <f t="shared" si="50"/>
        <v>0</v>
      </c>
      <c r="Q370">
        <f t="shared" si="53"/>
        <v>1</v>
      </c>
      <c r="R370">
        <f t="shared" si="51"/>
        <v>0</v>
      </c>
      <c r="S370">
        <f t="shared" si="52"/>
        <v>5</v>
      </c>
    </row>
    <row r="371" spans="1:19" x14ac:dyDescent="0.2">
      <c r="A371">
        <v>370</v>
      </c>
      <c r="B371">
        <v>500</v>
      </c>
      <c r="C371">
        <v>10</v>
      </c>
      <c r="D371" s="3">
        <v>0.01</v>
      </c>
      <c r="E371">
        <v>20</v>
      </c>
      <c r="F371">
        <v>100</v>
      </c>
      <c r="G371" s="3">
        <v>0.11</v>
      </c>
      <c r="H371">
        <v>0.1</v>
      </c>
      <c r="I371" t="s">
        <v>159</v>
      </c>
      <c r="J371" t="s">
        <v>128</v>
      </c>
      <c r="K371">
        <f t="shared" si="45"/>
        <v>1</v>
      </c>
      <c r="L371">
        <f t="shared" si="46"/>
        <v>1</v>
      </c>
      <c r="M371">
        <f t="shared" si="47"/>
        <v>0</v>
      </c>
      <c r="N371">
        <f t="shared" si="48"/>
        <v>1</v>
      </c>
      <c r="O371">
        <f t="shared" si="49"/>
        <v>1</v>
      </c>
      <c r="P371">
        <f t="shared" si="50"/>
        <v>0</v>
      </c>
      <c r="Q371">
        <f t="shared" si="53"/>
        <v>0</v>
      </c>
      <c r="R371">
        <f t="shared" si="51"/>
        <v>1</v>
      </c>
      <c r="S371">
        <f t="shared" si="52"/>
        <v>5</v>
      </c>
    </row>
    <row r="372" spans="1:19" x14ac:dyDescent="0.2">
      <c r="A372">
        <v>371</v>
      </c>
      <c r="B372">
        <v>500</v>
      </c>
      <c r="C372">
        <v>10</v>
      </c>
      <c r="D372" s="4">
        <v>1E-3</v>
      </c>
      <c r="E372">
        <v>20</v>
      </c>
      <c r="F372">
        <v>100</v>
      </c>
      <c r="G372" s="3">
        <v>0.9</v>
      </c>
      <c r="H372" s="5">
        <v>0.05</v>
      </c>
      <c r="I372" t="s">
        <v>159</v>
      </c>
      <c r="J372" t="s">
        <v>123</v>
      </c>
      <c r="K372">
        <f t="shared" si="45"/>
        <v>1</v>
      </c>
      <c r="L372">
        <f t="shared" si="46"/>
        <v>1</v>
      </c>
      <c r="M372">
        <f t="shared" si="47"/>
        <v>1</v>
      </c>
      <c r="N372">
        <f t="shared" si="48"/>
        <v>1</v>
      </c>
      <c r="O372">
        <f t="shared" si="49"/>
        <v>1</v>
      </c>
      <c r="P372">
        <f t="shared" si="50"/>
        <v>0</v>
      </c>
      <c r="Q372">
        <f t="shared" si="53"/>
        <v>1</v>
      </c>
      <c r="R372">
        <f t="shared" si="51"/>
        <v>1</v>
      </c>
      <c r="S372">
        <f t="shared" si="52"/>
        <v>7</v>
      </c>
    </row>
    <row r="373" spans="1:19" x14ac:dyDescent="0.2">
      <c r="A373">
        <v>372</v>
      </c>
      <c r="B373">
        <v>512</v>
      </c>
      <c r="C373">
        <v>10</v>
      </c>
      <c r="D373">
        <v>0.1</v>
      </c>
      <c r="E373" s="3">
        <v>0.2</v>
      </c>
      <c r="F373">
        <v>100</v>
      </c>
      <c r="G373">
        <v>81</v>
      </c>
      <c r="H373" t="s">
        <v>134</v>
      </c>
      <c r="I373" t="s">
        <v>159</v>
      </c>
      <c r="J373" t="s">
        <v>117</v>
      </c>
      <c r="K373">
        <f t="shared" ref="K373:K401" si="54">IF(OR(B373=500,B373="50%",B373=50%),1,0)</f>
        <v>0</v>
      </c>
      <c r="L373">
        <f t="shared" si="46"/>
        <v>1</v>
      </c>
      <c r="M373">
        <f t="shared" si="47"/>
        <v>1</v>
      </c>
      <c r="N373">
        <f t="shared" si="48"/>
        <v>1</v>
      </c>
      <c r="O373">
        <f t="shared" si="49"/>
        <v>1</v>
      </c>
      <c r="P373">
        <f t="shared" si="50"/>
        <v>0</v>
      </c>
      <c r="Q373">
        <f t="shared" si="53"/>
        <v>1</v>
      </c>
      <c r="R373">
        <f t="shared" si="51"/>
        <v>1</v>
      </c>
      <c r="S373">
        <f t="shared" si="52"/>
        <v>6</v>
      </c>
    </row>
    <row r="374" spans="1:19" x14ac:dyDescent="0.2">
      <c r="A374">
        <v>373</v>
      </c>
      <c r="B374">
        <v>500</v>
      </c>
      <c r="C374">
        <v>10</v>
      </c>
      <c r="D374">
        <v>1</v>
      </c>
      <c r="E374">
        <v>20</v>
      </c>
      <c r="F374">
        <v>100</v>
      </c>
      <c r="G374">
        <v>9</v>
      </c>
      <c r="H374">
        <v>0.1</v>
      </c>
      <c r="I374">
        <v>100</v>
      </c>
      <c r="J374" t="s">
        <v>135</v>
      </c>
      <c r="K374">
        <f t="shared" si="54"/>
        <v>1</v>
      </c>
      <c r="L374">
        <f t="shared" si="46"/>
        <v>1</v>
      </c>
      <c r="M374">
        <f t="shared" si="47"/>
        <v>0</v>
      </c>
      <c r="N374">
        <f t="shared" si="48"/>
        <v>1</v>
      </c>
      <c r="O374">
        <f t="shared" si="49"/>
        <v>1</v>
      </c>
      <c r="P374">
        <f t="shared" si="50"/>
        <v>0</v>
      </c>
      <c r="Q374">
        <f t="shared" si="53"/>
        <v>0</v>
      </c>
      <c r="R374">
        <f t="shared" si="51"/>
        <v>0</v>
      </c>
      <c r="S374">
        <f t="shared" si="52"/>
        <v>4</v>
      </c>
    </row>
    <row r="375" spans="1:19" x14ac:dyDescent="0.2">
      <c r="A375">
        <v>374</v>
      </c>
      <c r="B375">
        <v>500</v>
      </c>
      <c r="C375">
        <v>100</v>
      </c>
      <c r="D375">
        <v>0.1</v>
      </c>
      <c r="E375">
        <v>20</v>
      </c>
      <c r="F375">
        <v>100</v>
      </c>
      <c r="G375" s="3">
        <v>0.09</v>
      </c>
      <c r="H375" t="s">
        <v>241</v>
      </c>
      <c r="I375" t="s">
        <v>159</v>
      </c>
      <c r="J375" t="s">
        <v>135</v>
      </c>
      <c r="K375">
        <f t="shared" si="54"/>
        <v>1</v>
      </c>
      <c r="L375">
        <f t="shared" si="46"/>
        <v>0</v>
      </c>
      <c r="M375">
        <f t="shared" si="47"/>
        <v>1</v>
      </c>
      <c r="N375">
        <f t="shared" si="48"/>
        <v>1</v>
      </c>
      <c r="O375">
        <f t="shared" si="49"/>
        <v>1</v>
      </c>
      <c r="P375">
        <f t="shared" si="50"/>
        <v>0</v>
      </c>
      <c r="Q375">
        <f t="shared" si="53"/>
        <v>0</v>
      </c>
      <c r="R375">
        <f t="shared" si="51"/>
        <v>1</v>
      </c>
      <c r="S375">
        <f t="shared" si="52"/>
        <v>5</v>
      </c>
    </row>
    <row r="376" spans="1:19" x14ac:dyDescent="0.2">
      <c r="A376">
        <v>375</v>
      </c>
      <c r="B376">
        <v>500</v>
      </c>
      <c r="C376">
        <v>10</v>
      </c>
      <c r="D376">
        <v>0.1</v>
      </c>
      <c r="E376">
        <v>20</v>
      </c>
      <c r="F376">
        <v>100</v>
      </c>
      <c r="G376">
        <v>90</v>
      </c>
      <c r="H376">
        <v>0.05</v>
      </c>
      <c r="I376">
        <v>5</v>
      </c>
      <c r="J376" t="s">
        <v>128</v>
      </c>
      <c r="K376">
        <f t="shared" si="54"/>
        <v>1</v>
      </c>
      <c r="L376">
        <f t="shared" si="46"/>
        <v>1</v>
      </c>
      <c r="M376">
        <f t="shared" si="47"/>
        <v>1</v>
      </c>
      <c r="N376">
        <f t="shared" si="48"/>
        <v>1</v>
      </c>
      <c r="O376">
        <f t="shared" si="49"/>
        <v>1</v>
      </c>
      <c r="P376">
        <f t="shared" si="50"/>
        <v>0</v>
      </c>
      <c r="Q376">
        <f t="shared" si="53"/>
        <v>1</v>
      </c>
      <c r="R376">
        <f t="shared" si="51"/>
        <v>1</v>
      </c>
      <c r="S376">
        <f t="shared" si="52"/>
        <v>7</v>
      </c>
    </row>
    <row r="377" spans="1:19" x14ac:dyDescent="0.2">
      <c r="A377">
        <v>376</v>
      </c>
      <c r="B377">
        <v>500</v>
      </c>
      <c r="C377">
        <v>10</v>
      </c>
      <c r="D377" s="3">
        <v>0.01</v>
      </c>
      <c r="E377">
        <v>20</v>
      </c>
      <c r="F377">
        <v>100</v>
      </c>
      <c r="G377" s="3">
        <v>0.9</v>
      </c>
      <c r="H377" t="s">
        <v>241</v>
      </c>
      <c r="I377" t="s">
        <v>159</v>
      </c>
      <c r="J377" t="s">
        <v>117</v>
      </c>
      <c r="K377">
        <f t="shared" si="54"/>
        <v>1</v>
      </c>
      <c r="L377">
        <f t="shared" si="46"/>
        <v>1</v>
      </c>
      <c r="M377">
        <f t="shared" si="47"/>
        <v>0</v>
      </c>
      <c r="N377">
        <f t="shared" si="48"/>
        <v>1</v>
      </c>
      <c r="O377">
        <f t="shared" si="49"/>
        <v>1</v>
      </c>
      <c r="P377">
        <f t="shared" si="50"/>
        <v>0</v>
      </c>
      <c r="Q377">
        <f t="shared" si="53"/>
        <v>0</v>
      </c>
      <c r="R377">
        <f t="shared" si="51"/>
        <v>1</v>
      </c>
      <c r="S377">
        <f t="shared" si="52"/>
        <v>5</v>
      </c>
    </row>
    <row r="378" spans="1:19" x14ac:dyDescent="0.2">
      <c r="A378">
        <v>377</v>
      </c>
      <c r="B378">
        <v>500</v>
      </c>
      <c r="C378">
        <v>10</v>
      </c>
      <c r="D378">
        <v>100</v>
      </c>
      <c r="E378">
        <v>510</v>
      </c>
      <c r="F378">
        <v>10</v>
      </c>
      <c r="G378" t="s">
        <v>625</v>
      </c>
      <c r="H378">
        <v>0.1</v>
      </c>
      <c r="I378" t="s">
        <v>159</v>
      </c>
      <c r="J378" t="s">
        <v>117</v>
      </c>
      <c r="K378">
        <f t="shared" si="54"/>
        <v>1</v>
      </c>
      <c r="L378">
        <f t="shared" si="46"/>
        <v>1</v>
      </c>
      <c r="M378">
        <f t="shared" si="47"/>
        <v>0</v>
      </c>
      <c r="N378">
        <f t="shared" si="48"/>
        <v>0</v>
      </c>
      <c r="O378">
        <f t="shared" si="49"/>
        <v>0</v>
      </c>
      <c r="P378">
        <f t="shared" si="50"/>
        <v>0</v>
      </c>
      <c r="Q378">
        <f t="shared" si="53"/>
        <v>0</v>
      </c>
      <c r="R378">
        <f t="shared" si="51"/>
        <v>1</v>
      </c>
      <c r="S378">
        <f t="shared" si="52"/>
        <v>3</v>
      </c>
    </row>
    <row r="379" spans="1:19" x14ac:dyDescent="0.2">
      <c r="A379">
        <v>378</v>
      </c>
      <c r="B379">
        <v>500</v>
      </c>
      <c r="C379">
        <v>10</v>
      </c>
      <c r="D379">
        <v>0.1</v>
      </c>
      <c r="E379">
        <v>20</v>
      </c>
      <c r="F379">
        <v>100</v>
      </c>
      <c r="G379" s="3">
        <v>0.1</v>
      </c>
      <c r="H379">
        <v>0.1</v>
      </c>
      <c r="I379" t="s">
        <v>159</v>
      </c>
      <c r="J379" t="s">
        <v>123</v>
      </c>
      <c r="K379">
        <f t="shared" si="54"/>
        <v>1</v>
      </c>
      <c r="L379">
        <f t="shared" si="46"/>
        <v>1</v>
      </c>
      <c r="M379">
        <f t="shared" si="47"/>
        <v>1</v>
      </c>
      <c r="N379">
        <f t="shared" si="48"/>
        <v>1</v>
      </c>
      <c r="O379">
        <f t="shared" si="49"/>
        <v>1</v>
      </c>
      <c r="P379">
        <f t="shared" si="50"/>
        <v>0</v>
      </c>
      <c r="Q379">
        <f t="shared" si="53"/>
        <v>0</v>
      </c>
      <c r="R379">
        <f t="shared" si="51"/>
        <v>1</v>
      </c>
      <c r="S379">
        <f t="shared" si="52"/>
        <v>6</v>
      </c>
    </row>
    <row r="380" spans="1:19" x14ac:dyDescent="0.2">
      <c r="A380">
        <v>379</v>
      </c>
      <c r="B380">
        <v>500</v>
      </c>
      <c r="C380">
        <v>1</v>
      </c>
      <c r="D380">
        <v>0.01</v>
      </c>
      <c r="E380">
        <v>20</v>
      </c>
      <c r="F380">
        <v>100</v>
      </c>
      <c r="G380">
        <v>90</v>
      </c>
      <c r="H380">
        <v>0.1</v>
      </c>
      <c r="I380" t="s">
        <v>385</v>
      </c>
      <c r="J380" t="s">
        <v>135</v>
      </c>
      <c r="K380">
        <f t="shared" si="54"/>
        <v>1</v>
      </c>
      <c r="L380">
        <f t="shared" si="46"/>
        <v>0</v>
      </c>
      <c r="M380">
        <f t="shared" si="47"/>
        <v>0</v>
      </c>
      <c r="N380">
        <f t="shared" si="48"/>
        <v>1</v>
      </c>
      <c r="O380">
        <f t="shared" si="49"/>
        <v>1</v>
      </c>
      <c r="P380">
        <f t="shared" si="50"/>
        <v>0</v>
      </c>
      <c r="Q380">
        <f t="shared" si="53"/>
        <v>0</v>
      </c>
      <c r="R380">
        <f t="shared" si="51"/>
        <v>1</v>
      </c>
      <c r="S380">
        <f t="shared" si="52"/>
        <v>4</v>
      </c>
    </row>
    <row r="381" spans="1:19" x14ac:dyDescent="0.2">
      <c r="A381">
        <v>380</v>
      </c>
      <c r="B381" s="3">
        <v>0.5</v>
      </c>
      <c r="C381">
        <v>10</v>
      </c>
      <c r="D381" s="4">
        <v>1E-3</v>
      </c>
      <c r="E381" s="3">
        <v>0.2</v>
      </c>
      <c r="F381">
        <v>100</v>
      </c>
      <c r="G381" s="3">
        <v>0.2</v>
      </c>
      <c r="H381">
        <v>0.1</v>
      </c>
      <c r="I381">
        <v>20</v>
      </c>
      <c r="J381" t="s">
        <v>117</v>
      </c>
      <c r="K381">
        <f t="shared" si="54"/>
        <v>1</v>
      </c>
      <c r="L381">
        <f t="shared" si="46"/>
        <v>1</v>
      </c>
      <c r="M381">
        <f t="shared" si="47"/>
        <v>1</v>
      </c>
      <c r="N381">
        <f t="shared" si="48"/>
        <v>1</v>
      </c>
      <c r="O381">
        <f t="shared" si="49"/>
        <v>1</v>
      </c>
      <c r="P381">
        <f t="shared" si="50"/>
        <v>0</v>
      </c>
      <c r="Q381">
        <f t="shared" si="53"/>
        <v>0</v>
      </c>
      <c r="R381">
        <f t="shared" si="51"/>
        <v>0</v>
      </c>
      <c r="S381">
        <f t="shared" si="52"/>
        <v>5</v>
      </c>
    </row>
    <row r="382" spans="1:19" x14ac:dyDescent="0.2">
      <c r="A382">
        <v>381</v>
      </c>
      <c r="B382">
        <v>500</v>
      </c>
      <c r="C382">
        <v>10</v>
      </c>
      <c r="D382" s="3">
        <v>0.1</v>
      </c>
      <c r="E382">
        <v>20</v>
      </c>
      <c r="F382">
        <v>100</v>
      </c>
      <c r="G382" s="3">
        <v>0.08</v>
      </c>
      <c r="H382" t="s">
        <v>241</v>
      </c>
      <c r="I382" t="s">
        <v>159</v>
      </c>
      <c r="J382" t="s">
        <v>135</v>
      </c>
      <c r="K382">
        <f t="shared" si="54"/>
        <v>1</v>
      </c>
      <c r="L382">
        <f t="shared" si="46"/>
        <v>1</v>
      </c>
      <c r="M382">
        <f t="shared" si="47"/>
        <v>1</v>
      </c>
      <c r="N382">
        <f t="shared" si="48"/>
        <v>1</v>
      </c>
      <c r="O382">
        <f t="shared" si="49"/>
        <v>1</v>
      </c>
      <c r="P382">
        <f t="shared" si="50"/>
        <v>0</v>
      </c>
      <c r="Q382">
        <f t="shared" si="53"/>
        <v>0</v>
      </c>
      <c r="R382">
        <f t="shared" si="51"/>
        <v>1</v>
      </c>
      <c r="S382">
        <f t="shared" si="52"/>
        <v>6</v>
      </c>
    </row>
    <row r="383" spans="1:19" x14ac:dyDescent="0.2">
      <c r="A383">
        <v>382</v>
      </c>
      <c r="B383">
        <v>583</v>
      </c>
      <c r="C383">
        <v>10</v>
      </c>
      <c r="D383">
        <v>0.01</v>
      </c>
      <c r="E383">
        <v>20</v>
      </c>
      <c r="F383">
        <v>100</v>
      </c>
      <c r="G383">
        <v>90</v>
      </c>
      <c r="H383">
        <v>0.1</v>
      </c>
      <c r="I383">
        <v>10</v>
      </c>
      <c r="J383" t="s">
        <v>128</v>
      </c>
      <c r="K383">
        <f t="shared" si="54"/>
        <v>0</v>
      </c>
      <c r="L383">
        <f t="shared" si="46"/>
        <v>1</v>
      </c>
      <c r="M383">
        <f t="shared" si="47"/>
        <v>0</v>
      </c>
      <c r="N383">
        <f t="shared" si="48"/>
        <v>1</v>
      </c>
      <c r="O383">
        <f t="shared" si="49"/>
        <v>1</v>
      </c>
      <c r="P383">
        <f t="shared" si="50"/>
        <v>0</v>
      </c>
      <c r="Q383">
        <f t="shared" si="53"/>
        <v>0</v>
      </c>
      <c r="R383">
        <f t="shared" si="51"/>
        <v>0</v>
      </c>
      <c r="S383">
        <f t="shared" si="52"/>
        <v>3</v>
      </c>
    </row>
    <row r="384" spans="1:19" x14ac:dyDescent="0.2">
      <c r="A384">
        <v>383</v>
      </c>
      <c r="B384">
        <v>500</v>
      </c>
      <c r="C384">
        <v>10</v>
      </c>
      <c r="D384" s="3">
        <v>0.1</v>
      </c>
      <c r="E384">
        <v>20</v>
      </c>
      <c r="F384">
        <v>100</v>
      </c>
      <c r="G384" s="3">
        <v>0.5</v>
      </c>
      <c r="H384">
        <v>0.1</v>
      </c>
      <c r="I384">
        <v>100</v>
      </c>
      <c r="J384" t="s">
        <v>123</v>
      </c>
      <c r="K384">
        <f t="shared" si="54"/>
        <v>1</v>
      </c>
      <c r="L384">
        <f t="shared" si="46"/>
        <v>1</v>
      </c>
      <c r="M384">
        <f t="shared" si="47"/>
        <v>1</v>
      </c>
      <c r="N384">
        <f t="shared" si="48"/>
        <v>1</v>
      </c>
      <c r="O384">
        <f t="shared" si="49"/>
        <v>1</v>
      </c>
      <c r="P384">
        <f t="shared" si="50"/>
        <v>1</v>
      </c>
      <c r="Q384">
        <f t="shared" si="53"/>
        <v>0</v>
      </c>
      <c r="R384">
        <f t="shared" si="51"/>
        <v>0</v>
      </c>
      <c r="S384">
        <f t="shared" si="52"/>
        <v>6</v>
      </c>
    </row>
    <row r="385" spans="1:19" x14ac:dyDescent="0.2">
      <c r="A385">
        <v>384</v>
      </c>
      <c r="B385">
        <v>500</v>
      </c>
      <c r="C385">
        <v>100</v>
      </c>
      <c r="D385">
        <v>0.1</v>
      </c>
      <c r="E385">
        <v>0.2</v>
      </c>
      <c r="F385">
        <v>100</v>
      </c>
      <c r="G385">
        <v>0.1</v>
      </c>
      <c r="H385">
        <v>0.1</v>
      </c>
      <c r="I385">
        <v>5</v>
      </c>
      <c r="J385" t="s">
        <v>123</v>
      </c>
      <c r="K385">
        <f t="shared" si="54"/>
        <v>1</v>
      </c>
      <c r="L385">
        <f t="shared" si="46"/>
        <v>0</v>
      </c>
      <c r="M385">
        <f t="shared" si="47"/>
        <v>1</v>
      </c>
      <c r="N385">
        <f t="shared" si="48"/>
        <v>1</v>
      </c>
      <c r="O385">
        <f t="shared" si="49"/>
        <v>1</v>
      </c>
      <c r="P385">
        <f t="shared" si="50"/>
        <v>0</v>
      </c>
      <c r="Q385">
        <f t="shared" si="53"/>
        <v>0</v>
      </c>
      <c r="R385">
        <f t="shared" si="51"/>
        <v>1</v>
      </c>
      <c r="S385">
        <f t="shared" si="52"/>
        <v>5</v>
      </c>
    </row>
    <row r="386" spans="1:19" x14ac:dyDescent="0.2">
      <c r="A386">
        <v>385</v>
      </c>
      <c r="B386">
        <v>500</v>
      </c>
      <c r="C386">
        <v>10</v>
      </c>
      <c r="D386" s="4">
        <v>1E-3</v>
      </c>
      <c r="E386" s="3">
        <v>0.2</v>
      </c>
      <c r="F386">
        <v>100</v>
      </c>
      <c r="G386" s="3">
        <v>0.08</v>
      </c>
      <c r="H386">
        <v>0.05</v>
      </c>
      <c r="I386" t="s">
        <v>159</v>
      </c>
      <c r="J386" t="s">
        <v>135</v>
      </c>
      <c r="K386">
        <f t="shared" si="54"/>
        <v>1</v>
      </c>
      <c r="L386">
        <f t="shared" si="46"/>
        <v>1</v>
      </c>
      <c r="M386">
        <f t="shared" si="47"/>
        <v>1</v>
      </c>
      <c r="N386">
        <f t="shared" si="48"/>
        <v>1</v>
      </c>
      <c r="O386">
        <f t="shared" si="49"/>
        <v>1</v>
      </c>
      <c r="P386">
        <f t="shared" si="50"/>
        <v>0</v>
      </c>
      <c r="Q386">
        <f t="shared" si="53"/>
        <v>1</v>
      </c>
      <c r="R386">
        <f t="shared" si="51"/>
        <v>1</v>
      </c>
      <c r="S386">
        <f t="shared" si="52"/>
        <v>7</v>
      </c>
    </row>
    <row r="387" spans="1:19" x14ac:dyDescent="0.2">
      <c r="A387">
        <v>386</v>
      </c>
      <c r="B387">
        <v>500</v>
      </c>
      <c r="C387">
        <v>5</v>
      </c>
      <c r="D387">
        <v>0.01</v>
      </c>
      <c r="E387">
        <v>0.2</v>
      </c>
      <c r="F387">
        <v>100</v>
      </c>
      <c r="G387">
        <v>9</v>
      </c>
      <c r="H387">
        <v>0.1</v>
      </c>
      <c r="I387">
        <v>5</v>
      </c>
      <c r="J387" t="s">
        <v>128</v>
      </c>
      <c r="K387">
        <f t="shared" si="54"/>
        <v>1</v>
      </c>
      <c r="L387">
        <f t="shared" ref="L387:L401" si="55">IF(C387=10,1,0)</f>
        <v>0</v>
      </c>
      <c r="M387">
        <f t="shared" ref="M387:M401" si="56">IF(OR(D387=0.1,D387=0.1%),1,0)</f>
        <v>0</v>
      </c>
      <c r="N387">
        <f t="shared" ref="N387:N401" si="57">IF(OR(E387=20,E387=20%),1,0)</f>
        <v>1</v>
      </c>
      <c r="O387">
        <f t="shared" ref="O387:O401" si="58">IF(F387=100,1,0)</f>
        <v>1</v>
      </c>
      <c r="P387">
        <f t="shared" ref="P387:P401" si="59">IF(OR(G387=50%,G387=50),1,0)</f>
        <v>0</v>
      </c>
      <c r="Q387">
        <f t="shared" si="53"/>
        <v>0</v>
      </c>
      <c r="R387">
        <f t="shared" ref="R387:R401" si="60">IF(OR(I387="5 minutes",I387=5, I387="5 min"),1,0)</f>
        <v>1</v>
      </c>
      <c r="S387">
        <f t="shared" ref="S387:S401" si="61">SUM(K387:R387)</f>
        <v>4</v>
      </c>
    </row>
    <row r="388" spans="1:19" x14ac:dyDescent="0.2">
      <c r="A388">
        <v>387</v>
      </c>
      <c r="B388">
        <v>40</v>
      </c>
      <c r="C388">
        <v>10</v>
      </c>
      <c r="D388">
        <v>5</v>
      </c>
      <c r="E388">
        <v>20</v>
      </c>
      <c r="F388">
        <v>100</v>
      </c>
      <c r="G388" s="3">
        <v>0.25</v>
      </c>
      <c r="H388">
        <v>0.1</v>
      </c>
      <c r="I388">
        <v>100</v>
      </c>
      <c r="J388" t="s">
        <v>128</v>
      </c>
      <c r="K388">
        <f t="shared" si="54"/>
        <v>0</v>
      </c>
      <c r="L388">
        <f t="shared" si="55"/>
        <v>1</v>
      </c>
      <c r="M388">
        <f t="shared" si="56"/>
        <v>0</v>
      </c>
      <c r="N388">
        <f t="shared" si="57"/>
        <v>1</v>
      </c>
      <c r="O388">
        <f t="shared" si="58"/>
        <v>1</v>
      </c>
      <c r="P388">
        <f t="shared" si="59"/>
        <v>0</v>
      </c>
      <c r="Q388">
        <f t="shared" si="53"/>
        <v>0</v>
      </c>
      <c r="R388">
        <f t="shared" si="60"/>
        <v>0</v>
      </c>
      <c r="S388">
        <f t="shared" si="61"/>
        <v>3</v>
      </c>
    </row>
    <row r="389" spans="1:19" x14ac:dyDescent="0.2">
      <c r="A389">
        <v>388</v>
      </c>
      <c r="B389">
        <v>500</v>
      </c>
      <c r="C389">
        <v>10</v>
      </c>
      <c r="D389" s="4">
        <v>1E-4</v>
      </c>
      <c r="E389" s="3">
        <v>0.2</v>
      </c>
      <c r="F389">
        <v>100</v>
      </c>
      <c r="G389" s="3">
        <v>0.5</v>
      </c>
      <c r="H389" s="5">
        <v>0.1</v>
      </c>
      <c r="I389" t="s">
        <v>159</v>
      </c>
      <c r="J389" t="s">
        <v>135</v>
      </c>
      <c r="K389">
        <f t="shared" si="54"/>
        <v>1</v>
      </c>
      <c r="L389">
        <f t="shared" si="55"/>
        <v>1</v>
      </c>
      <c r="M389">
        <f t="shared" si="56"/>
        <v>0</v>
      </c>
      <c r="N389">
        <f t="shared" si="57"/>
        <v>1</v>
      </c>
      <c r="O389">
        <f t="shared" si="58"/>
        <v>1</v>
      </c>
      <c r="P389">
        <f t="shared" si="59"/>
        <v>1</v>
      </c>
      <c r="Q389">
        <f t="shared" si="53"/>
        <v>0</v>
      </c>
      <c r="R389">
        <f t="shared" si="60"/>
        <v>1</v>
      </c>
      <c r="S389">
        <f t="shared" si="61"/>
        <v>6</v>
      </c>
    </row>
    <row r="390" spans="1:19" x14ac:dyDescent="0.2">
      <c r="A390">
        <v>389</v>
      </c>
      <c r="B390">
        <v>500</v>
      </c>
      <c r="C390">
        <v>10</v>
      </c>
      <c r="D390">
        <v>1E-3</v>
      </c>
      <c r="E390" s="3">
        <v>0.2</v>
      </c>
      <c r="F390">
        <v>100</v>
      </c>
      <c r="G390" s="3">
        <v>0.5</v>
      </c>
      <c r="H390" s="5">
        <v>0.05</v>
      </c>
      <c r="I390" t="s">
        <v>164</v>
      </c>
      <c r="J390" t="s">
        <v>123</v>
      </c>
      <c r="K390">
        <f t="shared" si="54"/>
        <v>1</v>
      </c>
      <c r="L390">
        <f t="shared" si="55"/>
        <v>1</v>
      </c>
      <c r="M390">
        <f t="shared" si="56"/>
        <v>1</v>
      </c>
      <c r="N390">
        <f t="shared" si="57"/>
        <v>1</v>
      </c>
      <c r="O390">
        <f t="shared" si="58"/>
        <v>1</v>
      </c>
      <c r="P390">
        <f t="shared" si="59"/>
        <v>1</v>
      </c>
      <c r="Q390">
        <f t="shared" si="53"/>
        <v>1</v>
      </c>
      <c r="R390">
        <f t="shared" si="60"/>
        <v>0</v>
      </c>
      <c r="S390">
        <f t="shared" si="61"/>
        <v>7</v>
      </c>
    </row>
    <row r="391" spans="1:19" x14ac:dyDescent="0.2">
      <c r="A391">
        <v>390</v>
      </c>
      <c r="B391">
        <v>500</v>
      </c>
      <c r="C391">
        <v>10</v>
      </c>
      <c r="D391" s="4">
        <v>1E-3</v>
      </c>
      <c r="E391">
        <v>20</v>
      </c>
      <c r="F391">
        <v>100</v>
      </c>
      <c r="G391" s="3">
        <v>0.5</v>
      </c>
      <c r="H391">
        <v>0.05</v>
      </c>
      <c r="I391" t="s">
        <v>159</v>
      </c>
      <c r="J391" t="s">
        <v>128</v>
      </c>
      <c r="K391">
        <f t="shared" si="54"/>
        <v>1</v>
      </c>
      <c r="L391">
        <f t="shared" si="55"/>
        <v>1</v>
      </c>
      <c r="M391">
        <f t="shared" si="56"/>
        <v>1</v>
      </c>
      <c r="N391">
        <f t="shared" si="57"/>
        <v>1</v>
      </c>
      <c r="O391">
        <f t="shared" si="58"/>
        <v>1</v>
      </c>
      <c r="P391">
        <f t="shared" si="59"/>
        <v>1</v>
      </c>
      <c r="Q391">
        <f t="shared" ref="Q391:Q401" si="62">IF(OR(H391="5 cents",H391=0.05,H391="$0.05"),1,0)</f>
        <v>1</v>
      </c>
      <c r="R391">
        <f t="shared" si="60"/>
        <v>1</v>
      </c>
      <c r="S391">
        <f t="shared" si="61"/>
        <v>8</v>
      </c>
    </row>
    <row r="392" spans="1:19" x14ac:dyDescent="0.2">
      <c r="A392">
        <v>391</v>
      </c>
      <c r="B392">
        <v>500</v>
      </c>
      <c r="C392">
        <v>10</v>
      </c>
      <c r="D392" s="4">
        <v>1E-3</v>
      </c>
      <c r="E392" s="3">
        <v>0.2</v>
      </c>
      <c r="F392">
        <v>100</v>
      </c>
      <c r="G392" t="s">
        <v>537</v>
      </c>
      <c r="H392" s="5">
        <v>0.1</v>
      </c>
      <c r="I392" t="s">
        <v>164</v>
      </c>
      <c r="J392" t="s">
        <v>135</v>
      </c>
      <c r="K392">
        <f t="shared" si="54"/>
        <v>1</v>
      </c>
      <c r="L392">
        <f t="shared" si="55"/>
        <v>1</v>
      </c>
      <c r="M392">
        <f t="shared" si="56"/>
        <v>1</v>
      </c>
      <c r="N392">
        <f t="shared" si="57"/>
        <v>1</v>
      </c>
      <c r="O392">
        <f t="shared" si="58"/>
        <v>1</v>
      </c>
      <c r="P392">
        <f t="shared" si="59"/>
        <v>0</v>
      </c>
      <c r="Q392">
        <f t="shared" si="62"/>
        <v>0</v>
      </c>
      <c r="R392">
        <f t="shared" si="60"/>
        <v>0</v>
      </c>
      <c r="S392">
        <f t="shared" si="61"/>
        <v>5</v>
      </c>
    </row>
    <row r="393" spans="1:19" x14ac:dyDescent="0.2">
      <c r="A393">
        <v>392</v>
      </c>
      <c r="B393">
        <v>500</v>
      </c>
      <c r="C393">
        <v>10</v>
      </c>
      <c r="D393">
        <v>0.1</v>
      </c>
      <c r="E393">
        <v>20</v>
      </c>
      <c r="F393">
        <v>100</v>
      </c>
      <c r="G393">
        <v>90</v>
      </c>
      <c r="H393">
        <v>0.1</v>
      </c>
      <c r="I393">
        <v>5</v>
      </c>
      <c r="J393" t="s">
        <v>135</v>
      </c>
      <c r="K393">
        <f t="shared" si="54"/>
        <v>1</v>
      </c>
      <c r="L393">
        <f t="shared" si="55"/>
        <v>1</v>
      </c>
      <c r="M393">
        <f t="shared" si="56"/>
        <v>1</v>
      </c>
      <c r="N393">
        <f t="shared" si="57"/>
        <v>1</v>
      </c>
      <c r="O393">
        <f t="shared" si="58"/>
        <v>1</v>
      </c>
      <c r="P393">
        <f t="shared" si="59"/>
        <v>0</v>
      </c>
      <c r="Q393">
        <f t="shared" si="62"/>
        <v>0</v>
      </c>
      <c r="R393">
        <f t="shared" si="60"/>
        <v>1</v>
      </c>
      <c r="S393">
        <f t="shared" si="61"/>
        <v>6</v>
      </c>
    </row>
    <row r="394" spans="1:19" x14ac:dyDescent="0.2">
      <c r="A394">
        <v>393</v>
      </c>
      <c r="B394">
        <v>500</v>
      </c>
      <c r="C394">
        <v>10</v>
      </c>
      <c r="D394" s="1">
        <v>0.1</v>
      </c>
      <c r="E394">
        <v>100</v>
      </c>
      <c r="F394">
        <v>3</v>
      </c>
      <c r="G394">
        <v>3</v>
      </c>
      <c r="H394">
        <v>0.1</v>
      </c>
      <c r="I394">
        <v>100</v>
      </c>
      <c r="J394" t="s">
        <v>123</v>
      </c>
      <c r="K394">
        <f t="shared" si="54"/>
        <v>1</v>
      </c>
      <c r="L394">
        <f t="shared" si="55"/>
        <v>1</v>
      </c>
      <c r="M394">
        <f t="shared" si="56"/>
        <v>1</v>
      </c>
      <c r="N394">
        <f t="shared" si="57"/>
        <v>0</v>
      </c>
      <c r="O394">
        <f t="shared" si="58"/>
        <v>0</v>
      </c>
      <c r="P394">
        <f t="shared" si="59"/>
        <v>0</v>
      </c>
      <c r="Q394">
        <f t="shared" si="62"/>
        <v>0</v>
      </c>
      <c r="R394">
        <f t="shared" si="60"/>
        <v>0</v>
      </c>
      <c r="S394">
        <f t="shared" si="61"/>
        <v>3</v>
      </c>
    </row>
    <row r="395" spans="1:19" x14ac:dyDescent="0.2">
      <c r="A395">
        <v>394</v>
      </c>
      <c r="B395">
        <v>500</v>
      </c>
      <c r="C395">
        <v>10</v>
      </c>
      <c r="D395">
        <v>0.1</v>
      </c>
      <c r="E395">
        <v>20</v>
      </c>
      <c r="F395">
        <v>100</v>
      </c>
      <c r="G395">
        <v>50</v>
      </c>
      <c r="H395">
        <v>0.05</v>
      </c>
      <c r="I395">
        <v>5</v>
      </c>
      <c r="J395" t="s">
        <v>135</v>
      </c>
      <c r="K395">
        <f t="shared" si="54"/>
        <v>1</v>
      </c>
      <c r="L395">
        <f t="shared" si="55"/>
        <v>1</v>
      </c>
      <c r="M395">
        <f t="shared" si="56"/>
        <v>1</v>
      </c>
      <c r="N395">
        <f t="shared" si="57"/>
        <v>1</v>
      </c>
      <c r="O395">
        <f t="shared" si="58"/>
        <v>1</v>
      </c>
      <c r="P395">
        <f t="shared" si="59"/>
        <v>1</v>
      </c>
      <c r="Q395">
        <f t="shared" si="62"/>
        <v>1</v>
      </c>
      <c r="R395">
        <f t="shared" si="60"/>
        <v>1</v>
      </c>
      <c r="S395">
        <f t="shared" si="61"/>
        <v>8</v>
      </c>
    </row>
    <row r="396" spans="1:19" x14ac:dyDescent="0.2">
      <c r="A396">
        <v>395</v>
      </c>
      <c r="B396">
        <v>500</v>
      </c>
      <c r="C396">
        <v>10</v>
      </c>
      <c r="D396">
        <v>0.1</v>
      </c>
      <c r="E396">
        <v>20</v>
      </c>
      <c r="F396">
        <v>100</v>
      </c>
      <c r="G396" s="3">
        <v>0.1</v>
      </c>
      <c r="H396">
        <v>5</v>
      </c>
      <c r="I396">
        <v>5</v>
      </c>
      <c r="J396" t="s">
        <v>135</v>
      </c>
      <c r="K396">
        <f t="shared" si="54"/>
        <v>1</v>
      </c>
      <c r="L396">
        <f t="shared" si="55"/>
        <v>1</v>
      </c>
      <c r="M396">
        <f t="shared" si="56"/>
        <v>1</v>
      </c>
      <c r="N396">
        <f t="shared" si="57"/>
        <v>1</v>
      </c>
      <c r="O396">
        <f t="shared" si="58"/>
        <v>1</v>
      </c>
      <c r="P396">
        <f t="shared" si="59"/>
        <v>0</v>
      </c>
      <c r="Q396">
        <f t="shared" si="62"/>
        <v>0</v>
      </c>
      <c r="R396">
        <f t="shared" si="60"/>
        <v>1</v>
      </c>
      <c r="S396">
        <f t="shared" si="61"/>
        <v>6</v>
      </c>
    </row>
    <row r="397" spans="1:19" x14ac:dyDescent="0.2">
      <c r="A397">
        <v>396</v>
      </c>
      <c r="B397">
        <v>500</v>
      </c>
      <c r="C397">
        <v>10</v>
      </c>
      <c r="D397">
        <v>0.1</v>
      </c>
      <c r="E397">
        <v>20</v>
      </c>
      <c r="F397">
        <v>100</v>
      </c>
      <c r="G397">
        <v>10</v>
      </c>
      <c r="H397">
        <v>10</v>
      </c>
      <c r="I397">
        <v>100</v>
      </c>
      <c r="J397" t="s">
        <v>123</v>
      </c>
      <c r="K397">
        <f t="shared" si="54"/>
        <v>1</v>
      </c>
      <c r="L397">
        <f t="shared" si="55"/>
        <v>1</v>
      </c>
      <c r="M397">
        <f t="shared" si="56"/>
        <v>1</v>
      </c>
      <c r="N397">
        <f t="shared" si="57"/>
        <v>1</v>
      </c>
      <c r="O397">
        <f t="shared" si="58"/>
        <v>1</v>
      </c>
      <c r="P397">
        <f t="shared" si="59"/>
        <v>0</v>
      </c>
      <c r="Q397">
        <f t="shared" si="62"/>
        <v>0</v>
      </c>
      <c r="R397">
        <f t="shared" si="60"/>
        <v>0</v>
      </c>
      <c r="S397">
        <f t="shared" si="61"/>
        <v>5</v>
      </c>
    </row>
    <row r="398" spans="1:19" x14ac:dyDescent="0.2">
      <c r="A398">
        <v>397</v>
      </c>
      <c r="B398">
        <v>500</v>
      </c>
      <c r="C398">
        <v>10</v>
      </c>
      <c r="D398">
        <v>0.1</v>
      </c>
      <c r="E398">
        <v>20</v>
      </c>
      <c r="F398">
        <v>100</v>
      </c>
      <c r="G398" s="3">
        <v>0.9</v>
      </c>
      <c r="H398">
        <v>5</v>
      </c>
      <c r="I398">
        <v>5</v>
      </c>
      <c r="J398" t="s">
        <v>117</v>
      </c>
      <c r="K398">
        <f t="shared" si="54"/>
        <v>1</v>
      </c>
      <c r="L398">
        <f t="shared" si="55"/>
        <v>1</v>
      </c>
      <c r="M398">
        <f t="shared" si="56"/>
        <v>1</v>
      </c>
      <c r="N398">
        <f t="shared" si="57"/>
        <v>1</v>
      </c>
      <c r="O398">
        <f t="shared" si="58"/>
        <v>1</v>
      </c>
      <c r="P398">
        <f t="shared" si="59"/>
        <v>0</v>
      </c>
      <c r="Q398">
        <f t="shared" si="62"/>
        <v>0</v>
      </c>
      <c r="R398">
        <f t="shared" si="60"/>
        <v>1</v>
      </c>
      <c r="S398">
        <f t="shared" si="61"/>
        <v>6</v>
      </c>
    </row>
    <row r="399" spans="1:19" x14ac:dyDescent="0.2">
      <c r="A399">
        <v>398</v>
      </c>
      <c r="B399">
        <v>500</v>
      </c>
      <c r="C399">
        <v>10</v>
      </c>
      <c r="D399" s="4">
        <v>1E-3</v>
      </c>
      <c r="E399" s="3">
        <v>0.2</v>
      </c>
      <c r="F399">
        <v>10</v>
      </c>
      <c r="G399" s="3">
        <v>0.25</v>
      </c>
      <c r="H399" t="s">
        <v>134</v>
      </c>
      <c r="I399" t="s">
        <v>159</v>
      </c>
      <c r="J399" t="s">
        <v>117</v>
      </c>
      <c r="K399">
        <f t="shared" si="54"/>
        <v>1</v>
      </c>
      <c r="L399">
        <f t="shared" si="55"/>
        <v>1</v>
      </c>
      <c r="M399">
        <f t="shared" si="56"/>
        <v>1</v>
      </c>
      <c r="N399">
        <f t="shared" si="57"/>
        <v>1</v>
      </c>
      <c r="O399">
        <f t="shared" si="58"/>
        <v>0</v>
      </c>
      <c r="P399">
        <f t="shared" si="59"/>
        <v>0</v>
      </c>
      <c r="Q399">
        <f t="shared" si="62"/>
        <v>1</v>
      </c>
      <c r="R399">
        <f t="shared" si="60"/>
        <v>1</v>
      </c>
      <c r="S399">
        <f t="shared" si="61"/>
        <v>6</v>
      </c>
    </row>
    <row r="400" spans="1:19" x14ac:dyDescent="0.2">
      <c r="A400">
        <v>399</v>
      </c>
      <c r="B400">
        <v>500</v>
      </c>
      <c r="C400">
        <v>0.5</v>
      </c>
      <c r="D400">
        <v>0.01</v>
      </c>
      <c r="E400">
        <v>20</v>
      </c>
      <c r="F400">
        <v>0.1</v>
      </c>
      <c r="G400">
        <v>90</v>
      </c>
      <c r="H400">
        <v>0.1</v>
      </c>
      <c r="I400" t="s">
        <v>159</v>
      </c>
      <c r="J400" t="s">
        <v>128</v>
      </c>
      <c r="K400">
        <f t="shared" si="54"/>
        <v>1</v>
      </c>
      <c r="L400">
        <f t="shared" si="55"/>
        <v>0</v>
      </c>
      <c r="M400">
        <f t="shared" si="56"/>
        <v>0</v>
      </c>
      <c r="N400">
        <f t="shared" si="57"/>
        <v>1</v>
      </c>
      <c r="O400">
        <f t="shared" si="58"/>
        <v>0</v>
      </c>
      <c r="P400">
        <f t="shared" si="59"/>
        <v>0</v>
      </c>
      <c r="Q400">
        <f t="shared" si="62"/>
        <v>0</v>
      </c>
      <c r="R400">
        <f t="shared" si="60"/>
        <v>1</v>
      </c>
      <c r="S400">
        <f t="shared" si="61"/>
        <v>3</v>
      </c>
    </row>
    <row r="401" spans="1:19" x14ac:dyDescent="0.2">
      <c r="A401">
        <v>400</v>
      </c>
      <c r="B401">
        <v>508</v>
      </c>
      <c r="C401">
        <v>8</v>
      </c>
      <c r="D401" s="4">
        <v>1E-3</v>
      </c>
      <c r="E401">
        <v>20</v>
      </c>
      <c r="F401">
        <v>10</v>
      </c>
      <c r="G401" s="3">
        <v>0.9</v>
      </c>
      <c r="H401" s="5">
        <v>0.05</v>
      </c>
      <c r="I401">
        <v>5</v>
      </c>
      <c r="J401" t="s">
        <v>128</v>
      </c>
      <c r="K401">
        <f t="shared" si="54"/>
        <v>0</v>
      </c>
      <c r="L401">
        <f t="shared" si="55"/>
        <v>0</v>
      </c>
      <c r="M401">
        <f t="shared" si="56"/>
        <v>1</v>
      </c>
      <c r="N401">
        <f t="shared" si="57"/>
        <v>1</v>
      </c>
      <c r="O401">
        <f t="shared" si="58"/>
        <v>0</v>
      </c>
      <c r="P401">
        <f t="shared" si="59"/>
        <v>0</v>
      </c>
      <c r="Q401">
        <f t="shared" si="62"/>
        <v>1</v>
      </c>
      <c r="R401">
        <f t="shared" si="60"/>
        <v>1</v>
      </c>
      <c r="S401">
        <f t="shared" si="6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Effect+Size+Snack+Bar_April+14,</vt:lpstr>
      <vt:lpstr>Pivot</vt:lpstr>
      <vt:lpstr>EndorseData</vt:lpstr>
      <vt:lpstr>Coding</vt:lpstr>
      <vt:lpstr>Numeracy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2023-04-14T20:01:46Z</dcterms:created>
  <dcterms:modified xsi:type="dcterms:W3CDTF">2023-08-16T15:09:14Z</dcterms:modified>
</cp:coreProperties>
</file>