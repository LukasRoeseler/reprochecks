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lmichal/Documents/ScientificReasoning/EffectSizeStudy/"/>
    </mc:Choice>
  </mc:AlternateContent>
  <xr:revisionPtr revIDLastSave="0" documentId="13_ncr:1_{44D6658D-DA7D-E044-8D84-4078CCC70F4B}" xr6:coauthVersionLast="47" xr6:coauthVersionMax="47" xr10:uidLastSave="{00000000-0000-0000-0000-000000000000}"/>
  <bookViews>
    <workbookView xWindow="1840" yWindow="500" windowWidth="27240" windowHeight="16440" activeTab="5" xr2:uid="{00000000-000D-0000-FFFF-FFFF00000000}"/>
  </bookViews>
  <sheets>
    <sheet name="Effect+Size+Math+Curriculum2_Ap" sheetId="1" r:id="rId1"/>
    <sheet name="Sheet6" sheetId="7" r:id="rId2"/>
    <sheet name="Coding" sheetId="6" r:id="rId3"/>
    <sheet name="pivot" sheetId="5" r:id="rId4"/>
    <sheet name="RecommendData" sheetId="3" r:id="rId5"/>
    <sheet name="NumeracyRecommendCorr" sheetId="9" r:id="rId6"/>
    <sheet name="marginaleffects" sheetId="8" r:id="rId7"/>
    <sheet name="PromptRecCorrelation" sheetId="4" r:id="rId8"/>
    <sheet name="NumeracyScores" sheetId="2" r:id="rId9"/>
  </sheets>
  <calcPr calcId="181029"/>
  <pivotCaches>
    <pivotCache cacheId="5"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5" i="9" l="1"/>
  <c r="G4" i="9"/>
  <c r="G3" i="9"/>
  <c r="G2" i="9"/>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2" i="2"/>
  <c r="D401" i="6" l="1"/>
  <c r="D405" i="3" l="1"/>
  <c r="D404" i="3"/>
  <c r="D403" i="3"/>
  <c r="D402" i="3"/>
  <c r="R3" i="6"/>
  <c r="R407" i="6" s="1"/>
  <c r="R408" i="6" s="1"/>
  <c r="R4" i="6"/>
  <c r="R5" i="6"/>
  <c r="R410" i="6" s="1"/>
  <c r="R411" i="6" s="1"/>
  <c r="R6" i="6"/>
  <c r="R404" i="6" s="1"/>
  <c r="R405" i="6" s="1"/>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2" i="6"/>
  <c r="R401" i="6" s="1"/>
  <c r="R402" i="6" s="1"/>
  <c r="Q3" i="6"/>
  <c r="Q407" i="6" s="1"/>
  <c r="Q408" i="6" s="1"/>
  <c r="Q4" i="6"/>
  <c r="Q5" i="6"/>
  <c r="Q410" i="6" s="1"/>
  <c r="Q411" i="6" s="1"/>
  <c r="Q6" i="6"/>
  <c r="Q404" i="6" s="1"/>
  <c r="Q405" i="6" s="1"/>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2" i="6"/>
  <c r="P3" i="6"/>
  <c r="P407" i="6" s="1"/>
  <c r="P408" i="6" s="1"/>
  <c r="P4" i="6"/>
  <c r="P5" i="6"/>
  <c r="P410" i="6" s="1"/>
  <c r="P411" i="6" s="1"/>
  <c r="P6" i="6"/>
  <c r="P404" i="6" s="1"/>
  <c r="P405" i="6" s="1"/>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2" i="6"/>
  <c r="P401" i="6" s="1"/>
  <c r="P402" i="6" s="1"/>
  <c r="O3" i="6"/>
  <c r="O407" i="6" s="1"/>
  <c r="O408" i="6" s="1"/>
  <c r="O4" i="6"/>
  <c r="O5" i="6"/>
  <c r="O410" i="6" s="1"/>
  <c r="O411" i="6" s="1"/>
  <c r="O6" i="6"/>
  <c r="O404" i="6" s="1"/>
  <c r="O405" i="6" s="1"/>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2" i="6"/>
  <c r="O413" i="6" s="1"/>
  <c r="N3" i="6"/>
  <c r="N407" i="6" s="1"/>
  <c r="N408" i="6" s="1"/>
  <c r="N4" i="6"/>
  <c r="N5" i="6"/>
  <c r="N410" i="6" s="1"/>
  <c r="N411" i="6" s="1"/>
  <c r="N6" i="6"/>
  <c r="N404" i="6" s="1"/>
  <c r="N405" i="6" s="1"/>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2" i="6"/>
  <c r="C403" i="7"/>
  <c r="P413" i="6" l="1"/>
  <c r="Q413" i="6"/>
  <c r="O401" i="6"/>
  <c r="O402" i="6" s="1"/>
  <c r="N413" i="6"/>
  <c r="S413" i="6" s="1"/>
  <c r="S414" i="6" s="1"/>
  <c r="N401" i="6"/>
  <c r="N402" i="6" s="1"/>
  <c r="Q401" i="6"/>
  <c r="Q402" i="6" s="1"/>
  <c r="H410" i="6"/>
  <c r="H411" i="6" s="1"/>
  <c r="G410" i="6"/>
  <c r="G411" i="6" s="1"/>
  <c r="F410" i="6"/>
  <c r="F411" i="6" s="1"/>
  <c r="E410" i="6"/>
  <c r="E411" i="6" s="1"/>
  <c r="D410" i="6"/>
  <c r="D411" i="6" s="1"/>
  <c r="H407" i="6"/>
  <c r="H408" i="6" s="1"/>
  <c r="G407" i="6"/>
  <c r="G408" i="6" s="1"/>
  <c r="F407" i="6"/>
  <c r="F408" i="6" s="1"/>
  <c r="E407" i="6"/>
  <c r="E408" i="6" s="1"/>
  <c r="D407" i="6"/>
  <c r="D408" i="6" s="1"/>
  <c r="H401" i="6"/>
  <c r="H402" i="6" s="1"/>
  <c r="D402" i="6"/>
  <c r="H404" i="6"/>
  <c r="H405" i="6" s="1"/>
  <c r="G404" i="6"/>
  <c r="G405" i="6" s="1"/>
  <c r="F404" i="6"/>
  <c r="F405" i="6" s="1"/>
  <c r="E404" i="6"/>
  <c r="E405" i="6" s="1"/>
  <c r="D404" i="6"/>
  <c r="D405" i="6" s="1"/>
  <c r="B404" i="6"/>
  <c r="B403" i="6"/>
  <c r="B402" i="6"/>
  <c r="B401" i="6"/>
  <c r="G401" i="6"/>
  <c r="G402" i="6" s="1"/>
  <c r="F401" i="6"/>
  <c r="F402" i="6" s="1"/>
  <c r="E401" i="6"/>
  <c r="E402" i="6" s="1"/>
  <c r="Q3" i="2" l="1"/>
  <c r="Q4" i="2"/>
  <c r="Q5" i="2"/>
  <c r="Q6" i="2"/>
  <c r="Q8" i="2"/>
  <c r="Q9" i="2"/>
  <c r="Q10" i="2"/>
  <c r="Q11" i="2"/>
  <c r="Q13" i="2"/>
  <c r="Q14" i="2"/>
  <c r="Q15" i="2"/>
  <c r="Q16" i="2"/>
  <c r="Q17" i="2"/>
  <c r="Q18" i="2"/>
  <c r="Q19" i="2"/>
  <c r="Q20" i="2"/>
  <c r="Q21" i="2"/>
  <c r="Q22" i="2"/>
  <c r="Q23" i="2"/>
  <c r="Q24" i="2"/>
  <c r="Q25" i="2"/>
  <c r="Q26" i="2"/>
  <c r="Q27" i="2"/>
  <c r="Q28" i="2"/>
  <c r="Q29" i="2"/>
  <c r="Q30" i="2"/>
  <c r="Q32" i="2"/>
  <c r="Q33" i="2"/>
  <c r="Q34" i="2"/>
  <c r="Q35" i="2"/>
  <c r="Q36" i="2"/>
  <c r="Q37" i="2"/>
  <c r="Q38" i="2"/>
  <c r="Q39" i="2"/>
  <c r="Q40" i="2"/>
  <c r="Q41" i="2"/>
  <c r="Q42" i="2"/>
  <c r="Q43" i="2"/>
  <c r="Q44" i="2"/>
  <c r="Q45" i="2"/>
  <c r="Q46" i="2"/>
  <c r="Q47" i="2"/>
  <c r="Q48" i="2"/>
  <c r="Q49" i="2"/>
  <c r="Q51" i="2"/>
  <c r="Q52" i="2"/>
  <c r="Q54" i="2"/>
  <c r="Q55" i="2"/>
  <c r="Q56" i="2"/>
  <c r="Q57" i="2"/>
  <c r="Q58" i="2"/>
  <c r="Q59" i="2"/>
  <c r="Q60" i="2"/>
  <c r="Q61" i="2"/>
  <c r="Q62" i="2"/>
  <c r="Q63" i="2"/>
  <c r="Q64" i="2"/>
  <c r="Q65" i="2"/>
  <c r="Q66" i="2"/>
  <c r="Q67" i="2"/>
  <c r="Q68" i="2"/>
  <c r="Q69" i="2"/>
  <c r="Q70" i="2"/>
  <c r="Q71" i="2"/>
  <c r="Q72" i="2"/>
  <c r="Q73" i="2"/>
  <c r="Q74" i="2"/>
  <c r="Q75" i="2"/>
  <c r="Q76" i="2"/>
  <c r="Q77" i="2"/>
  <c r="Q78" i="2"/>
  <c r="Q80" i="2"/>
  <c r="Q81" i="2"/>
  <c r="Q82" i="2"/>
  <c r="Q83" i="2"/>
  <c r="Q84" i="2"/>
  <c r="Q85" i="2"/>
  <c r="Q86" i="2"/>
  <c r="Q87" i="2"/>
  <c r="Q88" i="2"/>
  <c r="Q89" i="2"/>
  <c r="Q90"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1" i="2"/>
  <c r="Q122" i="2"/>
  <c r="Q123" i="2"/>
  <c r="Q124" i="2"/>
  <c r="Q125" i="2"/>
  <c r="Q126" i="2"/>
  <c r="Q127" i="2"/>
  <c r="Q129" i="2"/>
  <c r="Q130" i="2"/>
  <c r="Q131" i="2"/>
  <c r="Q133" i="2"/>
  <c r="Q134" i="2"/>
  <c r="Q135" i="2"/>
  <c r="Q136" i="2"/>
  <c r="Q139" i="2"/>
  <c r="Q140" i="2"/>
  <c r="Q141" i="2"/>
  <c r="Q142" i="2"/>
  <c r="Q143"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9" i="2"/>
  <c r="Q180" i="2"/>
  <c r="Q181" i="2"/>
  <c r="Q182" i="2"/>
  <c r="Q183" i="2"/>
  <c r="Q184" i="2"/>
  <c r="Q185" i="2"/>
  <c r="Q186" i="2"/>
  <c r="Q187" i="2"/>
  <c r="Q189" i="2"/>
  <c r="Q190" i="2"/>
  <c r="Q191" i="2"/>
  <c r="Q192" i="2"/>
  <c r="Q193" i="2"/>
  <c r="Q194" i="2"/>
  <c r="Q195" i="2"/>
  <c r="Q196" i="2"/>
  <c r="Q197" i="2"/>
  <c r="Q199" i="2"/>
  <c r="Q200" i="2"/>
  <c r="Q201" i="2"/>
  <c r="Q202" i="2"/>
  <c r="Q203" i="2"/>
  <c r="Q204" i="2"/>
  <c r="Q205" i="2"/>
  <c r="Q206" i="2"/>
  <c r="Q207" i="2"/>
  <c r="Q208" i="2"/>
  <c r="Q209" i="2"/>
  <c r="Q210" i="2"/>
  <c r="Q211" i="2"/>
  <c r="Q212" i="2"/>
  <c r="Q213" i="2"/>
  <c r="Q214" i="2"/>
  <c r="Q215" i="2"/>
  <c r="Q216" i="2"/>
  <c r="Q217" i="2"/>
  <c r="Q218" i="2"/>
  <c r="Q219" i="2"/>
  <c r="Q220" i="2"/>
  <c r="Q221" i="2"/>
  <c r="Q222"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2" i="2"/>
  <c r="Q293" i="2"/>
  <c r="Q294" i="2"/>
  <c r="Q296" i="2"/>
  <c r="Q297" i="2"/>
  <c r="Q298" i="2"/>
  <c r="Q299" i="2"/>
  <c r="Q300" i="2"/>
  <c r="Q301" i="2"/>
  <c r="Q302" i="2"/>
  <c r="Q303" i="2"/>
  <c r="Q304" i="2"/>
  <c r="Q305" i="2"/>
  <c r="Q306" i="2"/>
  <c r="Q307" i="2"/>
  <c r="Q308"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8" i="2"/>
  <c r="Q359"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8" i="2"/>
  <c r="Q399" i="2"/>
  <c r="Q2" i="2"/>
  <c r="P3" i="2"/>
  <c r="P4" i="2"/>
  <c r="P5" i="2"/>
  <c r="P6" i="2"/>
  <c r="P7" i="2"/>
  <c r="P8" i="2"/>
  <c r="P9" i="2"/>
  <c r="P10" i="2"/>
  <c r="P11" i="2"/>
  <c r="P12" i="2"/>
  <c r="P13" i="2"/>
  <c r="P14" i="2"/>
  <c r="P15" i="2"/>
  <c r="P16" i="2"/>
  <c r="P17" i="2"/>
  <c r="P18" i="2"/>
  <c r="P19" i="2"/>
  <c r="P20" i="2"/>
  <c r="P21" i="2"/>
  <c r="P22" i="2"/>
  <c r="P23" i="2"/>
  <c r="P24" i="2"/>
  <c r="P25" i="2"/>
  <c r="P26" i="2"/>
  <c r="P27"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1" i="2"/>
  <c r="P392" i="2"/>
  <c r="P393" i="2"/>
  <c r="P394" i="2"/>
  <c r="P395" i="2"/>
  <c r="P397" i="2"/>
  <c r="P398" i="2"/>
  <c r="P399" i="2"/>
  <c r="P2" i="2"/>
  <c r="O3" i="2"/>
  <c r="O4" i="2"/>
  <c r="O5" i="2"/>
  <c r="O6" i="2"/>
  <c r="O7" i="2"/>
  <c r="O8" i="2"/>
  <c r="O9" i="2"/>
  <c r="O10" i="2"/>
  <c r="O11" i="2"/>
  <c r="O12" i="2"/>
  <c r="O13" i="2"/>
  <c r="O14"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2" i="2"/>
  <c r="O53" i="2"/>
  <c r="O54" i="2"/>
  <c r="O55" i="2"/>
  <c r="O56" i="2"/>
  <c r="O57" i="2"/>
  <c r="O58" i="2"/>
  <c r="O59" i="2"/>
  <c r="O60" i="2"/>
  <c r="O61" i="2"/>
  <c r="O62"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R295" i="2" s="1"/>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R397" i="2" s="1"/>
  <c r="O398" i="2"/>
  <c r="O399"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3" i="2"/>
  <c r="N134" i="2"/>
  <c r="N135"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4" i="2"/>
  <c r="N275" i="2"/>
  <c r="N276" i="2"/>
  <c r="N277" i="2"/>
  <c r="N278" i="2"/>
  <c r="N279" i="2"/>
  <c r="N280" i="2"/>
  <c r="N281" i="2"/>
  <c r="N282" i="2"/>
  <c r="N284" i="2"/>
  <c r="N285" i="2"/>
  <c r="N286" i="2"/>
  <c r="N287" i="2"/>
  <c r="N288" i="2"/>
  <c r="N289" i="2"/>
  <c r="N290" i="2"/>
  <c r="N291" i="2"/>
  <c r="N292" i="2"/>
  <c r="N293" i="2"/>
  <c r="N294" i="2"/>
  <c r="N296" i="2"/>
  <c r="N297" i="2"/>
  <c r="N298" i="2"/>
  <c r="N299" i="2"/>
  <c r="N300" i="2"/>
  <c r="N301" i="2"/>
  <c r="N302" i="2"/>
  <c r="N303" i="2"/>
  <c r="N304" i="2"/>
  <c r="N305" i="2"/>
  <c r="N306" i="2"/>
  <c r="N307" i="2"/>
  <c r="N308" i="2"/>
  <c r="N309" i="2"/>
  <c r="N310" i="2"/>
  <c r="N311" i="2"/>
  <c r="N312" i="2"/>
  <c r="N313" i="2"/>
  <c r="N314" i="2"/>
  <c r="N315" i="2"/>
  <c r="N316" i="2"/>
  <c r="N317" i="2"/>
  <c r="N318"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6" i="2"/>
  <c r="N367" i="2"/>
  <c r="N368" i="2"/>
  <c r="N370" i="2"/>
  <c r="N371" i="2"/>
  <c r="N372" i="2"/>
  <c r="N373" i="2"/>
  <c r="N374" i="2"/>
  <c r="N375" i="2"/>
  <c r="N376" i="2"/>
  <c r="N377" i="2"/>
  <c r="N378" i="2"/>
  <c r="N379" i="2"/>
  <c r="N380" i="2"/>
  <c r="N381" i="2"/>
  <c r="N382" i="2"/>
  <c r="N383" i="2"/>
  <c r="N384" i="2"/>
  <c r="N385" i="2"/>
  <c r="N386" i="2"/>
  <c r="N387" i="2"/>
  <c r="N389" i="2"/>
  <c r="N391" i="2"/>
  <c r="N392" i="2"/>
  <c r="N393" i="2"/>
  <c r="N394" i="2"/>
  <c r="N395" i="2"/>
  <c r="N396" i="2"/>
  <c r="N398" i="2"/>
  <c r="N399" i="2"/>
  <c r="N2" i="2"/>
  <c r="M4"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1" i="2"/>
  <c r="M182" i="2"/>
  <c r="M183" i="2"/>
  <c r="M184" i="2"/>
  <c r="M185" i="2"/>
  <c r="M186"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8" i="2"/>
  <c r="M289" i="2"/>
  <c r="M290" i="2"/>
  <c r="M291" i="2"/>
  <c r="M292" i="2"/>
  <c r="M293" i="2"/>
  <c r="M294" i="2"/>
  <c r="M296" i="2"/>
  <c r="M297" i="2"/>
  <c r="M298" i="2"/>
  <c r="M299" i="2"/>
  <c r="M300" i="2"/>
  <c r="M301" i="2"/>
  <c r="M302" i="2"/>
  <c r="M303" i="2"/>
  <c r="M304" i="2"/>
  <c r="M305" i="2"/>
  <c r="M306" i="2"/>
  <c r="M307" i="2"/>
  <c r="M308"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8" i="2"/>
  <c r="M399" i="2"/>
  <c r="M3" i="2"/>
  <c r="M2" i="2"/>
  <c r="L3" i="2"/>
  <c r="L4"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20" i="2"/>
  <c r="L121" i="2"/>
  <c r="L122" i="2"/>
  <c r="L123" i="2"/>
  <c r="L124" i="2"/>
  <c r="L125" i="2"/>
  <c r="L126" i="2"/>
  <c r="L127" i="2"/>
  <c r="L128" i="2"/>
  <c r="L129" i="2"/>
  <c r="L130" i="2"/>
  <c r="L131" i="2"/>
  <c r="L132" i="2"/>
  <c r="L133" i="2"/>
  <c r="L134" i="2"/>
  <c r="L135" i="2"/>
  <c r="L136" i="2"/>
  <c r="R136" i="2" s="1"/>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R195" i="2" s="1"/>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R223" i="2" s="1"/>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R273" i="2" s="1"/>
  <c r="L274" i="2"/>
  <c r="L275" i="2"/>
  <c r="L276" i="2"/>
  <c r="L277" i="2"/>
  <c r="L278" i="2"/>
  <c r="L279" i="2"/>
  <c r="L280" i="2"/>
  <c r="L281" i="2"/>
  <c r="L282" i="2"/>
  <c r="L283" i="2"/>
  <c r="R283" i="2" s="1"/>
  <c r="L284" i="2"/>
  <c r="L285" i="2"/>
  <c r="L286" i="2"/>
  <c r="L288" i="2"/>
  <c r="L289" i="2"/>
  <c r="L290" i="2"/>
  <c r="L291" i="2"/>
  <c r="L292" i="2"/>
  <c r="L293" i="2"/>
  <c r="L294"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R351" i="2" s="1"/>
  <c r="L352" i="2"/>
  <c r="L353" i="2"/>
  <c r="L354" i="2"/>
  <c r="L355" i="2"/>
  <c r="L356" i="2"/>
  <c r="L357" i="2"/>
  <c r="L358" i="2"/>
  <c r="L359" i="2"/>
  <c r="L360" i="2"/>
  <c r="L361" i="2"/>
  <c r="L362" i="2"/>
  <c r="L363" i="2"/>
  <c r="L364" i="2"/>
  <c r="L365" i="2"/>
  <c r="L366" i="2"/>
  <c r="L367" i="2"/>
  <c r="L368" i="2"/>
  <c r="L370" i="2"/>
  <c r="L371" i="2"/>
  <c r="L372" i="2"/>
  <c r="L373" i="2"/>
  <c r="L374" i="2"/>
  <c r="L375" i="2"/>
  <c r="L376" i="2"/>
  <c r="R376" i="2" s="1"/>
  <c r="L377" i="2"/>
  <c r="L378" i="2"/>
  <c r="L379" i="2"/>
  <c r="L380" i="2"/>
  <c r="L381" i="2"/>
  <c r="L382" i="2"/>
  <c r="L383" i="2"/>
  <c r="L384" i="2"/>
  <c r="L385" i="2"/>
  <c r="L386" i="2"/>
  <c r="R386" i="2" s="1"/>
  <c r="L387" i="2"/>
  <c r="L388" i="2"/>
  <c r="L389" i="2"/>
  <c r="L390" i="2"/>
  <c r="L391" i="2"/>
  <c r="L392" i="2"/>
  <c r="L393" i="2"/>
  <c r="L394" i="2"/>
  <c r="L395" i="2"/>
  <c r="L396" i="2"/>
  <c r="L398" i="2"/>
  <c r="L399" i="2"/>
  <c r="L2" i="2"/>
  <c r="K4" i="2"/>
  <c r="K5" i="2"/>
  <c r="K6" i="2"/>
  <c r="K7" i="2"/>
  <c r="R7" i="2" s="1"/>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R37" i="2" s="1"/>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R93" i="2" s="1"/>
  <c r="K94" i="2"/>
  <c r="K95" i="2"/>
  <c r="K96" i="2"/>
  <c r="K97" i="2"/>
  <c r="K98" i="2"/>
  <c r="R98" i="2" s="1"/>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81" i="2"/>
  <c r="K182" i="2"/>
  <c r="K183" i="2"/>
  <c r="K184" i="2"/>
  <c r="K185" i="2"/>
  <c r="K186" i="2"/>
  <c r="K187" i="2"/>
  <c r="K189" i="2"/>
  <c r="K190" i="2"/>
  <c r="K191" i="2"/>
  <c r="K193" i="2"/>
  <c r="K196" i="2"/>
  <c r="K197" i="2"/>
  <c r="K198" i="2"/>
  <c r="R198" i="2" s="1"/>
  <c r="K199" i="2"/>
  <c r="K200" i="2"/>
  <c r="K201" i="2"/>
  <c r="K202" i="2"/>
  <c r="K203" i="2"/>
  <c r="K204" i="2"/>
  <c r="K205" i="2"/>
  <c r="K206" i="2"/>
  <c r="K207" i="2"/>
  <c r="K209" i="2"/>
  <c r="K210" i="2"/>
  <c r="K211" i="2"/>
  <c r="K212" i="2"/>
  <c r="K213" i="2"/>
  <c r="K214" i="2"/>
  <c r="K215" i="2"/>
  <c r="K216" i="2"/>
  <c r="K218" i="2"/>
  <c r="K219" i="2"/>
  <c r="K220" i="2"/>
  <c r="K221" i="2"/>
  <c r="K222"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4" i="2"/>
  <c r="K275" i="2"/>
  <c r="K276" i="2"/>
  <c r="K277" i="2"/>
  <c r="K278" i="2"/>
  <c r="K279" i="2"/>
  <c r="K280" i="2"/>
  <c r="K281" i="2"/>
  <c r="K282" i="2"/>
  <c r="K284" i="2"/>
  <c r="K285" i="2"/>
  <c r="K286" i="2"/>
  <c r="K288" i="2"/>
  <c r="K289" i="2"/>
  <c r="K290" i="2"/>
  <c r="K291" i="2"/>
  <c r="K292" i="2"/>
  <c r="K293" i="2"/>
  <c r="K294" i="2"/>
  <c r="K296" i="2"/>
  <c r="K297" i="2"/>
  <c r="K298" i="2"/>
  <c r="K299" i="2"/>
  <c r="K300" i="2"/>
  <c r="K301" i="2"/>
  <c r="K302" i="2"/>
  <c r="K303" i="2"/>
  <c r="K304" i="2"/>
  <c r="K305" i="2"/>
  <c r="K306" i="2"/>
  <c r="K307" i="2"/>
  <c r="R307" i="2" s="1"/>
  <c r="K308" i="2"/>
  <c r="K309" i="2"/>
  <c r="K310" i="2"/>
  <c r="K311" i="2"/>
  <c r="K312" i="2"/>
  <c r="K313" i="2"/>
  <c r="K314" i="2"/>
  <c r="R314" i="2" s="1"/>
  <c r="K315" i="2"/>
  <c r="K316" i="2"/>
  <c r="K317" i="2"/>
  <c r="K318" i="2"/>
  <c r="K319" i="2"/>
  <c r="R319" i="2" s="1"/>
  <c r="K320" i="2"/>
  <c r="K321" i="2"/>
  <c r="K322" i="2"/>
  <c r="K323" i="2"/>
  <c r="K324" i="2"/>
  <c r="K325" i="2"/>
  <c r="K326" i="2"/>
  <c r="K327" i="2"/>
  <c r="K328" i="2"/>
  <c r="K329" i="2"/>
  <c r="K330" i="2"/>
  <c r="K331" i="2"/>
  <c r="K332" i="2"/>
  <c r="K333" i="2"/>
  <c r="K334" i="2"/>
  <c r="K335" i="2"/>
  <c r="K336" i="2"/>
  <c r="K337" i="2"/>
  <c r="K338" i="2"/>
  <c r="K339" i="2"/>
  <c r="K340" i="2"/>
  <c r="R340" i="2" s="1"/>
  <c r="K341" i="2"/>
  <c r="K342" i="2"/>
  <c r="K343" i="2"/>
  <c r="K344" i="2"/>
  <c r="K345" i="2"/>
  <c r="K346" i="2"/>
  <c r="K347" i="2"/>
  <c r="K348" i="2"/>
  <c r="K349" i="2"/>
  <c r="K350" i="2"/>
  <c r="K352" i="2"/>
  <c r="K353" i="2"/>
  <c r="K354" i="2"/>
  <c r="K355" i="2"/>
  <c r="K356" i="2"/>
  <c r="K357" i="2"/>
  <c r="K358" i="2"/>
  <c r="K359" i="2"/>
  <c r="K360" i="2"/>
  <c r="K361" i="2"/>
  <c r="K362" i="2"/>
  <c r="K363" i="2"/>
  <c r="K364" i="2"/>
  <c r="K366" i="2"/>
  <c r="K367" i="2"/>
  <c r="K368" i="2"/>
  <c r="K370" i="2"/>
  <c r="K371" i="2"/>
  <c r="K372" i="2"/>
  <c r="K373" i="2"/>
  <c r="K374" i="2"/>
  <c r="K375" i="2"/>
  <c r="K377" i="2"/>
  <c r="K378" i="2"/>
  <c r="K379" i="2"/>
  <c r="K380" i="2"/>
  <c r="K381" i="2"/>
  <c r="K382" i="2"/>
  <c r="K383" i="2"/>
  <c r="K384" i="2"/>
  <c r="K385" i="2"/>
  <c r="K387" i="2"/>
  <c r="K389" i="2"/>
  <c r="K391" i="2"/>
  <c r="K392" i="2"/>
  <c r="K393" i="2"/>
  <c r="K394" i="2"/>
  <c r="K395" i="2"/>
  <c r="K396" i="2"/>
  <c r="K398" i="2"/>
  <c r="K399" i="2"/>
  <c r="K2" i="2"/>
  <c r="J4" i="2"/>
  <c r="J5" i="2"/>
  <c r="J6" i="2"/>
  <c r="R6" i="2" s="1"/>
  <c r="J8" i="2"/>
  <c r="R8" i="2" s="1"/>
  <c r="J9" i="2"/>
  <c r="R9" i="2" s="1"/>
  <c r="J10" i="2"/>
  <c r="J11" i="2"/>
  <c r="J12" i="2"/>
  <c r="R12" i="2" s="1"/>
  <c r="J13" i="2"/>
  <c r="J14" i="2"/>
  <c r="R14" i="2" s="1"/>
  <c r="J15" i="2"/>
  <c r="R15" i="2" s="1"/>
  <c r="J16" i="2"/>
  <c r="R16" i="2" s="1"/>
  <c r="J17" i="2"/>
  <c r="J18" i="2"/>
  <c r="R18" i="2" s="1"/>
  <c r="J19" i="2"/>
  <c r="R19" i="2" s="1"/>
  <c r="J20" i="2"/>
  <c r="R20" i="2" s="1"/>
  <c r="J21" i="2"/>
  <c r="J22" i="2"/>
  <c r="J23" i="2"/>
  <c r="J24" i="2"/>
  <c r="R24" i="2" s="1"/>
  <c r="J25" i="2"/>
  <c r="J26" i="2"/>
  <c r="R26" i="2" s="1"/>
  <c r="J27" i="2"/>
  <c r="R27" i="2" s="1"/>
  <c r="J28" i="2"/>
  <c r="R28" i="2" s="1"/>
  <c r="J29" i="2"/>
  <c r="J30" i="2"/>
  <c r="J31" i="2"/>
  <c r="R31" i="2" s="1"/>
  <c r="J32" i="2"/>
  <c r="R32" i="2" s="1"/>
  <c r="J33" i="2"/>
  <c r="J34" i="2"/>
  <c r="J35" i="2"/>
  <c r="J36" i="2"/>
  <c r="R36" i="2" s="1"/>
  <c r="J38" i="2"/>
  <c r="R38" i="2" s="1"/>
  <c r="J39" i="2"/>
  <c r="R39" i="2" s="1"/>
  <c r="J40" i="2"/>
  <c r="R40" i="2" s="1"/>
  <c r="J41" i="2"/>
  <c r="J42" i="2"/>
  <c r="J43" i="2"/>
  <c r="R43" i="2" s="1"/>
  <c r="J44" i="2"/>
  <c r="R44" i="2" s="1"/>
  <c r="J45" i="2"/>
  <c r="R45" i="2" s="1"/>
  <c r="J46" i="2"/>
  <c r="R46" i="2" s="1"/>
  <c r="J47" i="2"/>
  <c r="R47" i="2" s="1"/>
  <c r="J48" i="2"/>
  <c r="R48" i="2" s="1"/>
  <c r="J49" i="2"/>
  <c r="R49" i="2" s="1"/>
  <c r="J50" i="2"/>
  <c r="R50" i="2" s="1"/>
  <c r="J51" i="2"/>
  <c r="R51" i="2" s="1"/>
  <c r="J52" i="2"/>
  <c r="R52" i="2" s="1"/>
  <c r="J53" i="2"/>
  <c r="J54" i="2"/>
  <c r="J55" i="2"/>
  <c r="R55" i="2" s="1"/>
  <c r="J56" i="2"/>
  <c r="R56" i="2" s="1"/>
  <c r="J57" i="2"/>
  <c r="R57" i="2" s="1"/>
  <c r="J58" i="2"/>
  <c r="R58" i="2" s="1"/>
  <c r="J59" i="2"/>
  <c r="R59" i="2" s="1"/>
  <c r="J60" i="2"/>
  <c r="R60" i="2" s="1"/>
  <c r="J61" i="2"/>
  <c r="R61" i="2" s="1"/>
  <c r="J62" i="2"/>
  <c r="R62" i="2" s="1"/>
  <c r="J63" i="2"/>
  <c r="R63" i="2" s="1"/>
  <c r="J64" i="2"/>
  <c r="R64" i="2" s="1"/>
  <c r="J65" i="2"/>
  <c r="J66" i="2"/>
  <c r="J67" i="2"/>
  <c r="R67" i="2" s="1"/>
  <c r="J68" i="2"/>
  <c r="R68" i="2" s="1"/>
  <c r="J69" i="2"/>
  <c r="R69" i="2" s="1"/>
  <c r="J70" i="2"/>
  <c r="R70" i="2" s="1"/>
  <c r="J71" i="2"/>
  <c r="R71" i="2" s="1"/>
  <c r="J72" i="2"/>
  <c r="R72" i="2" s="1"/>
  <c r="J73" i="2"/>
  <c r="R73" i="2" s="1"/>
  <c r="J74" i="2"/>
  <c r="R74" i="2" s="1"/>
  <c r="J75" i="2"/>
  <c r="R75" i="2" s="1"/>
  <c r="J76" i="2"/>
  <c r="R76" i="2" s="1"/>
  <c r="J77" i="2"/>
  <c r="J78" i="2"/>
  <c r="J79" i="2"/>
  <c r="R79" i="2" s="1"/>
  <c r="J80" i="2"/>
  <c r="R80" i="2" s="1"/>
  <c r="J81" i="2"/>
  <c r="R81" i="2" s="1"/>
  <c r="J82" i="2"/>
  <c r="J83" i="2"/>
  <c r="R83" i="2" s="1"/>
  <c r="J84" i="2"/>
  <c r="R84" i="2" s="1"/>
  <c r="J85" i="2"/>
  <c r="R85" i="2" s="1"/>
  <c r="J86" i="2"/>
  <c r="R86" i="2" s="1"/>
  <c r="J87" i="2"/>
  <c r="R87" i="2" s="1"/>
  <c r="J88" i="2"/>
  <c r="R88" i="2" s="1"/>
  <c r="J89" i="2"/>
  <c r="R89" i="2" s="1"/>
  <c r="J90" i="2"/>
  <c r="J91" i="2"/>
  <c r="J92" i="2"/>
  <c r="R92" i="2" s="1"/>
  <c r="J94" i="2"/>
  <c r="J95" i="2"/>
  <c r="R95" i="2" s="1"/>
  <c r="J96" i="2"/>
  <c r="R96" i="2" s="1"/>
  <c r="J97" i="2"/>
  <c r="R97" i="2" s="1"/>
  <c r="J99" i="2"/>
  <c r="R99" i="2" s="1"/>
  <c r="J100" i="2"/>
  <c r="R100" i="2" s="1"/>
  <c r="J101" i="2"/>
  <c r="R101" i="2" s="1"/>
  <c r="J102" i="2"/>
  <c r="J103" i="2"/>
  <c r="J104" i="2"/>
  <c r="R104" i="2" s="1"/>
  <c r="J105" i="2"/>
  <c r="R105" i="2" s="1"/>
  <c r="J106" i="2"/>
  <c r="J107" i="2"/>
  <c r="R107" i="2" s="1"/>
  <c r="J108" i="2"/>
  <c r="R108" i="2" s="1"/>
  <c r="J109" i="2"/>
  <c r="R109" i="2" s="1"/>
  <c r="J110" i="2"/>
  <c r="R110" i="2" s="1"/>
  <c r="J111" i="2"/>
  <c r="R111" i="2" s="1"/>
  <c r="J112" i="2"/>
  <c r="R112" i="2" s="1"/>
  <c r="J113" i="2"/>
  <c r="R113" i="2" s="1"/>
  <c r="J114" i="2"/>
  <c r="J115" i="2"/>
  <c r="J116" i="2"/>
  <c r="R116" i="2" s="1"/>
  <c r="J117" i="2"/>
  <c r="R117" i="2" s="1"/>
  <c r="J118" i="2"/>
  <c r="J119" i="2"/>
  <c r="R119" i="2" s="1"/>
  <c r="J120" i="2"/>
  <c r="R120" i="2" s="1"/>
  <c r="J121" i="2"/>
  <c r="R121" i="2" s="1"/>
  <c r="J122" i="2"/>
  <c r="R122" i="2" s="1"/>
  <c r="J123" i="2"/>
  <c r="R123" i="2" s="1"/>
  <c r="J124" i="2"/>
  <c r="R124" i="2" s="1"/>
  <c r="J125" i="2"/>
  <c r="R125" i="2" s="1"/>
  <c r="J126" i="2"/>
  <c r="R126" i="2" s="1"/>
  <c r="J127" i="2"/>
  <c r="J128" i="2"/>
  <c r="R128" i="2" s="1"/>
  <c r="J129" i="2"/>
  <c r="R129" i="2" s="1"/>
  <c r="J130" i="2"/>
  <c r="J131" i="2"/>
  <c r="R131" i="2" s="1"/>
  <c r="J133" i="2"/>
  <c r="R133" i="2" s="1"/>
  <c r="J134" i="2"/>
  <c r="R134" i="2" s="1"/>
  <c r="J135" i="2"/>
  <c r="R135" i="2" s="1"/>
  <c r="J137" i="2"/>
  <c r="R137" i="2" s="1"/>
  <c r="J138" i="2"/>
  <c r="R138" i="2" s="1"/>
  <c r="J139" i="2"/>
  <c r="J140" i="2"/>
  <c r="R140" i="2" s="1"/>
  <c r="J141" i="2"/>
  <c r="R141" i="2" s="1"/>
  <c r="J142" i="2"/>
  <c r="J143" i="2"/>
  <c r="R143" i="2" s="1"/>
  <c r="J144" i="2"/>
  <c r="J145" i="2"/>
  <c r="R145" i="2" s="1"/>
  <c r="J146" i="2"/>
  <c r="R146" i="2" s="1"/>
  <c r="J147" i="2"/>
  <c r="R147" i="2" s="1"/>
  <c r="J148" i="2"/>
  <c r="R148" i="2" s="1"/>
  <c r="J149" i="2"/>
  <c r="R149" i="2" s="1"/>
  <c r="J150" i="2"/>
  <c r="R150" i="2" s="1"/>
  <c r="J151" i="2"/>
  <c r="J152" i="2"/>
  <c r="R152" i="2" s="1"/>
  <c r="J153" i="2"/>
  <c r="R153" i="2" s="1"/>
  <c r="J154" i="2"/>
  <c r="J155" i="2"/>
  <c r="R155" i="2" s="1"/>
  <c r="J156" i="2"/>
  <c r="J157" i="2"/>
  <c r="R157" i="2" s="1"/>
  <c r="J158" i="2"/>
  <c r="R158" i="2" s="1"/>
  <c r="J159" i="2"/>
  <c r="R159" i="2" s="1"/>
  <c r="J160" i="2"/>
  <c r="R160" i="2" s="1"/>
  <c r="J161" i="2"/>
  <c r="R161" i="2" s="1"/>
  <c r="J162" i="2"/>
  <c r="R162" i="2" s="1"/>
  <c r="J163" i="2"/>
  <c r="J164" i="2"/>
  <c r="R164" i="2" s="1"/>
  <c r="J165" i="2"/>
  <c r="R165" i="2" s="1"/>
  <c r="J166" i="2"/>
  <c r="J167" i="2"/>
  <c r="R167" i="2" s="1"/>
  <c r="J168" i="2"/>
  <c r="J169" i="2"/>
  <c r="R169" i="2" s="1"/>
  <c r="J170" i="2"/>
  <c r="R170" i="2" s="1"/>
  <c r="J171" i="2"/>
  <c r="R171" i="2" s="1"/>
  <c r="J172" i="2"/>
  <c r="R172" i="2" s="1"/>
  <c r="J173" i="2"/>
  <c r="R173" i="2" s="1"/>
  <c r="J174" i="2"/>
  <c r="R174" i="2" s="1"/>
  <c r="J175" i="2"/>
  <c r="J176" i="2"/>
  <c r="R176" i="2" s="1"/>
  <c r="J177" i="2"/>
  <c r="R177" i="2" s="1"/>
  <c r="J178" i="2"/>
  <c r="J180" i="2"/>
  <c r="J181" i="2"/>
  <c r="J182" i="2"/>
  <c r="R182" i="2" s="1"/>
  <c r="J183" i="2"/>
  <c r="R183" i="2" s="1"/>
  <c r="J184" i="2"/>
  <c r="R184" i="2" s="1"/>
  <c r="J185" i="2"/>
  <c r="R185" i="2" s="1"/>
  <c r="J186" i="2"/>
  <c r="R186" i="2" s="1"/>
  <c r="J188" i="2"/>
  <c r="R188" i="2" s="1"/>
  <c r="J189" i="2"/>
  <c r="R189" i="2" s="1"/>
  <c r="J190" i="2"/>
  <c r="J191" i="2"/>
  <c r="R191" i="2" s="1"/>
  <c r="J192" i="2"/>
  <c r="J193" i="2"/>
  <c r="J194" i="2"/>
  <c r="J196" i="2"/>
  <c r="R196" i="2" s="1"/>
  <c r="J197" i="2"/>
  <c r="J199" i="2"/>
  <c r="J200" i="2"/>
  <c r="R200" i="2" s="1"/>
  <c r="J201" i="2"/>
  <c r="R201" i="2" s="1"/>
  <c r="J202" i="2"/>
  <c r="J203" i="2"/>
  <c r="R203" i="2" s="1"/>
  <c r="J204" i="2"/>
  <c r="J205" i="2"/>
  <c r="J206" i="2"/>
  <c r="J207" i="2"/>
  <c r="R207" i="2" s="1"/>
  <c r="J208" i="2"/>
  <c r="R208" i="2" s="1"/>
  <c r="J209" i="2"/>
  <c r="R209" i="2" s="1"/>
  <c r="J210" i="2"/>
  <c r="J211" i="2"/>
  <c r="J212" i="2"/>
  <c r="R212" i="2" s="1"/>
  <c r="J213" i="2"/>
  <c r="R213" i="2" s="1"/>
  <c r="J214" i="2"/>
  <c r="J215" i="2"/>
  <c r="R215" i="2" s="1"/>
  <c r="J216" i="2"/>
  <c r="R216" i="2" s="1"/>
  <c r="J217" i="2"/>
  <c r="J218" i="2"/>
  <c r="J219" i="2"/>
  <c r="R219" i="2" s="1"/>
  <c r="J220" i="2"/>
  <c r="R220" i="2" s="1"/>
  <c r="J221" i="2"/>
  <c r="R221" i="2" s="1"/>
  <c r="J222" i="2"/>
  <c r="R222" i="2" s="1"/>
  <c r="J224" i="2"/>
  <c r="J225" i="2"/>
  <c r="R225" i="2" s="1"/>
  <c r="J226" i="2"/>
  <c r="J227" i="2"/>
  <c r="J228" i="2"/>
  <c r="R228" i="2" s="1"/>
  <c r="J229" i="2"/>
  <c r="J230" i="2"/>
  <c r="J231" i="2"/>
  <c r="R231" i="2" s="1"/>
  <c r="J232" i="2"/>
  <c r="R232" i="2" s="1"/>
  <c r="J233" i="2"/>
  <c r="R233" i="2" s="1"/>
  <c r="J234" i="2"/>
  <c r="R234" i="2" s="1"/>
  <c r="J235" i="2"/>
  <c r="J236" i="2"/>
  <c r="J237" i="2"/>
  <c r="R237" i="2" s="1"/>
  <c r="J238" i="2"/>
  <c r="J239" i="2"/>
  <c r="J240" i="2"/>
  <c r="R240" i="2" s="1"/>
  <c r="J241" i="2"/>
  <c r="J242" i="2"/>
  <c r="J243" i="2"/>
  <c r="R243" i="2" s="1"/>
  <c r="J244" i="2"/>
  <c r="R244" i="2" s="1"/>
  <c r="J245" i="2"/>
  <c r="R245" i="2" s="1"/>
  <c r="J246" i="2"/>
  <c r="R246" i="2" s="1"/>
  <c r="J247" i="2"/>
  <c r="J248" i="2"/>
  <c r="J249" i="2"/>
  <c r="R249" i="2" s="1"/>
  <c r="J250" i="2"/>
  <c r="J251" i="2"/>
  <c r="J252" i="2"/>
  <c r="R252" i="2" s="1"/>
  <c r="J253" i="2"/>
  <c r="J254" i="2"/>
  <c r="J255" i="2"/>
  <c r="R255" i="2" s="1"/>
  <c r="J256" i="2"/>
  <c r="R256" i="2" s="1"/>
  <c r="J257" i="2"/>
  <c r="R257" i="2" s="1"/>
  <c r="J258" i="2"/>
  <c r="R258" i="2" s="1"/>
  <c r="J259" i="2"/>
  <c r="J260" i="2"/>
  <c r="J261" i="2"/>
  <c r="R261" i="2" s="1"/>
  <c r="J262" i="2"/>
  <c r="J263" i="2"/>
  <c r="J264" i="2"/>
  <c r="R264" i="2" s="1"/>
  <c r="J265" i="2"/>
  <c r="J266" i="2"/>
  <c r="J267" i="2"/>
  <c r="R267" i="2" s="1"/>
  <c r="J268" i="2"/>
  <c r="R268" i="2" s="1"/>
  <c r="J269" i="2"/>
  <c r="R269" i="2" s="1"/>
  <c r="J270" i="2"/>
  <c r="R270" i="2" s="1"/>
  <c r="J271" i="2"/>
  <c r="J272" i="2"/>
  <c r="J274" i="2"/>
  <c r="R274" i="2" s="1"/>
  <c r="J275" i="2"/>
  <c r="J276" i="2"/>
  <c r="R276" i="2" s="1"/>
  <c r="J277" i="2"/>
  <c r="J278" i="2"/>
  <c r="J279" i="2"/>
  <c r="R279" i="2" s="1"/>
  <c r="J280" i="2"/>
  <c r="R280" i="2" s="1"/>
  <c r="J281" i="2"/>
  <c r="R281" i="2" s="1"/>
  <c r="J282" i="2"/>
  <c r="R282" i="2" s="1"/>
  <c r="J284" i="2"/>
  <c r="R284" i="2" s="1"/>
  <c r="J285" i="2"/>
  <c r="R285" i="2" s="1"/>
  <c r="J286" i="2"/>
  <c r="J288" i="2"/>
  <c r="R288" i="2" s="1"/>
  <c r="J289" i="2"/>
  <c r="J290" i="2"/>
  <c r="R290" i="2" s="1"/>
  <c r="J291" i="2"/>
  <c r="J292" i="2"/>
  <c r="R292" i="2" s="1"/>
  <c r="J293" i="2"/>
  <c r="R293" i="2" s="1"/>
  <c r="J294" i="2"/>
  <c r="R294" i="2" s="1"/>
  <c r="J296" i="2"/>
  <c r="J297" i="2"/>
  <c r="J298" i="2"/>
  <c r="J299" i="2"/>
  <c r="J300" i="2"/>
  <c r="J301" i="2"/>
  <c r="J302" i="2"/>
  <c r="R302" i="2" s="1"/>
  <c r="J303" i="2"/>
  <c r="R303" i="2" s="1"/>
  <c r="J304" i="2"/>
  <c r="J305" i="2"/>
  <c r="R305" i="2" s="1"/>
  <c r="J306" i="2"/>
  <c r="R306" i="2" s="1"/>
  <c r="J308" i="2"/>
  <c r="J309" i="2"/>
  <c r="J310" i="2"/>
  <c r="J311" i="2"/>
  <c r="J312" i="2"/>
  <c r="J313" i="2"/>
  <c r="J315" i="2"/>
  <c r="R315" i="2" s="1"/>
  <c r="J316" i="2"/>
  <c r="J317" i="2"/>
  <c r="J318" i="2"/>
  <c r="R318" i="2" s="1"/>
  <c r="J320" i="2"/>
  <c r="J321" i="2"/>
  <c r="J322" i="2"/>
  <c r="J323" i="2"/>
  <c r="J324" i="2"/>
  <c r="J325" i="2"/>
  <c r="R325" i="2" s="1"/>
  <c r="J326" i="2"/>
  <c r="R326" i="2" s="1"/>
  <c r="J327" i="2"/>
  <c r="R327" i="2" s="1"/>
  <c r="J328" i="2"/>
  <c r="R328" i="2" s="1"/>
  <c r="J329" i="2"/>
  <c r="J330" i="2"/>
  <c r="R330" i="2" s="1"/>
  <c r="J331" i="2"/>
  <c r="R331" i="2" s="1"/>
  <c r="J332" i="2"/>
  <c r="J333" i="2"/>
  <c r="J334" i="2"/>
  <c r="J335" i="2"/>
  <c r="J336" i="2"/>
  <c r="J337" i="2"/>
  <c r="R337" i="2" s="1"/>
  <c r="J338" i="2"/>
  <c r="R338" i="2" s="1"/>
  <c r="J339" i="2"/>
  <c r="R339" i="2" s="1"/>
  <c r="J341" i="2"/>
  <c r="J342" i="2"/>
  <c r="R342" i="2" s="1"/>
  <c r="J343" i="2"/>
  <c r="R343" i="2" s="1"/>
  <c r="J344" i="2"/>
  <c r="J345" i="2"/>
  <c r="J346" i="2"/>
  <c r="J347" i="2"/>
  <c r="J348" i="2"/>
  <c r="J349" i="2"/>
  <c r="J350" i="2"/>
  <c r="R350" i="2" s="1"/>
  <c r="J352" i="2"/>
  <c r="R352" i="2" s="1"/>
  <c r="J353" i="2"/>
  <c r="J354" i="2"/>
  <c r="R354" i="2" s="1"/>
  <c r="J355" i="2"/>
  <c r="R355" i="2" s="1"/>
  <c r="J357" i="2"/>
  <c r="J358" i="2"/>
  <c r="J359" i="2"/>
  <c r="J360" i="2"/>
  <c r="R360" i="2" s="1"/>
  <c r="J361" i="2"/>
  <c r="J362" i="2"/>
  <c r="R362" i="2" s="1"/>
  <c r="J363" i="2"/>
  <c r="R363" i="2" s="1"/>
  <c r="J364" i="2"/>
  <c r="R364" i="2" s="1"/>
  <c r="J366" i="2"/>
  <c r="J367" i="2"/>
  <c r="R367" i="2" s="1"/>
  <c r="J368" i="2"/>
  <c r="J369" i="2"/>
  <c r="R369" i="2" s="1"/>
  <c r="J370" i="2"/>
  <c r="J371" i="2"/>
  <c r="J372" i="2"/>
  <c r="R372" i="2" s="1"/>
  <c r="J373" i="2"/>
  <c r="J374" i="2"/>
  <c r="R374" i="2" s="1"/>
  <c r="J375" i="2"/>
  <c r="J377" i="2"/>
  <c r="R377" i="2" s="1"/>
  <c r="J378" i="2"/>
  <c r="R378" i="2" s="1"/>
  <c r="J379" i="2"/>
  <c r="J380" i="2"/>
  <c r="J381" i="2"/>
  <c r="R381" i="2" s="1"/>
  <c r="J382" i="2"/>
  <c r="J383" i="2"/>
  <c r="J384" i="2"/>
  <c r="R384" i="2" s="1"/>
  <c r="J385" i="2"/>
  <c r="J387" i="2"/>
  <c r="R387" i="2" s="1"/>
  <c r="J388" i="2"/>
  <c r="R388" i="2" s="1"/>
  <c r="J389" i="2"/>
  <c r="R389" i="2" s="1"/>
  <c r="J391" i="2"/>
  <c r="J392" i="2"/>
  <c r="R392" i="2" s="1"/>
  <c r="J394" i="2"/>
  <c r="J395" i="2"/>
  <c r="R395" i="2" s="1"/>
  <c r="J396" i="2"/>
  <c r="R396" i="2" s="1"/>
  <c r="J398" i="2"/>
  <c r="R398" i="2" s="1"/>
  <c r="J399" i="2"/>
  <c r="R399" i="2" s="1"/>
  <c r="J2" i="2"/>
  <c r="R2" i="2" s="1"/>
  <c r="R368" i="2" l="1"/>
  <c r="R313" i="2"/>
  <c r="R286" i="2"/>
  <c r="R272" i="2"/>
  <c r="R260" i="2"/>
  <c r="R248" i="2"/>
  <c r="R236" i="2"/>
  <c r="R224" i="2"/>
  <c r="R211" i="2"/>
  <c r="R199" i="2"/>
  <c r="R34" i="2"/>
  <c r="R22" i="2"/>
  <c r="R10" i="2"/>
  <c r="R393" i="2"/>
  <c r="R262" i="2"/>
  <c r="R250" i="2"/>
  <c r="R238" i="2"/>
  <c r="R226" i="2"/>
  <c r="R132" i="2"/>
  <c r="R358" i="2"/>
  <c r="R346" i="2"/>
  <c r="R334" i="2"/>
  <c r="R322" i="2"/>
  <c r="R310" i="2"/>
  <c r="R298" i="2"/>
  <c r="R380" i="2"/>
  <c r="R353" i="2"/>
  <c r="R300" i="2"/>
  <c r="R379" i="2"/>
  <c r="R366" i="2"/>
  <c r="R312" i="2"/>
  <c r="R271" i="2"/>
  <c r="R259" i="2"/>
  <c r="R247" i="2"/>
  <c r="R235" i="2"/>
  <c r="R210" i="2"/>
  <c r="R197" i="2"/>
  <c r="R33" i="2"/>
  <c r="R21" i="2"/>
  <c r="R391" i="2"/>
  <c r="R349" i="2"/>
  <c r="R336" i="2"/>
  <c r="R324" i="2"/>
  <c r="R297" i="2"/>
  <c r="R194" i="2"/>
  <c r="R181" i="2"/>
  <c r="R168" i="2"/>
  <c r="R156" i="2"/>
  <c r="R144" i="2"/>
  <c r="R3" i="2"/>
  <c r="R375" i="2"/>
  <c r="R348" i="2"/>
  <c r="R309" i="2"/>
  <c r="R296" i="2"/>
  <c r="R193" i="2"/>
  <c r="R180" i="2"/>
  <c r="R91" i="2"/>
  <c r="R30" i="2"/>
  <c r="R5" i="2"/>
  <c r="R361" i="2"/>
  <c r="R308" i="2"/>
  <c r="R218" i="2"/>
  <c r="R206" i="2"/>
  <c r="R192" i="2"/>
  <c r="R90" i="2"/>
  <c r="R78" i="2"/>
  <c r="R66" i="2"/>
  <c r="R54" i="2"/>
  <c r="R42" i="2"/>
  <c r="R29" i="2"/>
  <c r="R17" i="2"/>
  <c r="R4" i="2"/>
  <c r="R333" i="2"/>
  <c r="R254" i="2"/>
  <c r="R242" i="2"/>
  <c r="R230" i="2"/>
  <c r="R217" i="2"/>
  <c r="R205" i="2"/>
  <c r="R127" i="2"/>
  <c r="R115" i="2"/>
  <c r="R103" i="2"/>
  <c r="R77" i="2"/>
  <c r="R65" i="2"/>
  <c r="R53" i="2"/>
  <c r="R41" i="2"/>
  <c r="R390" i="2"/>
  <c r="R365" i="2"/>
  <c r="R373" i="2"/>
  <c r="R321" i="2"/>
  <c r="R266" i="2"/>
  <c r="R385" i="2"/>
  <c r="R345" i="2"/>
  <c r="R332" i="2"/>
  <c r="R320" i="2"/>
  <c r="R278" i="2"/>
  <c r="R265" i="2"/>
  <c r="R253" i="2"/>
  <c r="R241" i="2"/>
  <c r="R229" i="2"/>
  <c r="R204" i="2"/>
  <c r="R114" i="2"/>
  <c r="R102" i="2"/>
  <c r="R356" i="2"/>
  <c r="R344" i="2"/>
  <c r="R291" i="2"/>
  <c r="R175" i="2"/>
  <c r="R163" i="2"/>
  <c r="R151" i="2"/>
  <c r="R139" i="2"/>
  <c r="R187" i="2"/>
  <c r="R304" i="2"/>
  <c r="R277" i="2"/>
  <c r="R357" i="2"/>
  <c r="R317" i="2"/>
  <c r="R25" i="2"/>
  <c r="R13" i="2"/>
  <c r="R329" i="2"/>
  <c r="R316" i="2"/>
  <c r="R289" i="2"/>
  <c r="R341" i="2"/>
  <c r="R301" i="2"/>
  <c r="R35" i="2"/>
  <c r="R23" i="2"/>
  <c r="R11" i="2"/>
  <c r="R394" i="2"/>
  <c r="R263" i="2"/>
  <c r="R251" i="2"/>
  <c r="R239" i="2"/>
  <c r="R227" i="2"/>
  <c r="R214" i="2"/>
  <c r="R202" i="2"/>
  <c r="R190" i="2"/>
  <c r="R178" i="2"/>
  <c r="R166" i="2"/>
  <c r="R154" i="2"/>
  <c r="R142" i="2"/>
  <c r="R130" i="2"/>
  <c r="R382" i="2"/>
  <c r="R370" i="2"/>
  <c r="R383" i="2"/>
  <c r="R371" i="2"/>
  <c r="R359" i="2"/>
  <c r="R347" i="2"/>
  <c r="R335" i="2"/>
  <c r="R323" i="2"/>
  <c r="R311" i="2"/>
  <c r="R299" i="2"/>
  <c r="R287" i="2"/>
  <c r="R275" i="2"/>
  <c r="R118" i="2"/>
  <c r="R106" i="2"/>
  <c r="R94" i="2"/>
  <c r="R82" i="2"/>
  <c r="R179" i="2"/>
</calcChain>
</file>

<file path=xl/sharedStrings.xml><?xml version="1.0" encoding="utf-8"?>
<sst xmlns="http://schemas.openxmlformats.org/spreadsheetml/2006/main" count="7766" uniqueCount="1979">
  <si>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</si>
  <si>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</si>
  <si>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</si>
  <si>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</si>
  <si>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</si>
  <si>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</si>
  <si>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</si>
  <si>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</si>
  <si>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</si>
  <si>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</si>
  <si>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</si>
  <si>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</si>
  <si>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</si>
  <si>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</si>
  <si>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</si>
  <si>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</si>
  <si>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</si>
  <si>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Q13</t>
  </si>
  <si>
    <t>Q12</t>
  </si>
  <si>
    <t>Q1_11</t>
  </si>
  <si>
    <t>Q10</t>
  </si>
  <si>
    <t>Q2_1</t>
  </si>
  <si>
    <t>Q14</t>
  </si>
  <si>
    <t>Q17</t>
  </si>
  <si>
    <t>Q18</t>
  </si>
  <si>
    <t>Q19</t>
  </si>
  <si>
    <t>Q20</t>
  </si>
  <si>
    <t>Q21</t>
  </si>
  <si>
    <t>Q22</t>
  </si>
  <si>
    <t>Q23</t>
  </si>
  <si>
    <t>Q24</t>
  </si>
  <si>
    <t>PROLIFIC_PID</t>
  </si>
  <si>
    <t>FL_6_DO</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</si>
  <si>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</si>
  <si>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</si>
  <si>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</si>
  <si>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</si>
  <si>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</si>
  <si>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</si>
  <si>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</si>
  <si>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</si>
  <si>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</si>
  <si>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</si>
  <si>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</si>
  <si>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</si>
  <si>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</si>
  <si>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</si>
  <si>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your Prolific ID?
Please note that this response should auto-fill with the correct ID</t>
  </si>
  <si>
    <t>Please indicate whether you consent to participate in this study:</t>
  </si>
  <si>
    <t>On a scale from 1 (Not at all) to 100 (Very much), to what extent do you think the improvement in math proficiency for students who completed the Math in the Real World curriculum is worth the additional cost? - Response</t>
  </si>
  <si>
    <t>How large of a change in math proficiency would you consider to be a meaningful improvement?</t>
  </si>
  <si>
    <t>On a scale from 1 (Do Not Recommend) to 100 (Strongly Recommend), to what extent would you recommend that the Lakeview School District use the Math in the Real World curriculum? - Response</t>
  </si>
  <si>
    <t>Please explain your response: why would/wouldn't you recommend that the Lakeview School District use the Math in the Real World curriculum?</t>
  </si>
  <si>
    <t>1) Imagine that we roll a fair, six-sided die 1000 times. Out of 1000 rolls, how many times do you think the die would come up as an even number (2, 4 or 6)?</t>
  </si>
  <si>
    <t>2) In the BIG BUCKS LOTTERY, the chances of winning a $10.00 prize are 1%. What is your best guess about how many people would win a $10.00 prize if 1000 people each buy a single ticket from BIG BUCKS?</t>
  </si>
  <si>
    <t>3) In the ACME PUBLISHING SWEEPSTAKES, the chance of winning a car is 1 in 1,000. What percent of tickets to ACME PUBLISHING SWEEPSTAKES win a car?</t>
  </si>
  <si>
    <t>4) If the chance of getting a disease is 20 out of 100, this would be the same as having a ____% chance of getting the disease.</t>
  </si>
  <si>
    <t>5) If the chance of getting a disease is 10%, how many people would be expected to get the disease out of 1000?</t>
  </si>
  <si>
    <t>6) Suppose you have a close friend who has a lump in her breast and must have a mammogram. Of 100 women like her, 10 of them actually have a malignant tumor and 90 of them do not. Of the 10 women who actually have a tumor, the mammogram indicates correctly that 9 of them have a tumor and indicates incorrectly that 1 of them does not. Of the 90 women who do not have a tumor, the mammogram indicates correctly that 81 of them do not have a tumor and indicates incorrectly that 9 of them do have a tumor. The table below summarizes all of this information. Imagine that your friend tests positive (as if she had a tumor), what is the likelihood that she actually has a tumor?</t>
  </si>
  <si>
    <t>7) A bat and a ball cost $1.10 in total. The bat costs $1.00 more than the ball. How much does the ball cost?</t>
  </si>
  <si>
    <t>8) If it takes five machines 5 minutes to make five widgets, how long would it take 100 machines to make 100 widgets?</t>
  </si>
  <si>
    <t>FL_6 - Block Randomizer - Display Order</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</si>
  <si>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</si>
  <si>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</si>
  <si>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</si>
  <si>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</si>
  <si>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</si>
  <si>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</si>
  <si>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</si>
  <si>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</si>
  <si>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</si>
  <si>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</si>
  <si>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</si>
  <si>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</si>
  <si>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</si>
  <si>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</si>
  <si>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</si>
  <si>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</si>
  <si>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</si>
  <si>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{"ImportId":"QID17_TEXT"}</t>
  </si>
  <si>
    <t>{"ImportId":"QID16"}</t>
  </si>
  <si>
    <t>{"ImportId":"QID4_11"}</t>
  </si>
  <si>
    <t>{"ImportId":"QID14_TEXT"}</t>
  </si>
  <si>
    <t>{"ImportId":"QID5_1"}</t>
  </si>
  <si>
    <t>{"ImportId":"QID18_TEXT"}</t>
  </si>
  <si>
    <t>{"ImportId":"QID21_TEXT"}</t>
  </si>
  <si>
    <t>{"ImportId":"QID22_TEXT"}</t>
  </si>
  <si>
    <t>{"ImportId":"QID23_TEXT"}</t>
  </si>
  <si>
    <t>{"ImportId":"QID24_TEXT"}</t>
  </si>
  <si>
    <t>{"ImportId":"QID25_TEXT"}</t>
  </si>
  <si>
    <t>{"ImportId":"QID26_TEXT"}</t>
  </si>
  <si>
    <t>{"ImportId":"QID27_TEXT"}</t>
  </si>
  <si>
    <t>{"ImportId":"QID28_TEXT"}</t>
  </si>
  <si>
    <t>{"ImportId":"PROLIFIC_PID"}</t>
  </si>
  <si>
    <t>{"ImportId":"FL_6_DO"}</t>
  </si>
  <si>
    <t>EN</t>
  </si>
  <si>
    <t>Yes I consent</t>
  </si>
  <si>
    <t>NoEffectSize</t>
  </si>
  <si>
    <t>69.120.137.142</t>
  </si>
  <si>
    <t>R_2YOYSLNooD9cvDX</t>
  </si>
  <si>
    <t>anonymous</t>
  </si>
  <si>
    <t>60fcc58f020a0d9d03ce0e2e</t>
  </si>
  <si>
    <t>The proficiency rate increased a very significant amount</t>
  </si>
  <si>
    <t>10% chance</t>
  </si>
  <si>
    <t>5 minutes</t>
  </si>
  <si>
    <t>LargeEffectNoPrompt</t>
  </si>
  <si>
    <t>97.115.148.179</t>
  </si>
  <si>
    <t>R_3JIZ812B0y0IbmO</t>
  </si>
  <si>
    <t>6055710aefbed49cbc6c872b</t>
  </si>
  <si>
    <t>Although there was a 2% increase after switching curriculum, it‚Äôs not worth the cost of replacing all of the materials.</t>
  </si>
  <si>
    <t>10 winners</t>
  </si>
  <si>
    <t>SmallEffectNoPrompt</t>
  </si>
  <si>
    <t>204.111.161.39</t>
  </si>
  <si>
    <t>R_307Pk1xHnCJVCEB</t>
  </si>
  <si>
    <t>5a7f42215292b8000122c84a</t>
  </si>
  <si>
    <t>The 'Math in the Real World' curriculum appeared to provide a statistically insignificant increase to the 4th graders' math proficiency (a difference of only two percent compared to the established curriculum).
Given those results, and the fact that using the curriculum would have a heavy cost increase, I would not recommend using the 'Math in the Real World' curriculum.</t>
  </si>
  <si>
    <t>50.216.113.186</t>
  </si>
  <si>
    <t>R_8kyRIAhX30BtbUt</t>
  </si>
  <si>
    <t>611ace65a6210e35e2aa05eb</t>
  </si>
  <si>
    <t xml:space="preserve">I would not recommend this curriculum because the improvement percentage only increased by roughy 2 percent and I don‚Äôt believe that is sufficient enough improvement to implement this program </t>
  </si>
  <si>
    <t>600 times</t>
  </si>
  <si>
    <t xml:space="preserve">1 percent </t>
  </si>
  <si>
    <t>20% chance</t>
  </si>
  <si>
    <t xml:space="preserve">.10 cents </t>
  </si>
  <si>
    <t>20 mins</t>
  </si>
  <si>
    <t>SmallEffectWithPrompt</t>
  </si>
  <si>
    <t>172.56.72.0</t>
  </si>
  <si>
    <t>R_sOsg8EtptHsZVGV</t>
  </si>
  <si>
    <t>637fc492d6044246529b9c75</t>
  </si>
  <si>
    <t>While the percentage of improvement wasn't mentioned, it was improvement for the students and therefore society in general. Every effort should be made for all students to be at the very least, competent. It seems fairly obvious that the curriculum they had in place was not working.</t>
  </si>
  <si>
    <t>71.193.150.52</t>
  </si>
  <si>
    <t>R_1hLHBx5PrcqnNCb</t>
  </si>
  <si>
    <t>5e45abfd0fe9b40950b469b5</t>
  </si>
  <si>
    <t xml:space="preserve">I‚Äôd want the district to look into the new curriculum. I‚Äôd did have a slight advantage, but I would want more information before making a decision 
, like the cost of the new system </t>
  </si>
  <si>
    <t xml:space="preserve">500
</t>
  </si>
  <si>
    <t xml:space="preserve"> Less than 1%</t>
  </si>
  <si>
    <t xml:space="preserve">5 minutes </t>
  </si>
  <si>
    <t>174.210.0.209</t>
  </si>
  <si>
    <t>R_2dzRW8aCxO66jad</t>
  </si>
  <si>
    <t>5bf190bbfb616800014fd571</t>
  </si>
  <si>
    <t>Because 10%more students will be proficient in mathematics. Education is extremely important, we shouldn't hold back.</t>
  </si>
  <si>
    <t>173.47.27.114</t>
  </si>
  <si>
    <t>R_NVIjlJ94ekWXzSp</t>
  </si>
  <si>
    <t>610713aeac4904cc5d90e76d</t>
  </si>
  <si>
    <t xml:space="preserve">Test results improved during trial </t>
  </si>
  <si>
    <t>69.133.140.207</t>
  </si>
  <si>
    <t>R_OEi6DJcAQuKox2x</t>
  </si>
  <si>
    <t>5f8c93a068e5fe40ad43a2a9</t>
  </si>
  <si>
    <t>Our world is constantly changing and so are our kids and they way they learn. Everyone learn differently, so we need to adapt to the way learn. So in turn we need to adopt math in the real world today</t>
  </si>
  <si>
    <t>100 min</t>
  </si>
  <si>
    <t>67.216.128.208</t>
  </si>
  <si>
    <t>R_22tcg9grwdEp2C0</t>
  </si>
  <si>
    <t>5cb0affbd4a95c0015492ad9</t>
  </si>
  <si>
    <t xml:space="preserve">A 2 percent increase over a year is not worth it for the significant investment required. It is still only barely over a quarter of students rated as proficient. </t>
  </si>
  <si>
    <t>90% chance</t>
  </si>
  <si>
    <t>71.192.63.192</t>
  </si>
  <si>
    <t>R_8CkXKVldeKREf85</t>
  </si>
  <si>
    <t>633c30f159b7fd599e41aeb2</t>
  </si>
  <si>
    <t>It is clear that students become more proficient in mathematics when using the Math in the Real World curriculum, therefore it is the one that should be used, despite the greater financial cost to the district.</t>
  </si>
  <si>
    <t>5 cents</t>
  </si>
  <si>
    <t>5 minutes.</t>
  </si>
  <si>
    <t>71.167.18.104</t>
  </si>
  <si>
    <t>R_21GL3cmsd0LkrcG</t>
  </si>
  <si>
    <t>5ce4c8341bf7c9000150592e</t>
  </si>
  <si>
    <t>I think there should be a larger change in getting students to the proficient level.</t>
  </si>
  <si>
    <t>not sure</t>
  </si>
  <si>
    <t>73.6.146.110</t>
  </si>
  <si>
    <t>R_BPzD0t831G8SJLr</t>
  </si>
  <si>
    <t>5ebca8441a2b811012a6d659</t>
  </si>
  <si>
    <t>At least 6% or more</t>
  </si>
  <si>
    <t>The cost seems to exceed the reward, as only 2% of students did better overall.</t>
  </si>
  <si>
    <t>174.207.100.95</t>
  </si>
  <si>
    <t>R_2yl2obbbmSW1p9E</t>
  </si>
  <si>
    <t>5c47f0c82381060001bf7500</t>
  </si>
  <si>
    <t xml:space="preserve">Children and their futures are at stake, we should be willing to change curriculum if it means a better education for our children. </t>
  </si>
  <si>
    <t>50% chance</t>
  </si>
  <si>
    <t>24.102.162.156</t>
  </si>
  <si>
    <t>R_24deTeOxSUv1XZh</t>
  </si>
  <si>
    <t>5d1c31bab6a81c001af88564</t>
  </si>
  <si>
    <t>I think it would benefit the students more</t>
  </si>
  <si>
    <t>172.58.123.16</t>
  </si>
  <si>
    <t>R_3HCGZzbfqNLmeYl</t>
  </si>
  <si>
    <t>6143c54419a0e89c28649418</t>
  </si>
  <si>
    <t xml:space="preserve">I wouldn‚Äôt totally recommend changing the math curriculum if it costs a lot money for only increasing the proficiency level 2%. </t>
  </si>
  <si>
    <t>24.183.194.226</t>
  </si>
  <si>
    <t>R_3p43A25GcNu3qP7</t>
  </si>
  <si>
    <t>63928a247ca3810498cb5c46</t>
  </si>
  <si>
    <t xml:space="preserve">The scores are somewhat better with the Math in the Real World curriculum. Even if the scores are only 35% with this curriculum, it's an improvement over 25% with the previous offering. </t>
  </si>
  <si>
    <t>5 MINUTES</t>
  </si>
  <si>
    <t>73.80.112.3</t>
  </si>
  <si>
    <t>R_3rGpC9P14n7UlIc</t>
  </si>
  <si>
    <t>5bf60af65dd66900011aca05</t>
  </si>
  <si>
    <t xml:space="preserve">Some reason the Real-World curriculum would cost more money and didn't seem like it would make much difference. </t>
  </si>
  <si>
    <t>99.2.1.7</t>
  </si>
  <si>
    <t>R_b7vS5ebDxybRQBP</t>
  </si>
  <si>
    <t>60f20b2fe513c31967922ad5</t>
  </si>
  <si>
    <t xml:space="preserve">There seems to be more positive headway made with the new curriculum. </t>
  </si>
  <si>
    <t>76.247.67.197</t>
  </si>
  <si>
    <t>R_1lzt6q0LErHPEEP</t>
  </si>
  <si>
    <t>5e8537fe23609011fe987ca7</t>
  </si>
  <si>
    <t>It would mean significantly more cost for hardly any benefit</t>
  </si>
  <si>
    <t>162.232.176.154</t>
  </si>
  <si>
    <t>R_1LjKPkFs8LB7zon</t>
  </si>
  <si>
    <t>603e370c5ed1c2db2c3bde24</t>
  </si>
  <si>
    <t xml:space="preserve">I think the positive increase would continue to go higher over time, new norms would be established. </t>
  </si>
  <si>
    <t>47.199.91.38</t>
  </si>
  <si>
    <t>R_D1q4hbzTNaHqZd7</t>
  </si>
  <si>
    <t>5baac103748f990001a1101e</t>
  </si>
  <si>
    <t>it seems that it works since the students grades improved</t>
  </si>
  <si>
    <t>162.221.246.15</t>
  </si>
  <si>
    <t>R_3kEXNICZXup3i6N</t>
  </si>
  <si>
    <t>559c192bfdf99b218a61f57f</t>
  </si>
  <si>
    <t>Cost should be a factor but it's demonstrated that there is an increase in understanding with the new materials.</t>
  </si>
  <si>
    <t>207.182.89.44</t>
  </si>
  <si>
    <t>R_1g1iQjE3Syd77D7</t>
  </si>
  <si>
    <t>629e5d789a6c92c8fbf8df95</t>
  </si>
  <si>
    <t>This is because researches have shown drastic improvement in math's of  the school children when the curriculum was changed to math real world this have improved from 25% to 35% showing massive improvement.</t>
  </si>
  <si>
    <t>The likelihood is 10%</t>
  </si>
  <si>
    <t>73.154.135.253</t>
  </si>
  <si>
    <t>R_2ygue3WQIqMf8bK</t>
  </si>
  <si>
    <t>5e154952c76aa6b40619b1d3</t>
  </si>
  <si>
    <t>There seems to be an increase in proficiency using the new curriculum, however the article did not say by how much nor how the study was designed. I would look into other factors as well</t>
  </si>
  <si>
    <t>174.59.9.129</t>
  </si>
  <si>
    <t>R_cGAKQJP3sBZyW89</t>
  </si>
  <si>
    <t>6266add746005ee1ac2e801b</t>
  </si>
  <si>
    <t>I wouldn't recommend spending that much on a curriculum that changed the percentage by 2% increase. In my opinion that is not worth it. I would suggest looking for a different curriculum or maybe it is the teachers.</t>
  </si>
  <si>
    <t>174.206.239.124</t>
  </si>
  <si>
    <t>R_24o72dV09ZM8xbB</t>
  </si>
  <si>
    <t>622a193e32f45a5c28d4875f</t>
  </si>
  <si>
    <t xml:space="preserve">I don't think it made a big difference in skills.  Certainly not worth the investment. </t>
  </si>
  <si>
    <t xml:space="preserve">10 percent </t>
  </si>
  <si>
    <t>. 05</t>
  </si>
  <si>
    <t xml:space="preserve">500 minutes </t>
  </si>
  <si>
    <t>70.241.116.94</t>
  </si>
  <si>
    <t>R_3dN6uqaufh25Y0r</t>
  </si>
  <si>
    <t>5b0b8252e9270900013ba88f</t>
  </si>
  <si>
    <t>The Math in the Real World curriculum did increase the proficiency percentage. However, the small percentage increase is not much if it costs so much more.</t>
  </si>
  <si>
    <t>9 percent</t>
  </si>
  <si>
    <t>73.251.148.185</t>
  </si>
  <si>
    <t>R_26hAvLcyauBvokF</t>
  </si>
  <si>
    <t>632096b5574155e8727c50cc</t>
  </si>
  <si>
    <t xml:space="preserve">I somewhat recommend using the new curriculum as it slightly improved proficiency levels. However, I am not especially confident as the gains were small and the cost of implementation would be large. </t>
  </si>
  <si>
    <t>45.50.91.77</t>
  </si>
  <si>
    <t>R_3pa3FCJUzfYN8uD</t>
  </si>
  <si>
    <t>5e56a66121583601d3c3526a</t>
  </si>
  <si>
    <t>The Math in the Real World curriculum did improve proficiency, however the percent of improvement was quite low. I don't think a few percent of improvement justifies high cost. I think another, new, curriculum should be explored.</t>
  </si>
  <si>
    <t xml:space="preserve">.01 percent </t>
  </si>
  <si>
    <t xml:space="preserve">9/(9+1)
9/10 = 
90 percent </t>
  </si>
  <si>
    <t>174.197.148.242</t>
  </si>
  <si>
    <t>R_2ceE6hZujh8yhN5</t>
  </si>
  <si>
    <t>5d40616adfc847001a604314</t>
  </si>
  <si>
    <t>The curriculum needs a change. The results are nowhere near up to par. Sounds like a drastic change might appeal to both teachers and students</t>
  </si>
  <si>
    <t xml:space="preserve">100 minutes </t>
  </si>
  <si>
    <t>72.88.146.151</t>
  </si>
  <si>
    <t>R_3j08YdONn8L4jqI</t>
  </si>
  <si>
    <t>5e816bdc285d3884d00d6dcb</t>
  </si>
  <si>
    <t xml:space="preserve">It helped improve the percent of math proficient students </t>
  </si>
  <si>
    <t>68.181.16.35</t>
  </si>
  <si>
    <t>R_1LUUR9uREqrANaT</t>
  </si>
  <si>
    <t>6151e99643efef855fe4e0e2</t>
  </si>
  <si>
    <t xml:space="preserve">Given the small improvement in math scores, which we can't rule out is due to statistical noise, and the large cost of switching curriculums, it doesn't seem worth changing. </t>
  </si>
  <si>
    <t>73.32.101.26</t>
  </si>
  <si>
    <t>R_2zovuzHQexzvfWt</t>
  </si>
  <si>
    <t>613aad30bcfed65155a026ec</t>
  </si>
  <si>
    <t xml:space="preserve">because test scores went up with the new curriculum </t>
  </si>
  <si>
    <t>unlikely</t>
  </si>
  <si>
    <t>100 minutes</t>
  </si>
  <si>
    <t>104.136.58.238</t>
  </si>
  <si>
    <t>R_1juZN7CWP6HD6kX</t>
  </si>
  <si>
    <t>615648a006c6401c9a54c8da</t>
  </si>
  <si>
    <t>i would because the students under that curriculum got better scores.</t>
  </si>
  <si>
    <t>98.45.22.2</t>
  </si>
  <si>
    <t>R_WuMTAhwBgC4KPpn</t>
  </si>
  <si>
    <t>62cc8d0d534dd81727c72228</t>
  </si>
  <si>
    <t>5% or greater</t>
  </si>
  <si>
    <t>The cost benefit is way too low</t>
  </si>
  <si>
    <t>68.93.135.50</t>
  </si>
  <si>
    <t>R_bqgtxc3j7YFrhnP</t>
  </si>
  <si>
    <t>578bcb2c09fb91000133750e</t>
  </si>
  <si>
    <t>Any improvement is good, but I don't find a 10% improvement in students meeting proficiency standards to be enough to justify the expense of changing the entire district to the new curriculum. If it were a larger change, I'd be more apt to strongly support it.</t>
  </si>
  <si>
    <t>107.195.54.63</t>
  </si>
  <si>
    <t>R_yWUEHGP8ciShtXH</t>
  </si>
  <si>
    <t>5f7e6f9c1212c514f9437e3a</t>
  </si>
  <si>
    <t>I would use the Math in the Real World curriculum because it's shown positive effects.</t>
  </si>
  <si>
    <t>96.32.37.157</t>
  </si>
  <si>
    <t>R_06bBAGGCSsEsB5n</t>
  </si>
  <si>
    <t>5ea8154dcfd4dd20473ed88e</t>
  </si>
  <si>
    <t xml:space="preserve">I think that only a 25 to 27% change (a change of only 2%) is not statistically significant enough to warrant spending the money on the program. I would instead encourage the school districts to find a different curriculum and test out that one and see how that one does. </t>
  </si>
  <si>
    <t>89% chance</t>
  </si>
  <si>
    <t>136.36.164.2</t>
  </si>
  <si>
    <t>R_33d9mF195Ob1L9S</t>
  </si>
  <si>
    <t>5fbb445fed317dc4907cfad4</t>
  </si>
  <si>
    <t>It improved the district's proficiency level by a considerable amount, even though the program is somewhat expensive</t>
  </si>
  <si>
    <t>107.77.224.201</t>
  </si>
  <si>
    <t>R_3rVaE3ocSO6U7mh</t>
  </si>
  <si>
    <t>5eda86226763346ac679ca5f</t>
  </si>
  <si>
    <t>I wouldn't because the article was too vague and their wasn't enough details to make a decision. Like what percentage increase does the curriculum provide and how much does it cost</t>
  </si>
  <si>
    <t>10 cents</t>
  </si>
  <si>
    <t>35.148.93.129</t>
  </si>
  <si>
    <t>R_31FsR6IPKOpP929</t>
  </si>
  <si>
    <t>60fef0a1f3125fe0369ae990</t>
  </si>
  <si>
    <t xml:space="preserve">I would somewhat recommend the Math in the Real World Curriculum as it had a slight increase in test scores. However, the increase was not very large (only 2%), so if the cost is high, it may not be worth it. </t>
  </si>
  <si>
    <t>141.151.92.63</t>
  </si>
  <si>
    <t>R_296N5s9T70CdmKV</t>
  </si>
  <si>
    <t>5d58b018a0c0940001a47057</t>
  </si>
  <si>
    <t>Although the cost would be initially higher, it would be well worth it to implement the new curriculum. Kids that are proficient at math, more than any other subject, have a better chance at success in many areas of life and it would instill a sense of confidence that would benefit them too.</t>
  </si>
  <si>
    <t>71.200.60.254</t>
  </si>
  <si>
    <t>R_1LGw31hxJDERaCI</t>
  </si>
  <si>
    <t>5623f187ed6e5a0011c81083</t>
  </si>
  <si>
    <t>The increase in total students that completed the math test increased from 25% to 27% with the new curriculum.  This is a total increase of only 2% and is likely not related to the change in the ciurriculum.  Also given that the number of students was over 500, this increase amounts to about 10 students that are now at "proficient" level the impact is very low.  Overall, the cost of the program makes the change less valuable than it would be if the program cost as much or less than the current curriculum.  I would not recommend to change.</t>
  </si>
  <si>
    <t>152.15.113.7</t>
  </si>
  <si>
    <t>R_23esP4wXh6hb96O</t>
  </si>
  <si>
    <t>636147ff2f921de691b08404</t>
  </si>
  <si>
    <t>I would recommend that switching to the new curriculum is a step in the right direction. 25% to 35% proficiency is a significant improvement for a single year, so I think it is well worth the cost.</t>
  </si>
  <si>
    <t>172.58.62.213</t>
  </si>
  <si>
    <t>R_1eVhWV7Kl3hX9wi</t>
  </si>
  <si>
    <t>5eacd70006f95f33990e3df9</t>
  </si>
  <si>
    <t>I don‚Äôt think it has any thing to do with the program being used.  There was only a 2% improvement in the new system.  I think they need to look within.  It may be the people teaching the materials or something else entirely going on in the schools.</t>
  </si>
  <si>
    <t>50.228.203.194</t>
  </si>
  <si>
    <t>R_2S1eTthZ8zDmNCt</t>
  </si>
  <si>
    <t>5df2be706e8aab1d1eb46feb</t>
  </si>
  <si>
    <t>Doesn‚Äôt seem like it‚Äôs that much of a gain for a significant increase in cosf</t>
  </si>
  <si>
    <t>98.49.213.177</t>
  </si>
  <si>
    <t>R_3dGqlSw4sQJMi0U</t>
  </si>
  <si>
    <t>62dea723c6db0370fd6c8229</t>
  </si>
  <si>
    <t xml:space="preserve">This program increases the scores of children. </t>
  </si>
  <si>
    <t>74.211.33.182</t>
  </si>
  <si>
    <t>R_1OCUMqbwp9vjRnv</t>
  </si>
  <si>
    <t>5842eb2904e7550001a06b14</t>
  </si>
  <si>
    <t>The curriculum that is being used is not working, so it is worth it to try something new to help these students. It showed to help the group that used it.</t>
  </si>
  <si>
    <t>5 min</t>
  </si>
  <si>
    <t>142.129.78.24</t>
  </si>
  <si>
    <t>R_3hhK9eueCCvXWvT</t>
  </si>
  <si>
    <t>5f38e87099a44d40b79e5009</t>
  </si>
  <si>
    <t>Overall, while the slight improvement is certainly nice, it's not worth the cost of the new program for 2 percentage points increase.</t>
  </si>
  <si>
    <t>24.196.99.174</t>
  </si>
  <si>
    <t>R_1M5Mm1G2URsPyX7</t>
  </si>
  <si>
    <t>594a955b09c434000142a8fb</t>
  </si>
  <si>
    <t>The 2% increase in achievement is not significant enough to make the curriculum change worth the cost. Better measures should be taken to increase achievement across classes, such as increased nutrition support, mentoring/tutoring, etc.</t>
  </si>
  <si>
    <t>50.113.44.53</t>
  </si>
  <si>
    <t>R_1rdKFvaZ4A0F3qD</t>
  </si>
  <si>
    <t>58c3a8c1b101a70001293790</t>
  </si>
  <si>
    <t xml:space="preserve">10% increase is very good &amp; should speak for itself. The only ambiguity is where this money will come from as it stated that it will be significantly higher. If we're not taking this into account, I highly recommend implementing the new program </t>
  </si>
  <si>
    <t>166.182.86.145</t>
  </si>
  <si>
    <t>R_4Tp9oHCdXiFHiBb</t>
  </si>
  <si>
    <t>60b96835d5cbb2261c7fd22c</t>
  </si>
  <si>
    <t>Overall there was only a 2% improvement using this curriculum. I don't think that is worth the increased cost.</t>
  </si>
  <si>
    <t>172.56.81.70</t>
  </si>
  <si>
    <t>R_1I5W2Mc0mFmWkFi</t>
  </si>
  <si>
    <t>5e3dbf3d216cf7000cfa0d29</t>
  </si>
  <si>
    <t>Neither math curriculum is effective, 24 or 27 percent is definitely way to little of proficiency. Find something else that REALLY WORKS, fir heaven's sake!</t>
  </si>
  <si>
    <t>GAH!!!</t>
  </si>
  <si>
    <t>72.182.96.69</t>
  </si>
  <si>
    <t>R_1gUSPKzFyikiX7F</t>
  </si>
  <si>
    <t>60bd191d5fd21d71efe4928a</t>
  </si>
  <si>
    <t>I think nearly doubling the number of kids achieving a proficient score is worth the effort and money. However, I don't know how tight their funds are and what else they would spend it on.</t>
  </si>
  <si>
    <t>172.2.167.231</t>
  </si>
  <si>
    <t>R_3p0fE8L2e3Kfs2T</t>
  </si>
  <si>
    <t>631cd2d174d35f3489e933c4</t>
  </si>
  <si>
    <t>I would strongly recommend that Lakeview school district use the Math in the Real World curriculum as the data shows that it increases student proficiency scores by 10%. Compared to the other curriculum that held steady, it is obvious that the new curriculum is superior and should be implemented.</t>
  </si>
  <si>
    <t>216.186.134.27</t>
  </si>
  <si>
    <t>R_AtA0h7JjGhFXLpv</t>
  </si>
  <si>
    <t>5915b42ffa284f00019a6990</t>
  </si>
  <si>
    <t xml:space="preserve">Better education is worth the investment. </t>
  </si>
  <si>
    <t>148.59.175.192</t>
  </si>
  <si>
    <t>R_3m2KtVjdwDF6nY9</t>
  </si>
  <si>
    <t>5be8de2ed3560900015c743a</t>
  </si>
  <si>
    <t>There was a significant increase in math test scores among the cohort that used "Math in the Real World." A 10% difference may not seem like much, but for young children, any effort expended to keep them at grade level in math is, in my opinion, a very good investment. I didn't give it "100" on the scale above because there may be other factors at play here--teacher retention, overall individual school funding, population of at-risk students among schools, etc.</t>
  </si>
  <si>
    <t>107.77.230.122</t>
  </si>
  <si>
    <t>R_6ioCeEbeeXB5xId</t>
  </si>
  <si>
    <t>5d4b1b0d323d840017900e10</t>
  </si>
  <si>
    <t>It doesn‚Äôt seem like a significant change to recommend it highly. It seems like it may be a little bit better, so if it is a choice that does not have financial considerations, it would be better to use the Math in the Real World</t>
  </si>
  <si>
    <t>96.94.165.221</t>
  </si>
  <si>
    <t>R_CdI8jc7N705LSiR</t>
  </si>
  <si>
    <t>5c74e714fc0a2500168face3</t>
  </si>
  <si>
    <t xml:space="preserve">The current curriculum is clearly not doing a good enough job at teaching these kids to be proficient in mathematics. We can't keep teaching the same thing and expect different outcomes. It should be worth the cost to us to properly educate our children. Math in the Real World has proven to have better results than the old curriculum. I would definitely recommend schools start teaching it. </t>
  </si>
  <si>
    <t>74.46.226.33</t>
  </si>
  <si>
    <t>R_2953jtbDwkItLFV</t>
  </si>
  <si>
    <t>5f6f44e9451a3b0836b5d32c</t>
  </si>
  <si>
    <t xml:space="preserve">It seems like this curriculum is better than what they are currently using. Without knowing how much the actual increase was or how much more it will actually cost to implement it makes it harder to tell if they should certainly change it, but if it gets better results than what is currently used, I do not see why they would want to keep the less effective curriculum. </t>
  </si>
  <si>
    <t>1 in 9</t>
  </si>
  <si>
    <t>47.132.212.145</t>
  </si>
  <si>
    <t>R_1ml95ARYxdhQG4R</t>
  </si>
  <si>
    <t>5bd0607192f92c0001f84021</t>
  </si>
  <si>
    <t>There wasnt a significant jump in math proficiency with the new curriculum.  So I cant justify the extra cost.</t>
  </si>
  <si>
    <t>9/18 or 1/2</t>
  </si>
  <si>
    <t>68.225.229.7</t>
  </si>
  <si>
    <t>R_2dyho9GwVwrMMUB</t>
  </si>
  <si>
    <t>5e1a7114a90da52e206de7ea</t>
  </si>
  <si>
    <t xml:space="preserve">It's generally been found that education doesn't do much to increase student intelligence. With maybe some caveats like one on one teaching. The cost to the taxpayers by implementing the new curriculum for what is likely to be little to no gain isn't worth it. Spending the money elsewhere would be more advantageous. </t>
  </si>
  <si>
    <t>75.177.250.246</t>
  </si>
  <si>
    <t>R_rlsSwcK1fE4jrln</t>
  </si>
  <si>
    <t>5f9b701704aa55229049cee0</t>
  </si>
  <si>
    <t>It was only a 2% increase from 25 to 27 and that is a very small increase but it's going to cost so much more financially.</t>
  </si>
  <si>
    <t>104.53.166.216</t>
  </si>
  <si>
    <t>R_3Ey9haqhKlEJdsL</t>
  </si>
  <si>
    <t>5622e4dced6e5a0005c80078</t>
  </si>
  <si>
    <t>I know that there could be other factors that increased the proficiency, I think that it's worth it to switch to what seems to be more effective. Cost shouldn't be a factor, in an ideal world.</t>
  </si>
  <si>
    <t>73.188.63.100</t>
  </si>
  <si>
    <t>R_1HemHMqX1C8HBId</t>
  </si>
  <si>
    <t>627287ba7deebb96b379daa8</t>
  </si>
  <si>
    <t xml:space="preserve">At least one third </t>
  </si>
  <si>
    <t xml:space="preserve">The results didn't make the amount of difference to warrent the charges to change curriculum but they should try improving the methods that show better results before making a extreme decision </t>
  </si>
  <si>
    <t>173.53.116.58</t>
  </si>
  <si>
    <t>R_RRDvcL0iQb7Ngjv</t>
  </si>
  <si>
    <t>5e2f15bb8028224dd1dd90c9</t>
  </si>
  <si>
    <t>I think it would be good for the kids to learn a real world approach so they can easily see what is is they are doing on a daily basis.</t>
  </si>
  <si>
    <t>47.41.117.39</t>
  </si>
  <si>
    <t>R_3dPV0n079yD7ZhP</t>
  </si>
  <si>
    <t>5a78dbb9ae9a0b0001a97212</t>
  </si>
  <si>
    <t>I'm not convinced that the 2% bump is necessarily caused by the curriculum change. Also, the new curriculum would be more expensive but I don't know by how much. I would rather continue to explore other options at this time.</t>
  </si>
  <si>
    <t>74.108.123.72</t>
  </si>
  <si>
    <t>R_2A13KWeGnd0g1TN</t>
  </si>
  <si>
    <t>63d2c192777fb7d26c001146</t>
  </si>
  <si>
    <t>I would recommend that the Lakeview School District us Math in the Real World Curriculum, due to the increase in the match test scores versus not using math in the Real World curriculum. The Real Worl Curriculum test result shows the student's test scores improved from 25% to 35%, which is a positive result, and shows the students are able to grasp the concepts easier.</t>
  </si>
  <si>
    <t>10 times</t>
  </si>
  <si>
    <t>1hour</t>
  </si>
  <si>
    <t>142.197.239.123</t>
  </si>
  <si>
    <t>R_32PJlJzLxO2Xk5Q</t>
  </si>
  <si>
    <t>608c8a30f56774708f1481d1</t>
  </si>
  <si>
    <t>It doesn't seem like a vast improvement based on numbers alone, but it is still an improvement. If the change in the curriculum helps even just a few students, then it's worth it.</t>
  </si>
  <si>
    <t>75.135.190.159</t>
  </si>
  <si>
    <t>R_3hnfVPe2C9Ja12W</t>
  </si>
  <si>
    <t>6413cfb598399dc7fe1ae271</t>
  </si>
  <si>
    <t xml:space="preserve">The primary reason to use Math in the real world compare to the current curriculum was that the rate at which students became adequately proficient increase more so as the school year went on. </t>
  </si>
  <si>
    <t>0.10$</t>
  </si>
  <si>
    <t>4 minutes</t>
  </si>
  <si>
    <t>108.24.165.82</t>
  </si>
  <si>
    <t>R_eP5xJ5sQJvU1QR3</t>
  </si>
  <si>
    <t>54837312fdf99b2490ad57b6</t>
  </si>
  <si>
    <t>The increase in proficiency was very small relative to the cost of the new curriculum which was said to be significant. I don't think the increase was large enough to warrant the price. It could have just been due to chance factors and not due to the curriculum itself.</t>
  </si>
  <si>
    <t>45.36.170.1</t>
  </si>
  <si>
    <t>R_2OO9nPiUfuZCB9M</t>
  </si>
  <si>
    <t>5f500550ad48ba16ff920279</t>
  </si>
  <si>
    <t>The cost is not justified by the lack of improvement. We either need to find a different curriculum or perhaps there is an issue other than the curriculum.</t>
  </si>
  <si>
    <t>24.187.46.153</t>
  </si>
  <si>
    <t>R_3nTXoQXunZkdsFI</t>
  </si>
  <si>
    <t>601636f7e8edb47a4e205797</t>
  </si>
  <si>
    <t>At least a 10 percent increase. 2% isn't enough.</t>
  </si>
  <si>
    <t>I lean more towards don't recommend because the difference seems so unsubstantial to justify a whole new curriculum despite the results being ever so slightly better.</t>
  </si>
  <si>
    <t>Likely</t>
  </si>
  <si>
    <t>74.109.208.83</t>
  </si>
  <si>
    <t>R_3h4TBm8apgGkBRy</t>
  </si>
  <si>
    <t>62a0f7db18a72f2654996af3</t>
  </si>
  <si>
    <t xml:space="preserve">The very small increase in students who reached proficient does not justify the time, money, and stress that goes into changing a curriculum. I would rather them try another program first. </t>
  </si>
  <si>
    <t>98.25.105.166</t>
  </si>
  <si>
    <t>R_2sgraoiUbYOHzot</t>
  </si>
  <si>
    <t>5dceebbcc12884034547ae4d</t>
  </si>
  <si>
    <t>At least double</t>
  </si>
  <si>
    <t xml:space="preserve">The change was tiny and doesn't justify any change. It is also difficult to know if the survey was accurate, its possible the researchers wanted to make it look good and fudged the numbers. Any change should be to a system that actually works, 27% is terrible. </t>
  </si>
  <si>
    <t>72.239.34.49</t>
  </si>
  <si>
    <t>R_2YcbhbUMnJB4UXw</t>
  </si>
  <si>
    <t>640782a6a870cfc8bbc740e4</t>
  </si>
  <si>
    <t>The name sounds as though the students would benefit more from the new curriculum although the change was not huge it was a positive change and the percent may go up was its used in the future.</t>
  </si>
  <si>
    <t>153.33.159.183</t>
  </si>
  <si>
    <t>R_3dXtv1A39J6LtrN</t>
  </si>
  <si>
    <t>63e946265788bb9238accd0f</t>
  </si>
  <si>
    <t>It clearly helped</t>
  </si>
  <si>
    <t>0.05$</t>
  </si>
  <si>
    <t>five minutes</t>
  </si>
  <si>
    <t>131.212.97.219</t>
  </si>
  <si>
    <t>R_2sarhEpTNKkTJHd</t>
  </si>
  <si>
    <t>5ef9493ecb96bd6dfc990802</t>
  </si>
  <si>
    <t xml:space="preserve">It just depends on their budget. A 10% increase is pretty good, but if there's more important issues to tackle in the school district, I'm not sure it's worth the money. </t>
  </si>
  <si>
    <t>174.235.49.160</t>
  </si>
  <si>
    <t>R_WfG2L2XA9JqQbjr</t>
  </si>
  <si>
    <t>5dd877b0568ca582fb24699f</t>
  </si>
  <si>
    <t>The results aren‚Äôt very good, but I guess something is better than nothing.</t>
  </si>
  <si>
    <t>73.247.228.40</t>
  </si>
  <si>
    <t>R_1kOg5UlbyeOkOt4</t>
  </si>
  <si>
    <t>578d3224900cc80001d2e704</t>
  </si>
  <si>
    <t>It raised it a whole 2% that is not that big a jump to put so much time money and resources into.  That 2% could just be that a few students comprehended math better a year later and has nothing to do with the new curriculum.</t>
  </si>
  <si>
    <t>174.23.31.134</t>
  </si>
  <si>
    <t>R_2Sl9D8CUuiKOkeJ</t>
  </si>
  <si>
    <t>613005169125398ab6501688</t>
  </si>
  <si>
    <t xml:space="preserve">Because it has a better outcome percentage and I think the students could use a better mathematical curriculum. </t>
  </si>
  <si>
    <t xml:space="preserve">750 times I guess </t>
  </si>
  <si>
    <t xml:space="preserve">I have no clue </t>
  </si>
  <si>
    <t xml:space="preserve">I suck at math </t>
  </si>
  <si>
    <t>76.131.65.143</t>
  </si>
  <si>
    <t>R_22CSKihOrQP8Gmb</t>
  </si>
  <si>
    <t>64016c52ff4dae8fc9f7c557</t>
  </si>
  <si>
    <t>There was a 10% improvement in mathematical proficiency. I believe this is worth the expense.</t>
  </si>
  <si>
    <t>76.17.121.135</t>
  </si>
  <si>
    <t>R_3EK1CbQkFGrPg6N</t>
  </si>
  <si>
    <t>63b6ffb02943686f4f354741</t>
  </si>
  <si>
    <t>I would say they need to do it. The scores for the district is currently low so it would make sense to put whatever they need to, be it money or more time, to fix the issues at hand.</t>
  </si>
  <si>
    <t>.10 percent</t>
  </si>
  <si>
    <t>172.56.208.238</t>
  </si>
  <si>
    <t>R_2tJsl3WFlOOIX3M</t>
  </si>
  <si>
    <t>63d7e44cf7acde24aa5ea66e</t>
  </si>
  <si>
    <t>That money can be better spent elsewhere for a much greater benefit.</t>
  </si>
  <si>
    <t>148.74.192.127</t>
  </si>
  <si>
    <t>R_XSSy4Tg4b1byd0d</t>
  </si>
  <si>
    <t>6293e6c41fde6ff01b69760b</t>
  </si>
  <si>
    <t xml:space="preserve">well i would want it because of results if its working and helps kids in ways thats never been seen or helped other kids then the costs are worth it </t>
  </si>
  <si>
    <t xml:space="preserve">90 percent chance </t>
  </si>
  <si>
    <t>24.92.169.99</t>
  </si>
  <si>
    <t>R_1jGLZvV9kjh24d2</t>
  </si>
  <si>
    <t>5e48122927eb23000af799c7</t>
  </si>
  <si>
    <t xml:space="preserve">Depends on how much, but given no dollar amount I‚Äôm leaning towards recommending it. </t>
  </si>
  <si>
    <t>72.196.213.102</t>
  </si>
  <si>
    <t>R_2sbYwbvw1VrWq4p</t>
  </si>
  <si>
    <t>5dd6d2d11228d9667276c3b7</t>
  </si>
  <si>
    <t>The increase was only from 25% to 27%. That seems like a very small benefit for a large cost. The District should adopt a curriculum that would have a significantly better increase.</t>
  </si>
  <si>
    <t>174.208.225.108</t>
  </si>
  <si>
    <t>R_3iJCdbKfIg0L5gy</t>
  </si>
  <si>
    <t>63d42c21dc6f4d60e34cc337</t>
  </si>
  <si>
    <t xml:space="preserve">I think the children deserve the best available! </t>
  </si>
  <si>
    <t>73.143.78.170</t>
  </si>
  <si>
    <t>R_1ikRKugLjiQbPan</t>
  </si>
  <si>
    <t>6402a9c780d6fd4bbc66e073</t>
  </si>
  <si>
    <t xml:space="preserve">You haven‚Äôt presented information about any potential cost difference or additional training for teachers. Perhaps there is none, but a 2% difference isn‚Äôt earth shaking. </t>
  </si>
  <si>
    <t>No answer</t>
  </si>
  <si>
    <t>67.49.126.95</t>
  </si>
  <si>
    <t>R_2ALji0oRavk4spu</t>
  </si>
  <si>
    <t>566a17d07da0350012b3e876</t>
  </si>
  <si>
    <t>It doesn't seem worth the cost.</t>
  </si>
  <si>
    <t>47.201.111.106</t>
  </si>
  <si>
    <t>R_1nSKDVJYEjgtttu</t>
  </si>
  <si>
    <t>63d548f3ab55b4d7d7ef6b93</t>
  </si>
  <si>
    <t>25 percent</t>
  </si>
  <si>
    <t>Only a 2 percent improvement is not enough for such a high price tag.</t>
  </si>
  <si>
    <t>50 percent</t>
  </si>
  <si>
    <t>.5 percent</t>
  </si>
  <si>
    <t>It's very likely</t>
  </si>
  <si>
    <t>70.231.125.148</t>
  </si>
  <si>
    <t>R_22lR1nF8HX2L9gr</t>
  </si>
  <si>
    <t>5dacf0bb8f8b6800114d9013</t>
  </si>
  <si>
    <t>I recommend it as investment in student success should be the top priority of a school.</t>
  </si>
  <si>
    <t>500 minutes</t>
  </si>
  <si>
    <t>174.240.17.213</t>
  </si>
  <si>
    <t>R_2zo5zJtfaSlkhkQ</t>
  </si>
  <si>
    <t>639c68bc52c767567d9cee5b</t>
  </si>
  <si>
    <t>Based on the study conducted, the Math in the Real World curriculum appears to have been more effective than the current curriculum, Journey in Mathematics.</t>
  </si>
  <si>
    <t>24.197.218.27</t>
  </si>
  <si>
    <t>R_d7iBObN5NdPZmnL</t>
  </si>
  <si>
    <t>629638416146d56a43e5e028</t>
  </si>
  <si>
    <t>Regardless of costs, funding education is important, so anything that improves it is a positive to me.</t>
  </si>
  <si>
    <t>174.203.246.134</t>
  </si>
  <si>
    <t>R_OI6ER1gCVq3aAcF</t>
  </si>
  <si>
    <t>6388b6c86e47b08e1eded1fd</t>
  </si>
  <si>
    <t>because the math in the real world had a positive response/impact based on the study conducted</t>
  </si>
  <si>
    <t>71.192.228.217</t>
  </si>
  <si>
    <t>R_24qpQqnHiJrVOjG</t>
  </si>
  <si>
    <t>5f6e847caba6263dca43b4fe</t>
  </si>
  <si>
    <t xml:space="preserve">It seems like this curriculum produces better student outcomes and is worth the investment. </t>
  </si>
  <si>
    <t>69.246.195.202</t>
  </si>
  <si>
    <t>R_2tJaMJMw3sUG6O7</t>
  </si>
  <si>
    <t>63cc4ca8aa8ed478722c8a7c</t>
  </si>
  <si>
    <t>I would not strongly recommend it because the results were only a 2% increase. Something else is going on and likely needs to be addressed. Going ahead with the change at least won't hurt anything, but it does not look like it will solve the problem or be worth the cost of changing over.</t>
  </si>
  <si>
    <t>1 in 10</t>
  </si>
  <si>
    <t>158.106.222.98</t>
  </si>
  <si>
    <t>R_3dQgGXdlP68zgsK</t>
  </si>
  <si>
    <t>63d3f95e93b636344cf403d9</t>
  </si>
  <si>
    <t>It has proven that kids will be more successful in this curriculum but at the same time the benefits may not outweigh the hefty cost</t>
  </si>
  <si>
    <t>74.194.149.250</t>
  </si>
  <si>
    <t>R_3FPPsg5z95jTXgS</t>
  </si>
  <si>
    <t>5ce7b20479642d00197682ea</t>
  </si>
  <si>
    <t>There is obviously a problem with the current curriculum if the majority of students are scoring so low on the math test. There could be other factors at play, but the experiment with using the new curriculum shows better results, so I would recommend the switch. The experiment used a good sample so I trust the results.</t>
  </si>
  <si>
    <t>68.57.47.61</t>
  </si>
  <si>
    <t>R_2wbiyrTuKmzXcr2</t>
  </si>
  <si>
    <t>6101bcb1b6f73b8138d66252</t>
  </si>
  <si>
    <t>While it's only about a two percent increase in student proficiency level, it's still helping more students learn better math skills than the current math curriculum. Also, the students before had a choice between the two classes. Therefore, if more students take the new curriculum, it will probably increase the percentage of proficiency even more in the future.</t>
  </si>
  <si>
    <t>Honestly don't know - best guess - 300</t>
  </si>
  <si>
    <t>50.224.72.186</t>
  </si>
  <si>
    <t>R_3HZfFlG9QiKXoG0</t>
  </si>
  <si>
    <t>610019cae69b9ad34c95e3b3</t>
  </si>
  <si>
    <t xml:space="preserve">It didn't affect the students much but it did help, however the school should look into why the students score low on an individual level, maybe their teaching needs aren't being correctly met, rather than change the entire curriculum to something they may not be able to afford. </t>
  </si>
  <si>
    <t>10 percent</t>
  </si>
  <si>
    <t>131.212.16.5</t>
  </si>
  <si>
    <t>R_1jCZBnBnN3t9GHc</t>
  </si>
  <si>
    <t>63c20e0984b5668011b7f8cb</t>
  </si>
  <si>
    <t>The new curriculum did show improvement in match rates with students who followed it, but it was not by much, which is why I would be hesitant in recommending it .</t>
  </si>
  <si>
    <t>98.50.233.205</t>
  </si>
  <si>
    <t>R_1DC5zsqxhZaBaOW</t>
  </si>
  <si>
    <t>6137e7902deee6112b009008</t>
  </si>
  <si>
    <t xml:space="preserve">It seems like it helped, and sometimes to make something seem more useful you have to equate it to something real.  If its helping kids understand I think its a good idea. </t>
  </si>
  <si>
    <t>172.56.90.18</t>
  </si>
  <si>
    <t>R_21yQleEInJbdEEA</t>
  </si>
  <si>
    <t>61086f515114c26363323a17</t>
  </si>
  <si>
    <t xml:space="preserve">There was only a 3 percent increase for something that would cost a significant amount of money meaning it‚Äôs not worth it </t>
  </si>
  <si>
    <t>71.59.224.219</t>
  </si>
  <si>
    <t>R_3FRmoj2wxQbHDwC</t>
  </si>
  <si>
    <t>611d8528eff8be6a062ee868</t>
  </si>
  <si>
    <t>It doesn't seem to yield much better results than the current curriculum and would be significantly more expensive. Schools already don't have enough funding. Maybe the money would be better allocated towards a teachers aid that can allow more one on one help with the students?</t>
  </si>
  <si>
    <t>97.100.206.71</t>
  </si>
  <si>
    <t>R_1LkjaaBpG0XUQhf</t>
  </si>
  <si>
    <t>545d349bfdf99b7f9e3255a0</t>
  </si>
  <si>
    <t>Math in the Real World curriculum provides significant results for the kids future. I think this is an investment that schools must make for kids future.</t>
  </si>
  <si>
    <t>67.8.128.36</t>
  </si>
  <si>
    <t>R_21aKAQt6QUy20bX</t>
  </si>
  <si>
    <t>63d7a0c6fe36d852418ac97a</t>
  </si>
  <si>
    <t>I would recommend using Math in the Real World curriculum because the students did significantly better when they learned math this way. That should be our priority</t>
  </si>
  <si>
    <t>99.105.80.78</t>
  </si>
  <si>
    <t>R_w5doaTt1iGrzLqx</t>
  </si>
  <si>
    <t>5687bbe7369319000c269af0</t>
  </si>
  <si>
    <t xml:space="preserve">I woukd recommend Math in the Real World because the test score need to improve.  Even if the scores  improve slightly it would be an improvement.  Otherwise, the scores may never improve. </t>
  </si>
  <si>
    <t>98.47.25.147</t>
  </si>
  <si>
    <t>R_BXo2yBOTHXK1Vol</t>
  </si>
  <si>
    <t>5678ea0289319e00116519c3</t>
  </si>
  <si>
    <t>Given the absolutely embarrassing state of mathematics proficiency among the fourth-graders in this district, adoption of this curriculum would greatly benefit students. However, it is important to consider alternatives that may be more effective or more cost-efficient.</t>
  </si>
  <si>
    <t>98.24.80.248</t>
  </si>
  <si>
    <t>R_3dDF4diFdViHhrX</t>
  </si>
  <si>
    <t>60cf382898b50ef89e5efab3</t>
  </si>
  <si>
    <t>2% is not much of an increase when it comes to this study. I would use the money to try find something else that is more effective.</t>
  </si>
  <si>
    <t>74.111.104.9</t>
  </si>
  <si>
    <t>R_2eQ1VZDM0zJTLHn</t>
  </si>
  <si>
    <t>5e6032cb39305b38877dcdf8</t>
  </si>
  <si>
    <t>It improve the students' overall test scores. Plus, we would end up using math in the real world, so why not learn what we'll eventually find throughout life?</t>
  </si>
  <si>
    <t>172.251.245.206</t>
  </si>
  <si>
    <t>R_2sb7YfKLxbnVvd9</t>
  </si>
  <si>
    <t>5c3056c489f0350001766df3</t>
  </si>
  <si>
    <t>I would probably recommend it, but not very strongly because there was only a 2% increase which isn't very significant.</t>
  </si>
  <si>
    <t>172.58.158.148</t>
  </si>
  <si>
    <t>R_d5dV9N0u3SDWGSB</t>
  </si>
  <si>
    <t>64022fe38cea7158c34de087</t>
  </si>
  <si>
    <t>Because it helped to better the k5 students scores.</t>
  </si>
  <si>
    <t xml:space="preserve">
20q</t>
  </si>
  <si>
    <t>Not sure</t>
  </si>
  <si>
    <t>174.203.77.98</t>
  </si>
  <si>
    <t>R_2zosThM0sIOl58P</t>
  </si>
  <si>
    <t>5dd9df0e946f7c97406a55ea</t>
  </si>
  <si>
    <t>I think it would benefit the students and help them do better in math.</t>
  </si>
  <si>
    <t xml:space="preserve">50 percent </t>
  </si>
  <si>
    <t>107.115.147.29</t>
  </si>
  <si>
    <t>R_3j1isfXVejmCOQ7</t>
  </si>
  <si>
    <t>578b5756160201000103fe40</t>
  </si>
  <si>
    <t>Given only the information seen here, it would have a positive effect on students' math proficiency.</t>
  </si>
  <si>
    <t>47.42.29.22</t>
  </si>
  <si>
    <t>R_qCw8413lJfLXtW9</t>
  </si>
  <si>
    <t>5bd47734506cd3000101d181</t>
  </si>
  <si>
    <t xml:space="preserve">It would be well worth the investment in order for there to be some change rather than staying the course and nothing changing. </t>
  </si>
  <si>
    <t>76.186.116.36</t>
  </si>
  <si>
    <t>R_3Gr1ZAlYjLjOcVc</t>
  </si>
  <si>
    <t>611e9927369094f6ffdafd55</t>
  </si>
  <si>
    <t xml:space="preserve">I feel that any improvement in the students is great.  However, just a 2 percent jump is not enough to warrant the district spending countless amounts of money to pay for it.  I think there could be better ways to improve the students' scores while keeping the current curriculum.  I think the individual schools and individual students who used the new curriculum needs to be evaluated as well.  That could make a difference in how small the percentage improvement is or how big it could have been.  </t>
  </si>
  <si>
    <t>96.37.249.229</t>
  </si>
  <si>
    <t>R_1EWN77jMmByuROD</t>
  </si>
  <si>
    <t>5d289af221154a0016285f26</t>
  </si>
  <si>
    <t>Without knowing the district's finances, I can only make a decision based on the information presented to me. The information states that it's more expensive, but is it out of budget? Is the price unreasonably unobtainable? If not, then logically, switching the curriculum would be the right choice.</t>
  </si>
  <si>
    <t>10%
Of 100 women like her, 10 of them actually have a malignant tumor and 90 of them do not. Accuracy of the tests are irrelevant as 10 out of 100 "actually have" a tumor whether the test was 90% accurate or 50% accurate.</t>
  </si>
  <si>
    <t>Five minutes</t>
  </si>
  <si>
    <t>68.204.10.133</t>
  </si>
  <si>
    <t>R_1CkzvKWJhBAhnGW</t>
  </si>
  <si>
    <t>6369700320bc7dd22e733009</t>
  </si>
  <si>
    <t>65% are still not scoring at the levels needed. I would not go with just a 10% increase. I think a better solution can be found. You cannot leave 65% of students behind.</t>
  </si>
  <si>
    <t>97.90.42.62</t>
  </si>
  <si>
    <t>R_33kSSeUu7vQ5oMe</t>
  </si>
  <si>
    <t>60de6eaecf5d59c0e0670050</t>
  </si>
  <si>
    <t>10% or more</t>
  </si>
  <si>
    <t>I wouldn't recommend using Math in the Real World curriculum because the improvement in proficiency was only 2%. This is not a significant change in improvement and wouldn't justify the increased costs associated with it.</t>
  </si>
  <si>
    <t xml:space="preserve"> unlikely</t>
  </si>
  <si>
    <t>174.246.198.194</t>
  </si>
  <si>
    <t>R_2103sDUqey86wbP</t>
  </si>
  <si>
    <t>60df4e94499bfbcaa37dad57</t>
  </si>
  <si>
    <t>The percent of kids who improved. It only went up 2%. It wasn't big so I wouldn't highly recommend it.</t>
  </si>
  <si>
    <t>330 times</t>
  </si>
  <si>
    <t>108.51.134.197</t>
  </si>
  <si>
    <t>R_1oFLkdld9kVlHT1</t>
  </si>
  <si>
    <t>5eb0c3f05aeb111911ad74de</t>
  </si>
  <si>
    <t>I would want more information about how the programs were implemented -- are the teachers equally skilled? Were there differences in English proficiency between the student groups? Roughly equal numbers of students with learning challenges in both groups?</t>
  </si>
  <si>
    <t>1 in 2 / 50%</t>
  </si>
  <si>
    <t>99.162.213.149</t>
  </si>
  <si>
    <t>R_3nGcAPy53JDfiOP</t>
  </si>
  <si>
    <t>5f489766dbc4a2364c0f4f93</t>
  </si>
  <si>
    <t>It depends on the cost which was not mentioned but if its reasonable and the district has the money or can obtain the money then it seems a 2% increase in the number of students who are proficient at grade level is better than no increase. However it seems there must be some background - what are they teaching at the younger grades? Parents need to be involved in getting these kids better at math- afterschool programs, volunteer tutors, local churches. etc could all be resources to help get the scores up at all grades.</t>
  </si>
  <si>
    <t>71.206.197.61</t>
  </si>
  <si>
    <t>R_3e3rFOPRLsNCEnz</t>
  </si>
  <si>
    <t>5b9845dfae52a00001482c02</t>
  </si>
  <si>
    <t>I think it has real world benefits and should be used by anyone who wants to improve their education</t>
  </si>
  <si>
    <t>73.200.186.41</t>
  </si>
  <si>
    <t>R_2SuYdiFiidHhOjM</t>
  </si>
  <si>
    <t>5b18248744127b00013f90ce</t>
  </si>
  <si>
    <t>I wouldn't recommend the curriculum because the degree of improvement seemed too small to justify the increased cost.</t>
  </si>
  <si>
    <t>192.199.185.182</t>
  </si>
  <si>
    <t>R_12KEpUk7ph3H0lt</t>
  </si>
  <si>
    <t>62e1ce78f3baa9e8ae1acfdf</t>
  </si>
  <si>
    <t>Even though the Math in the Real World curriculum cost more, the 2% jump in kids being proficient is well worth the cost. Any improvement is worth it.</t>
  </si>
  <si>
    <t>Half a percent of tickets.</t>
  </si>
  <si>
    <t>74.139.129.131</t>
  </si>
  <si>
    <t>R_3DpaStzplrzEhr9</t>
  </si>
  <si>
    <t>6073640883b8547a9b73569a</t>
  </si>
  <si>
    <t>I would be more inclined to recommend the new curriculum if I knew exactly what the cost would be.  As it stands, I only know that it will cost significantly more than the current curriculum.  Therefore I would be reluctant to recommend it for only a 2% improvement on standardized math scores.</t>
  </si>
  <si>
    <t>12.32.39.36</t>
  </si>
  <si>
    <t>R_3fUHlHJ3r1yeN4n</t>
  </si>
  <si>
    <t>6077498c0c5c112dd55262b8</t>
  </si>
  <si>
    <t xml:space="preserve">even though it is not a great increase in proficiency at least is a 2 % increase </t>
  </si>
  <si>
    <t>67.189.114.193</t>
  </si>
  <si>
    <t>R_1rczjePj8UeTD63</t>
  </si>
  <si>
    <t>5e6484158bd03f1f1bdc1821</t>
  </si>
  <si>
    <t>Because most of the students had an increase in their test scores in math. It has really helped them to improve.</t>
  </si>
  <si>
    <t>47.6.200.230</t>
  </si>
  <si>
    <t>R_2YrlG71Mb5wRB2Y</t>
  </si>
  <si>
    <t>63ebe1b0a60d5388d71f76f0</t>
  </si>
  <si>
    <t>The results seem within the range of student/classroom variance. If there's effectively no improvement, then the district shouldn't be spending money on new curriculum.</t>
  </si>
  <si>
    <t>About 500</t>
  </si>
  <si>
    <t>About 100</t>
  </si>
  <si>
    <t>Presumably, 5 minutes</t>
  </si>
  <si>
    <t>174.209.96.46</t>
  </si>
  <si>
    <t>R_OvuQjNGRxyb1Y5P</t>
  </si>
  <si>
    <t>602e3638f2520292bac1d5d9</t>
  </si>
  <si>
    <t xml:space="preserve">If the budget allows, I think the change from 25% to 35% is significant. I‚Äôd also factor in the demographics of the school. If the school is filled with kids who will likely just commit crimes and take money from government, I‚Äôd hesitate to invest in the new curriculum. </t>
  </si>
  <si>
    <t>108.216.124.221</t>
  </si>
  <si>
    <t>R_25tqbiLIvv59yEw</t>
  </si>
  <si>
    <t>5aadbb1ee1546900019af242</t>
  </si>
  <si>
    <t>I think other options should be looked at. For such an expensive program, I do not think a two percent increase is worth it.</t>
  </si>
  <si>
    <t>71.192.66.70</t>
  </si>
  <si>
    <t>R_2a8C0So9fCE3up3</t>
  </si>
  <si>
    <t>607d6ad963c2b4e855ae2a06</t>
  </si>
  <si>
    <t xml:space="preserve">it's too expensive for the lack of results </t>
  </si>
  <si>
    <t>68.13.161.144</t>
  </si>
  <si>
    <t>R_3dEBwah0NFsiQmT</t>
  </si>
  <si>
    <t>63f7835dff1699d0255a748d</t>
  </si>
  <si>
    <t>I would recommend that the Lakeview School District use the Real World curriculum because it has been proved to increase test scores. Children (especially upper-elementary students) are more likely to learn things when they believe that the knowledge will apply to their real lives. And the goal of education should be to equip students for the real world, not just to give them knowledge. I think the change is worth the extra cost.</t>
  </si>
  <si>
    <t>500 times</t>
  </si>
  <si>
    <t>10 people</t>
  </si>
  <si>
    <t>100 people</t>
  </si>
  <si>
    <t>172.59.32.130</t>
  </si>
  <si>
    <t>R_1oGRXXuTIBeHsZS</t>
  </si>
  <si>
    <t>5b0cb441444cef0001ca5fbd</t>
  </si>
  <si>
    <t>Of course I would recommend it.  Kids need a good educational foundation to succeed in academics.  This could only be helpful.</t>
  </si>
  <si>
    <t>9 of 100</t>
  </si>
  <si>
    <t>5 minites</t>
  </si>
  <si>
    <t>68.116.85.163</t>
  </si>
  <si>
    <t>R_1mh1FDeX8FDOJlc</t>
  </si>
  <si>
    <t>5c003b5c2c8cc1000138e25f</t>
  </si>
  <si>
    <t>It‚Äôs not a huge increase in proficiency and with a higher cost to implement I‚Äôm not sure if it‚Äôs worth it to switch curriculums</t>
  </si>
  <si>
    <t>5 mins</t>
  </si>
  <si>
    <t>76.208.100.151</t>
  </si>
  <si>
    <t>R_1obi5BrmwzpUvoF</t>
  </si>
  <si>
    <t>5ecc6fb87c7c7646490f3cf8</t>
  </si>
  <si>
    <t>It's definitely a step up from the current curriculum, but the 35% rate is still low.  I'd be willing to use it as a temporary plan but would definitely keep looking for better options.</t>
  </si>
  <si>
    <t>172.58.122.17</t>
  </si>
  <si>
    <t>R_rjsZKDHS71IDdpn</t>
  </si>
  <si>
    <t>5fea9f4983f6afa8281acf14</t>
  </si>
  <si>
    <t>It doesn't have a significant improvement over the current curriculum and would be a wasted investment.</t>
  </si>
  <si>
    <t>98.211.203.56</t>
  </si>
  <si>
    <t>R_2wyKAdtLGU8GfoZ</t>
  </si>
  <si>
    <t>631657c33eff5ac8d55058ce</t>
  </si>
  <si>
    <t>I would seeing as the study saw improvements in the sample size of increased proficiency using Math in the Real World curriculum.  It will be worth the extra cost for the kids' benefit</t>
  </si>
  <si>
    <t>10/100</t>
  </si>
  <si>
    <t>98.161.170.162</t>
  </si>
  <si>
    <t>R_3lEUfRcGx7QYm2M</t>
  </si>
  <si>
    <t>5b0739faa84dcf0001bef230</t>
  </si>
  <si>
    <t>Education is an investment in the future. Simple as that. We should be spending more on all education.</t>
  </si>
  <si>
    <t>98.36.226.2</t>
  </si>
  <si>
    <t>R_TiqvrGzvkvyHc3L</t>
  </si>
  <si>
    <t>5bd0d9bf25db7b0001786a5b</t>
  </si>
  <si>
    <t>5% or more</t>
  </si>
  <si>
    <t>I would look for something that would be statistically significant.  2% is extremely low and within the standard deviation. If it's a significant cost, I would think that looking for another answer would be better.</t>
  </si>
  <si>
    <t>208.102.206.96</t>
  </si>
  <si>
    <t>R_1f343Ja3CKVsN3s</t>
  </si>
  <si>
    <t>63f915653de643d95b47d440</t>
  </si>
  <si>
    <t>The percentage did not appear to rise enough</t>
  </si>
  <si>
    <t>20-%</t>
  </si>
  <si>
    <t>216.144.167.42</t>
  </si>
  <si>
    <t>R_2CQjmjKeKU1TxZS</t>
  </si>
  <si>
    <t>56c4adcf8bacd70005cf8edc</t>
  </si>
  <si>
    <t xml:space="preserve">I would recommend that the school district use this curriculum because the 4th graders' performance on standardized testing improved in comparison to the current curriculum that's being used. </t>
  </si>
  <si>
    <t xml:space="preserve">10 cents </t>
  </si>
  <si>
    <t>162.228.5.15</t>
  </si>
  <si>
    <t>R_1Os4KscgQ1yYrOb</t>
  </si>
  <si>
    <t>5ac013129534ba0001c7155f</t>
  </si>
  <si>
    <t>It seems to be more effective.</t>
  </si>
  <si>
    <t>10p</t>
  </si>
  <si>
    <t>73.72.169.95</t>
  </si>
  <si>
    <t>R_2SIIn9mHm1efwHe</t>
  </si>
  <si>
    <t>558965bffdf99b74158d77dd</t>
  </si>
  <si>
    <t>It's a promising improvement but also isn't so great that the bulk of it couldn't be explained away by random yearly differences or even a margin of error in recording results.</t>
  </si>
  <si>
    <t>No idea, unable to do this math.</t>
  </si>
  <si>
    <t>152.131.10.71</t>
  </si>
  <si>
    <t>R_3Ey7RPyMapX17aY</t>
  </si>
  <si>
    <t>5ea77308e86bd115c818be65</t>
  </si>
  <si>
    <t xml:space="preserve">The increase, from 25% to 27%, does not justify a significantly increased cost to implement. </t>
  </si>
  <si>
    <t>50.90.64.87</t>
  </si>
  <si>
    <t>R_1jlk7NEXnFkCYLV</t>
  </si>
  <si>
    <t>5f121091e95fdc03b5e897d0</t>
  </si>
  <si>
    <t xml:space="preserve">I put in the middle 50, because i am not sure either way if it would be good or not. </t>
  </si>
  <si>
    <t>I think out of 1000 times it would come up as even 600 times.</t>
  </si>
  <si>
    <t>i think 2 people would win</t>
  </si>
  <si>
    <t>35.132.87.122</t>
  </si>
  <si>
    <t>R_21mnQDnf6wROEMT</t>
  </si>
  <si>
    <t>6272ab12b3d9c61d2271db8d</t>
  </si>
  <si>
    <t xml:space="preserve">Because, even though it cost a lot more, nothing should stand in the way of a better education. So, if there's anyway we can improve it, like with this, they should do that, no matter the cost. </t>
  </si>
  <si>
    <t>10% i think</t>
  </si>
  <si>
    <t>.10 cents</t>
  </si>
  <si>
    <t>72.129.177.7</t>
  </si>
  <si>
    <t>R_ctC9IyDc3fXGDnj</t>
  </si>
  <si>
    <t>5c5924c553fba80001bd7ad9</t>
  </si>
  <si>
    <t>I would suggest using Math in the Real World because it seems like the kids connect with that program more and it allows them to better under the math curriculum they need to learn. Plus since there wasn't any increase using the old curriculum I would replace it since any increase would be a benefit in the long term since so many people struggle in math and lose interest as time goes on.</t>
  </si>
  <si>
    <t>172.56.216.187</t>
  </si>
  <si>
    <t>R_2V7QCDC9z4raBgv</t>
  </si>
  <si>
    <t>5f46b13c9603e305ad51dc7f</t>
  </si>
  <si>
    <t xml:space="preserve">It might be expensive but a 10 percent increase isn't small when it's about the future of these children, who will continue their math education. If they fall behind it will just get harder to continue </t>
  </si>
  <si>
    <t>74.134.48.67</t>
  </si>
  <si>
    <t>R_2xRVChfHffOPlj6</t>
  </si>
  <si>
    <t>5e2b3e22a8f85318c2429121</t>
  </si>
  <si>
    <t>The results were better so I would move forward with math in the real world, regardless of costs.</t>
  </si>
  <si>
    <t>4.5 percent</t>
  </si>
  <si>
    <t>136.56.173.231</t>
  </si>
  <si>
    <t>R_21hP9IAOhZeurQD</t>
  </si>
  <si>
    <t>63bc68fb98ed19549a5edbb5</t>
  </si>
  <si>
    <t>50 percent improvement</t>
  </si>
  <si>
    <t xml:space="preserve">Hard work and it takes a lot of people extra time to do that work. A 2% increase in literacy that can be attributed to anything .  I don't think it indicates any degree of a improvement that is worth the cost </t>
  </si>
  <si>
    <t>.10$</t>
  </si>
  <si>
    <t>174.203.97.14</t>
  </si>
  <si>
    <t>R_21jEqmMUQP5nxyu</t>
  </si>
  <si>
    <t>5f87dcb62285ab2277e2d15e</t>
  </si>
  <si>
    <t>Kids are doing much better with that curriculum so that‚Äôs what I would use. Anything that helps children do better in school would do well to be used.</t>
  </si>
  <si>
    <t>73.138.104.127</t>
  </si>
  <si>
    <t>R_1FQ9aklDWJnL52K</t>
  </si>
  <si>
    <t>63e594546a0de6f17a4e8314</t>
  </si>
  <si>
    <t>I would recommend it because it seems to have improved the scores which means it is doing something that is working for the students.</t>
  </si>
  <si>
    <t>73.116.179.180</t>
  </si>
  <si>
    <t>R_8DoDew1q6jRy945</t>
  </si>
  <si>
    <t>5c01dc58067bbf00019bb318</t>
  </si>
  <si>
    <t>Math in the Real World provided a 10% increase in students having appropriate grade-level math skills.  Out of 525 students, that would mean an increase in 52 more students.  Math skills are an important requirement for future academic success and a valuable life-skill.  The significant cost increase could be challenging, but in the long run, worth the added expense.</t>
  </si>
  <si>
    <t>108.5.108.180</t>
  </si>
  <si>
    <t>R_ApUWyUqEiQsCfvP</t>
  </si>
  <si>
    <t>610081ebf9f870b4213e06cb</t>
  </si>
  <si>
    <t xml:space="preserve">I don't know the cost but since they said a significant increase and I don't determine 2% to be significant as well I'm not sure the cost outweighs the benefits. </t>
  </si>
  <si>
    <t>173.63.180.216</t>
  </si>
  <si>
    <t>R_3rVdXdMG2PX202c</t>
  </si>
  <si>
    <t>628d8714727e2811c42dd485</t>
  </si>
  <si>
    <t>I think that they should use it because the current system is failing way too many kids and I think that the education of these kids is extremely important for the future.</t>
  </si>
  <si>
    <t>73.126.232.224</t>
  </si>
  <si>
    <t>R_2uKu3A4ijfbcqFJ</t>
  </si>
  <si>
    <t>636d19c8d8a6c6ef4d37ff41</t>
  </si>
  <si>
    <t xml:space="preserve">Because the point of education is to further the development of children. If it is failing them, we need to adjust. </t>
  </si>
  <si>
    <t>108.52.202.2</t>
  </si>
  <si>
    <t>R_3e8qKI5nAUj3rrt</t>
  </si>
  <si>
    <t>61086055354ddcbc8cfb4624</t>
  </si>
  <si>
    <t>Because it costs more, and the students did not improve but remained at 25% reading ability.</t>
  </si>
  <si>
    <t>72.201.200.145</t>
  </si>
  <si>
    <t>R_3O9ajPAzNHUnq8X</t>
  </si>
  <si>
    <t>599467b55f49420001cafa81</t>
  </si>
  <si>
    <t>I would recommend that they switch because the study showed that the students were more proficient after taking the Real World course.</t>
  </si>
  <si>
    <t>104.181.134.22</t>
  </si>
  <si>
    <t>R_2SeoW81mExn1NGo</t>
  </si>
  <si>
    <t>63ea7e60bdd3090eb4b0dcc5</t>
  </si>
  <si>
    <t xml:space="preserve">Improving the proficiency of student's mathematics skills at a young age is honestly invaluable. The extra cost will be worth it in order to help them understand the concepts more thoroughly while their minds still have the plasticity to solidify new concepts. Having a better foundation in mathematics will allow them to more easily grasp more complex concepts when they get to higher education levels. This should improve their ability to think critically in other subjects as well. Overall, this will save time and improve scores in all subjects for years to come. </t>
  </si>
  <si>
    <t>71.61.172.30</t>
  </si>
  <si>
    <t>R_2ZEqvpyEhbovAKA</t>
  </si>
  <si>
    <t>5dd41772d3ac2a3f7235ee75</t>
  </si>
  <si>
    <t xml:space="preserve">I would not recommend switching math programs. The new program only increased the scores by 2 percent. That is not worth the significant cost to the district for the new program. </t>
  </si>
  <si>
    <t>98.216.113.163</t>
  </si>
  <si>
    <t>R_3dDMcURq4fWDCev</t>
  </si>
  <si>
    <t>6234e9c483c8aa1f1c5f046a</t>
  </si>
  <si>
    <t>I'm very concerned that the Math in the Real World only slightly increased the math proficiency of 4th grade students and do not believe it is worth the implementation costs. I would be looking for a separate alternative to significantly increase the math proficiency of the 4th grade students as opposed to the two offered.</t>
  </si>
  <si>
    <t>172.58.191.13</t>
  </si>
  <si>
    <t>R_e3ha23drmKI7QEV</t>
  </si>
  <si>
    <t>6100319c0c4730c4efc39c40</t>
  </si>
  <si>
    <t>It seems for the extra cost the improvements would not be noticeabke</t>
  </si>
  <si>
    <t>68.49.73.67</t>
  </si>
  <si>
    <t>R_25u44dIgmvxQHFh</t>
  </si>
  <si>
    <t>5c52016a3146f80001d47b26</t>
  </si>
  <si>
    <t xml:space="preserve">I think that if it costs a lot of money, Maybe there is a better way to spend that money that will improve scores even more. </t>
  </si>
  <si>
    <t>108.93.151.147</t>
  </si>
  <si>
    <t>R_1IGUCbnL77WtmKU</t>
  </si>
  <si>
    <t>5c02c3b20eb9aa00010dc4cc</t>
  </si>
  <si>
    <t xml:space="preserve">25% in math proficiency is unacceptable for a school district. STEM skills are essential for students to succeed in today's technology-driven world, so it is well worth the monetary investment to use Math in the Real World curriculum. </t>
  </si>
  <si>
    <t>73.12.140.33</t>
  </si>
  <si>
    <t>R_cUg4j3iKr5FTptv</t>
  </si>
  <si>
    <t>5ee68971dde4ef4056079287</t>
  </si>
  <si>
    <t>its a small improvement but its an improvement</t>
  </si>
  <si>
    <t>108.53.146.52</t>
  </si>
  <si>
    <t>R_2BzWAwe4bUEac0w</t>
  </si>
  <si>
    <t>5fb69cacddba6408f81a9564</t>
  </si>
  <si>
    <t xml:space="preserve">I think this new curriculum has earned deeper consideration, but not yet full enactment. The results were not so overwhelming that an immediate change should happen, especially considering the cost. </t>
  </si>
  <si>
    <t>23.117.66.204</t>
  </si>
  <si>
    <t>R_cHNdq3Iwh6mGBP3</t>
  </si>
  <si>
    <t>55ae61acfdf99b44a305f135</t>
  </si>
  <si>
    <t xml:space="preserve">There are many factors besides the curriculum (class size, access to technology, intervention methods etc) that could be a factor. I'd want to know more about options before committing to a large expense for a 2% bump. Resources may be better allocated elsewhere. </t>
  </si>
  <si>
    <t>68.8.6.50</t>
  </si>
  <si>
    <t>R_cCPQjJjNzkZGUdX</t>
  </si>
  <si>
    <t>615251a465f058e211cfbbb8</t>
  </si>
  <si>
    <t>Doesn't seem to be much of an improvement. Would want to know why there wasn't more improvement and whether other strategies could yield better results.</t>
  </si>
  <si>
    <t>107.139.62.102</t>
  </si>
  <si>
    <t>R_cHeuv8d3hv4TrI5</t>
  </si>
  <si>
    <t>610847fd403ae0217934a3a1</t>
  </si>
  <si>
    <t>While there is an increase, it's pretty negligible and might not be worth the additional cost. However an increase is an increase and students deserve the best.</t>
  </si>
  <si>
    <t>172.58.87.250</t>
  </si>
  <si>
    <t>R_2bTXCAb8TNvuKf3</t>
  </si>
  <si>
    <t>5a02083e087f2e0001eadbdb</t>
  </si>
  <si>
    <t>I would recommend the district start using the new curriculum because it increased performance, but factors to quantify are the increased costs and how much proficiency is expected to rise.</t>
  </si>
  <si>
    <t>65.191.183.224</t>
  </si>
  <si>
    <t>R_12u0ptgDDnyX9nY</t>
  </si>
  <si>
    <t>61113f20a9497a72b0c1ed6c</t>
  </si>
  <si>
    <t xml:space="preserve">Increase is an increase and if it is actually teaching about math in real life that‚Äôs great </t>
  </si>
  <si>
    <t>73.174.173.236</t>
  </si>
  <si>
    <t>R_CgDyiOfpXHIh1ux</t>
  </si>
  <si>
    <t>565a4547c51d43000587507d</t>
  </si>
  <si>
    <t>I think the improvement seen with the new curriculum has a good chance of just being the result of random noise, and considering the cost and the time for teachers to learn the new curriculum, it probably isn't worth it.</t>
  </si>
  <si>
    <t>47.135.145.55</t>
  </si>
  <si>
    <t>R_2P4NJ43OHXruxme</t>
  </si>
  <si>
    <t>610064f3ff545af9d849df6e</t>
  </si>
  <si>
    <t>Because it clearly increased the proficiency and would be worth it.</t>
  </si>
  <si>
    <t>107.127.39.36</t>
  </si>
  <si>
    <t>R_1QMePlHOeI5sVsA</t>
  </si>
  <si>
    <t>5c43c90d5aca820001f73f6f</t>
  </si>
  <si>
    <t>I'm not sure if the curriculum is the issue. A lot of this lies with lack of experience with teachers or burn out. The other issue lies with parents and then not caring to or doing anything to help their kids learn.</t>
  </si>
  <si>
    <t>You lost me after the word breast.</t>
  </si>
  <si>
    <t>136.36.66.193</t>
  </si>
  <si>
    <t>R_1hR6nDwp3phw2rq</t>
  </si>
  <si>
    <t>5fec2d32d4f1e489c08795e6</t>
  </si>
  <si>
    <t>Most school districts have a limited budget. It would make more sense to have small groups and other interventions that would ultimately cost less and probably increase scores more dramatically.</t>
  </si>
  <si>
    <t>100min</t>
  </si>
  <si>
    <t>217.180.218.210</t>
  </si>
  <si>
    <t>R_voTVImF3K6m1EhH</t>
  </si>
  <si>
    <t>5d9be88c195db300128d652a</t>
  </si>
  <si>
    <t>I feel like I would because I think it would be good for the students and the best decision</t>
  </si>
  <si>
    <t>20 percent</t>
  </si>
  <si>
    <t>I don't think she would likely have a tumor</t>
  </si>
  <si>
    <t>174.106.136.64</t>
  </si>
  <si>
    <t>R_3kBupyCHy73gZRG</t>
  </si>
  <si>
    <t>623a732198d2a11b21faccc9</t>
  </si>
  <si>
    <t>There wasn't a significant enough change in the percentage of kids that were proficient to justify the cost or the teachers having to learn a new curriculum.</t>
  </si>
  <si>
    <t>98.60.177.217</t>
  </si>
  <si>
    <t>R_2zJaHUuPCwlxWty</t>
  </si>
  <si>
    <t>5722c95274e7ff0011a6f011</t>
  </si>
  <si>
    <t>Being good in math later in life is worth the cost early on.</t>
  </si>
  <si>
    <t>74.83.221.228</t>
  </si>
  <si>
    <t>R_3R8zONR9iA7wgkL</t>
  </si>
  <si>
    <t>60b9bb59251f1f055eddce4b</t>
  </si>
  <si>
    <t xml:space="preserve">It's proven to increase the success and mathematical understanding of the students who used it </t>
  </si>
  <si>
    <t>68.59.165.6</t>
  </si>
  <si>
    <t>R_3etA6I4TLRyEn2G</t>
  </si>
  <si>
    <t>6332517a492e9ac48804f991</t>
  </si>
  <si>
    <t>At least 5-10%</t>
  </si>
  <si>
    <t xml:space="preserve">Not enough improvement to justify the increased cost. </t>
  </si>
  <si>
    <t>has a tumor??</t>
  </si>
  <si>
    <t>69.234.87.236</t>
  </si>
  <si>
    <t>R_1j9gZCsJXxUtQtt</t>
  </si>
  <si>
    <t>55e733aa41988f001075ce1f</t>
  </si>
  <si>
    <t>The new curriculum proves that it helps students become more proficient in math.  In my opinion, it is a no brainer to switch.</t>
  </si>
  <si>
    <t>209.169.82.180</t>
  </si>
  <si>
    <t>R_3IaYirWXt33IhSr</t>
  </si>
  <si>
    <t>5ea37c11733b42302b54b64c</t>
  </si>
  <si>
    <t>With technology, math is becoming more important for kids to learn.</t>
  </si>
  <si>
    <t>73.234.69.15</t>
  </si>
  <si>
    <t>R_1DZlOSr8MKAI3aQ</t>
  </si>
  <si>
    <t>63e51ed95836737acc031c11</t>
  </si>
  <si>
    <t xml:space="preserve"> I recommend Because it showed to help improve the student's performance</t>
  </si>
  <si>
    <t xml:space="preserve">500 times </t>
  </si>
  <si>
    <t xml:space="preserve">dont think I have enough info to solve </t>
  </si>
  <si>
    <t xml:space="preserve">20% chance of getting it </t>
  </si>
  <si>
    <t xml:space="preserve">very likely </t>
  </si>
  <si>
    <t>10Cents</t>
  </si>
  <si>
    <t>25 minutes</t>
  </si>
  <si>
    <t>174.251.136.59</t>
  </si>
  <si>
    <t>R_2s1pd0LMGf7X28E</t>
  </si>
  <si>
    <t>61719bfec06e3136189edb55</t>
  </si>
  <si>
    <t>I think that it's progress and the longer that it is in place the better these scores will become. Especially as the teachers grow to know the curriculum even better.</t>
  </si>
  <si>
    <t>This can't really be determined. The answer of 5 would probably be obviously chosen by many but it could just as well be 100 or 900.</t>
  </si>
  <si>
    <t>10 would be the chosen number but unless the tickets were capped at 1000 there is no chance of knowing.</t>
  </si>
  <si>
    <t>205.213.104.123</t>
  </si>
  <si>
    <t>R_7P5fk0TdXFLzBcd</t>
  </si>
  <si>
    <t>5f7058deeb83ab60bb836eae</t>
  </si>
  <si>
    <t>This program is producing more improvement, so it should be used over the other</t>
  </si>
  <si>
    <t>76.118.16.171</t>
  </si>
  <si>
    <t>R_cN16VnYMLcpwGgF</t>
  </si>
  <si>
    <t>6283eff892f811762a6bd048</t>
  </si>
  <si>
    <t xml:space="preserve">It depends on how much the upgrade would cost, so if it's an exorbitant amount, they should look to other solutions to increase academic success, however, a school's purpose is to educate so the funding it receives should be used on curriculum upgrades. </t>
  </si>
  <si>
    <t>172.58.172.197</t>
  </si>
  <si>
    <t>R_1IABVdp6cZlGs4J</t>
  </si>
  <si>
    <t>5e1830f02529b2116fa49e52</t>
  </si>
  <si>
    <t>Study showed it provided more value than the other program, so it seems worth trying depending on how much more it costs.</t>
  </si>
  <si>
    <t>72.199.77.176</t>
  </si>
  <si>
    <t>R_3Ryh57OXrgBoY2k</t>
  </si>
  <si>
    <t>5c17a9fbfeaf2c0001c4b19a</t>
  </si>
  <si>
    <t>I think the school was best for math</t>
  </si>
  <si>
    <t>10 Persons.</t>
  </si>
  <si>
    <t>The chance of winning a car is 1 in 1,000.</t>
  </si>
  <si>
    <t xml:space="preserve"> 20 out of 100</t>
  </si>
  <si>
    <t>A woman with breast cancer has a 90% chance of a positive test from a mammogram</t>
  </si>
  <si>
    <t>75.194.101.215</t>
  </si>
  <si>
    <t>R_1r8pHkDAQh183pH</t>
  </si>
  <si>
    <t>63bdb63007b7ff499cb0e839</t>
  </si>
  <si>
    <t>Because it would tackle the lowering of mathematics percentages of various student which would help the school</t>
  </si>
  <si>
    <t>the likely that she has a tumor is 12 percent</t>
  </si>
  <si>
    <t>0,1</t>
  </si>
  <si>
    <t>174.131.78.30</t>
  </si>
  <si>
    <t>R_1FezjxfRHSBSRHr</t>
  </si>
  <si>
    <t>5ee04a3f7dfcae39390e6553</t>
  </si>
  <si>
    <t xml:space="preserve">I think if children can benefit from being exposed to more and more complex maths, it can only help them as they get older. </t>
  </si>
  <si>
    <t>107.10.9.164</t>
  </si>
  <si>
    <t>R_3n0Fxq5X6DMY2gM</t>
  </si>
  <si>
    <t>6283f8c5dc230fe36cecf6aa</t>
  </si>
  <si>
    <t>In short order, Math in the Real World has increased student proficiency metrics with the material of mathematics from 25% to 35%.</t>
  </si>
  <si>
    <t>Around 500 times.</t>
  </si>
  <si>
    <t>Typically, 10 people.</t>
  </si>
  <si>
    <t>76.176.170.139</t>
  </si>
  <si>
    <t>R_2fy2HYjScRxW7pz</t>
  </si>
  <si>
    <t>5727e394c68b5a000e397d8c</t>
  </si>
  <si>
    <t>I wouldn't recommend it because the percentage only went up two points.</t>
  </si>
  <si>
    <t>47.50.141.206</t>
  </si>
  <si>
    <t>R_27ldKyEgozT1Ltr</t>
  </si>
  <si>
    <t>5c7f2dc436ad0a00110bb122</t>
  </si>
  <si>
    <t>The increase seems rather small and if it costs a lot of money that seems to indicate the money could be better spent elsewhere in the community if applicable.  Issues at home and within the community might be a bigger factor.</t>
  </si>
  <si>
    <t>74.80.26.200</t>
  </si>
  <si>
    <t>R_21uip7cClOTOEQv</t>
  </si>
  <si>
    <t>5ea47210b166de41ed7b1d92</t>
  </si>
  <si>
    <t xml:space="preserve">I would want to see at least a 25-30% improvement. </t>
  </si>
  <si>
    <t xml:space="preserve">It‚Äôs not a big enough improvement to warrant the cost differences. </t>
  </si>
  <si>
    <t>172.59.32.172</t>
  </si>
  <si>
    <t>R_1l9T8teVDlOzNsc</t>
  </si>
  <si>
    <t>55aeaeb3fdf99b5c769f1f7c</t>
  </si>
  <si>
    <t>I think more than a 5% increase in proficiency would be necessary.</t>
  </si>
  <si>
    <t>The small increase may be no more than a statistical quirk. Even if it is real, the increase in cost would probably be more effective deployed in other ways.</t>
  </si>
  <si>
    <t>136.34.162.93</t>
  </si>
  <si>
    <t>R_5j74T8RahYhkVa1</t>
  </si>
  <si>
    <t>62f188992fd7297065e9c2e4</t>
  </si>
  <si>
    <t>I give the program and its results a middle 50 response in terms of my recommendation.  The end result was a mere 3% over the other program which suggests to me that that may not be a significance large enough to say that the program itself created the difference and thus going with either program would likely result in very similar outcomes.</t>
  </si>
  <si>
    <t>107.122.93.46</t>
  </si>
  <si>
    <t>R_10quuS1Ie807R0j</t>
  </si>
  <si>
    <t>62f17b6b63bd9e6627a19956</t>
  </si>
  <si>
    <t>I think everyone should have the opportunity to do that.</t>
  </si>
  <si>
    <t>Four</t>
  </si>
  <si>
    <t>24.101.0.103</t>
  </si>
  <si>
    <t>R_3qK8ZIlYwEckazz</t>
  </si>
  <si>
    <t>6312c7a256366f293e745218</t>
  </si>
  <si>
    <t>Anytime that math can be utilized in a fun way like this curriculum does it is a great idea. I believe this curriculum would be great for beginners and those in need.</t>
  </si>
  <si>
    <t>208.206.3.185</t>
  </si>
  <si>
    <t>R_3EQ2SYRnEX1SaIp</t>
  </si>
  <si>
    <t>632da1ab849adc4ff9b8afd9</t>
  </si>
  <si>
    <t>It helped increase the rate of proficiency in math scores.</t>
  </si>
  <si>
    <t>75.111.197.232</t>
  </si>
  <si>
    <t>R_3kKTTUIoDdzKhUE</t>
  </si>
  <si>
    <t>5c720c7278263500015665f9</t>
  </si>
  <si>
    <t xml:space="preserve">I would recommend using Math in the Real World curriculum because research proves that more students perform at a higher level using this rather than the current Journey in Mathematics curriculum. Math in the Real World curriculum was shown to increase the proficiency level of students. </t>
  </si>
  <si>
    <t>24.163.89.104</t>
  </si>
  <si>
    <t>R_3HXsShuAEUzcj17</t>
  </si>
  <si>
    <t>5e4aa4c11e0136000af57a42</t>
  </si>
  <si>
    <t>I would recommend the new curriculum because it improves the percentage of student's being proficient at math. It's a school's job to nurture and help students, so I think it's worth paying more for a curriculum that works better.</t>
  </si>
  <si>
    <t>108.92.165.63</t>
  </si>
  <si>
    <t>R_3KZ2rbgvFvNdEe6</t>
  </si>
  <si>
    <t>5fc76a415002cb02da36e980</t>
  </si>
  <si>
    <t xml:space="preserve">I would definitely recommend they use the "Math in the Real World" curriculum. It gives the students a better chance to learn, and has been proven to work better than the old curriculum. </t>
  </si>
  <si>
    <t>73.176.101.54</t>
  </si>
  <si>
    <t>R_2432LptwQcSGc5E</t>
  </si>
  <si>
    <t>5588b9e5fdf99b7f40e7f428</t>
  </si>
  <si>
    <t xml:space="preserve">Hardly any improvement for the cost. </t>
  </si>
  <si>
    <t>166.196.93.47</t>
  </si>
  <si>
    <t>R_BSyaNwA3XtLaAQp</t>
  </si>
  <si>
    <t>63ea61a55c35c6cbadc3a995</t>
  </si>
  <si>
    <t>Educating students properly should be the number one priority, even if it's costly. At the same time, it might be beneficial to do similar studies with other curricula first, and pick which seems most promising.</t>
  </si>
  <si>
    <t>75.136.100.80</t>
  </si>
  <si>
    <t>R_1DwmlZdWlyGrtIp</t>
  </si>
  <si>
    <t>62d6e24cf74647ef51a16300</t>
  </si>
  <si>
    <t>I would be hesitant to strongly recommend it without more information, but it seems like it could potentially be more effective.</t>
  </si>
  <si>
    <t>68.95.116.158</t>
  </si>
  <si>
    <t>R_s6CFeVqdFh5CcPT</t>
  </si>
  <si>
    <t>5a1cddb4087f2e0001eafb99</t>
  </si>
  <si>
    <t xml:space="preserve">It clearly showed that it made a difference in their math understanding </t>
  </si>
  <si>
    <t xml:space="preserve">About a 50 percent chance </t>
  </si>
  <si>
    <t>204.145.232.66</t>
  </si>
  <si>
    <t>R_1pMwX6YZo8TKGdj</t>
  </si>
  <si>
    <t>63616c4bc6ecb76a9f0a5f21</t>
  </si>
  <si>
    <t>I don't think it is very applicable to the real world even though it claims to be. I am not for spending extra to get it either.</t>
  </si>
  <si>
    <t>74.67.154.73</t>
  </si>
  <si>
    <t>R_1qeQm7KCmbs7NsZ</t>
  </si>
  <si>
    <t>5ba8e2d9127ccd0001b2e3cd</t>
  </si>
  <si>
    <t>If it is an improvement, it should be implemented.</t>
  </si>
  <si>
    <t>140.186.218.53</t>
  </si>
  <si>
    <t>R_cw5CmOcOJlamtXP</t>
  </si>
  <si>
    <t>6361da4af70945e3fd1c980d</t>
  </si>
  <si>
    <t xml:space="preserve">As someone who struggled with Math in school, I would support any curriculum that would help kids with math.  </t>
  </si>
  <si>
    <t>19% chance</t>
  </si>
  <si>
    <t>172.58.96.117</t>
  </si>
  <si>
    <t>R_1DGdF3k90t3Pq5O</t>
  </si>
  <si>
    <t>6286b299b72d9737157f9a66</t>
  </si>
  <si>
    <t>A school's number one priority is to educate students. It should NOT hesitate to spend on something that will actually improve their education effectively. Math in the Real World clearly had good results, so it must be adopted.</t>
  </si>
  <si>
    <t>72.228.149.218</t>
  </si>
  <si>
    <t>R_p9TlLfNSvTfNELT</t>
  </si>
  <si>
    <t>5e3040a2d1a553000cc9147b</t>
  </si>
  <si>
    <t>The amount of improvement was negligible, and since the cost is high, I don't think a change is justified.</t>
  </si>
  <si>
    <t>98.61.98.2</t>
  </si>
  <si>
    <t>R_1oFjOAA4RJuyxM6</t>
  </si>
  <si>
    <t>615c777509f34c8977bc45a7</t>
  </si>
  <si>
    <t xml:space="preserve">Assuming my first answer was noted at an overall 35% increase rather than just say, 27%. Any improvement over the "flatlined" 25% will be considered "good" and rated accordingly. </t>
  </si>
  <si>
    <t>23.241.10.207</t>
  </si>
  <si>
    <t>R_1f1L1k567KovwTM</t>
  </si>
  <si>
    <t>612d20ea1043719545f90f62</t>
  </si>
  <si>
    <t>The 10% change doesn't seem significant enough to warrant an adoption of a program with significant cost and possibly administrative confusions.</t>
  </si>
  <si>
    <t>Ideally 10</t>
  </si>
  <si>
    <t>76.152.66.32</t>
  </si>
  <si>
    <t>R_2cqpdAU9kE6AkJV</t>
  </si>
  <si>
    <t>5fc502cb4583150009dc8a66</t>
  </si>
  <si>
    <t>I would recommend this program because the students in this district seem to need extra help in Math.Math In The Real World can help these students achieve better results.</t>
  </si>
  <si>
    <t>69.228.212.231</t>
  </si>
  <si>
    <t>R_1gRRICRKrrYUMG4</t>
  </si>
  <si>
    <t>60ff145f0dde69cb92e7c6e5</t>
  </si>
  <si>
    <t xml:space="preserve">I slightly recommend them using the Math in the Real World curriculum because it increased the test scores by 10%, but I understand why it might not be the best choice because of how expensive it would be. </t>
  </si>
  <si>
    <t>50.5.55.88</t>
  </si>
  <si>
    <t>R_2YmHXCccW0ygFOd</t>
  </si>
  <si>
    <t>60fe47b274576eb477b06e6d</t>
  </si>
  <si>
    <t>I think they should be always looking to increase students proficiency at something.  Regardless of the cost because that should be taken care of by the government.  Its time to increase our nations intelligence and not ruin a generation of kids just because of cost.</t>
  </si>
  <si>
    <t>A nickel or five cents</t>
  </si>
  <si>
    <t>172.58.159.242</t>
  </si>
  <si>
    <t>R_28P58kU1dcyafkQ</t>
  </si>
  <si>
    <t>60fcc3edae67980c341c74e9</t>
  </si>
  <si>
    <t>There are probably other influences than just the program. Are there enough teachers, what is the class size, are parents involved to ensure homework is completed etc</t>
  </si>
  <si>
    <t>1% if there are only 1000 tickets. If that is not the total tickets the % would need adjusted</t>
  </si>
  <si>
    <t>174.34.211.22</t>
  </si>
  <si>
    <t>R_1KdRa31mN2GafeT</t>
  </si>
  <si>
    <t>5f4d2e57030fef9b371373a5</t>
  </si>
  <si>
    <t>It costs more but it still isn't giving good results. Need to find a better solution.</t>
  </si>
  <si>
    <t>71.93.14.20</t>
  </si>
  <si>
    <t>R_2YbkoMN0hNqD28z</t>
  </si>
  <si>
    <t>6286575f2d911d52cff2db4e</t>
  </si>
  <si>
    <t>It does provide benefit, however the benefit is minimal, and if it costs a lot more to an already strained budget, I wouldn't recommend it. So, it depends on their overall budget, but I do believe improvement is always a good thing, even minor improvement.</t>
  </si>
  <si>
    <t>Statistically speaking, 500 / 1000 rolls. This would be unlikely to occur spot-on, however.</t>
  </si>
  <si>
    <t>10 people. 1 person in every 100. 10 x 100 = 1,000</t>
  </si>
  <si>
    <t xml:space="preserve">10 percent. </t>
  </si>
  <si>
    <t>72.220.84.202</t>
  </si>
  <si>
    <t>R_1FxeNqIF9EI4deT</t>
  </si>
  <si>
    <t>5e387dba03aa45000bc6e272</t>
  </si>
  <si>
    <t>The improvement with this curriculum is slight at best and could be just a margin of error.</t>
  </si>
  <si>
    <t>68.189.33.227</t>
  </si>
  <si>
    <t>R_3KC53sAdXTC8TCz</t>
  </si>
  <si>
    <t>5b05e0d131cebe000177c38e</t>
  </si>
  <si>
    <t>It did seem to increase the student scores. However, It was only about 10% so it depends how much more it would cost to use this. So I am undecided if it is worth it or not.</t>
  </si>
  <si>
    <t>162.231.57.35</t>
  </si>
  <si>
    <t>R_1dBnrPiSti6DtpO</t>
  </si>
  <si>
    <t>59baa339ab8d830001fe56f5</t>
  </si>
  <si>
    <t>It seems like it helped increase math proficiency, although it doesn't say by how much. But it depends if the math is useful. As an adult male, I feel like math was a complete waste of time except for the basic stuff.</t>
  </si>
  <si>
    <t>69.248.179.94</t>
  </si>
  <si>
    <t>R_2RaXyzwabtZ7lEg</t>
  </si>
  <si>
    <t>60c2d24ec38313ef7ac18471</t>
  </si>
  <si>
    <t>Even though it cost more money the kids got more out of it. It's better to spend a little more if that mean the kids will actually get a better education.</t>
  </si>
  <si>
    <t>.01%100</t>
  </si>
  <si>
    <t>75.70.23.34</t>
  </si>
  <si>
    <t>R_1i2ILcRRNw7STqQ</t>
  </si>
  <si>
    <t>63e171a62f6877fedb4b53fa</t>
  </si>
  <si>
    <t xml:space="preserve">I'm honestly not too sure. There was only a 2% increase for math proficiency level. I'm pretty 50/50 on this. </t>
  </si>
  <si>
    <t>75.243.206.142</t>
  </si>
  <si>
    <t>R_DdXTvuygjyt1LXP</t>
  </si>
  <si>
    <t>615374298783c874703e15a6</t>
  </si>
  <si>
    <t xml:space="preserve">The increase was only 2%, which doesn't seem to be so meaningful </t>
  </si>
  <si>
    <t>98.186.195.68</t>
  </si>
  <si>
    <t>R_9BrghG4KP5A3j7X</t>
  </si>
  <si>
    <t>5d815ba661013f00170a8def</t>
  </si>
  <si>
    <t>Because the percentage of students who had the Math in the Real World curriculum after testing at the end of the year increased over the 25% of students who had the Journey into Mathematics curriculum.</t>
  </si>
  <si>
    <t>47.198.237.183</t>
  </si>
  <si>
    <t>R_3gUEokIJxBLNvMM</t>
  </si>
  <si>
    <t>63016f56ab21f3a00a3b08d1</t>
  </si>
  <si>
    <t>If the curriculum can be improved by spending funds, it should be done. Children will benefit from this curriculum and in the long run, making this small change could make a big difference.</t>
  </si>
  <si>
    <t>dont know</t>
  </si>
  <si>
    <t>30 seconds</t>
  </si>
  <si>
    <t>174.247.253.48</t>
  </si>
  <si>
    <t>R_2dAf9abML73dxk2</t>
  </si>
  <si>
    <t>60da85dbae74ca4d3619b17c</t>
  </si>
  <si>
    <t xml:space="preserve">Don't agree with new approach </t>
  </si>
  <si>
    <t>1 in 1000</t>
  </si>
  <si>
    <t>1in9</t>
  </si>
  <si>
    <t>76.126.3.118</t>
  </si>
  <si>
    <t>R_WiK8eCwKVnW3EoF</t>
  </si>
  <si>
    <t>5fe33b2f46872ef2fb28db7b</t>
  </si>
  <si>
    <t xml:space="preserve">The improvement in student outcomes is very small, and the cost of replacing the curriculum is too great to make it worth it. </t>
  </si>
  <si>
    <t>96.38.10.65</t>
  </si>
  <si>
    <t>R_XRfIYjaPG09rhHr</t>
  </si>
  <si>
    <t>5c58e01e6f4ec5000164c35a</t>
  </si>
  <si>
    <t>There are results that show that the change in curriculum helped.</t>
  </si>
  <si>
    <t>45.25.80.89</t>
  </si>
  <si>
    <t>R_2YPzWfVtprRjtae</t>
  </si>
  <si>
    <t>60f07d8c1de076bcea9e0d44</t>
  </si>
  <si>
    <t>It improved reading proficiency today, tomorrow it will improve the rest of the world.</t>
  </si>
  <si>
    <t>172.59.24.114</t>
  </si>
  <si>
    <t>R_2YaeuKUyzjKqQWl</t>
  </si>
  <si>
    <t>6361acb07d0d241c339ab52b</t>
  </si>
  <si>
    <t>school not supposed to be funny and easy.</t>
  </si>
  <si>
    <t>67.183.3.205</t>
  </si>
  <si>
    <t>R_9mC4rnpjYrdfFmh</t>
  </si>
  <si>
    <t>607cb8d1644bc7d3d41dfbc6</t>
  </si>
  <si>
    <t>5 percentage point increase</t>
  </si>
  <si>
    <t xml:space="preserve">I think that an increase from 25 - 27% is not compelling. This may not be attributed to the change in curriculum. The amount could be chance. I think the testing period should be repeated to see if the results can be duplicated. </t>
  </si>
  <si>
    <t>174.87.37.96</t>
  </si>
  <si>
    <t>R_21n9LGxWXUt4DHk</t>
  </si>
  <si>
    <t>5e1ded90e47974143a8d81da</t>
  </si>
  <si>
    <t>Based on research scores did not increase.</t>
  </si>
  <si>
    <t>Very rare chance.</t>
  </si>
  <si>
    <t>172.58.122.98</t>
  </si>
  <si>
    <t>R_3hsuh8pMU6udFDL</t>
  </si>
  <si>
    <t>6121e36192d8fd0203910a30</t>
  </si>
  <si>
    <t xml:space="preserve">It would improve the student math scores and that helps the students and reflects well on the school. </t>
  </si>
  <si>
    <t>166.198.21.122</t>
  </si>
  <si>
    <t>R_1op7yybhJziSiv9</t>
  </si>
  <si>
    <t>603e65fdf76712ed931cadd3</t>
  </si>
  <si>
    <t>I think math is critical, especially at lower levels, so the 10% improvement in proficiency is valuable. However, the curriculum does cost significantly more and information on the rest of the budget is not available.</t>
  </si>
  <si>
    <t>1.05$</t>
  </si>
  <si>
    <t>74.134.193.228</t>
  </si>
  <si>
    <t>R_2Bx1auFuiSgAefg</t>
  </si>
  <si>
    <t>60de9c66c01a9de405e9efb0</t>
  </si>
  <si>
    <t>i AM UNDECIDED, MORE TESTING NEEDS DONE FIRST, A ONE OF TEST AND THE RESULTS OF THAT ONE TEST DO NO GUARANTEE THAT THE IMPROVEMENT WILL CONTINUE EVERY TIME THE ALTERNATE METHOD IS USED, IT COULD BE A RANDOM, ONE TIME EVENT.</t>
  </si>
  <si>
    <t>174.215.160.62</t>
  </si>
  <si>
    <t>R_1LvuWhlTLPVSayj</t>
  </si>
  <si>
    <t>62b0b6c050a175081568bf35</t>
  </si>
  <si>
    <t xml:space="preserve">It has been shown to increase math proficiency in the students </t>
  </si>
  <si>
    <t>75.58.1.144</t>
  </si>
  <si>
    <t>R_bKnj4t85i9ApuUx</t>
  </si>
  <si>
    <t>60ce9fa3d9f9a088647a62ba</t>
  </si>
  <si>
    <t>Because it did not make much of a difference for the apparent cost it will take</t>
  </si>
  <si>
    <t>98.5.118.30</t>
  </si>
  <si>
    <t>R_1o8aTccYyAxN7ly</t>
  </si>
  <si>
    <t>5786d6076475d400015a959e</t>
  </si>
  <si>
    <t>It's obvious what they are doing now isn't working and anything that can improve student's math proficiency is worth trying.</t>
  </si>
  <si>
    <t>73.136.28.205</t>
  </si>
  <si>
    <t>R_3NCZxgBb5jSAmUY</t>
  </si>
  <si>
    <t>600735ac42969f1dbea8a16f</t>
  </si>
  <si>
    <t>I would recommend using the Math in the Reald world Curriculum because it has clearly proven to be effective so far since being implemented over the other one.</t>
  </si>
  <si>
    <t>76.32.157.135</t>
  </si>
  <si>
    <t>R_1Fli09WZy2Oh18l</t>
  </si>
  <si>
    <t>63ead6f452e11793b2f8dab8</t>
  </si>
  <si>
    <t>It seems to be more effective than the current method. The children taking the other program did not see much improvement and math in the real world showed an increase.</t>
  </si>
  <si>
    <t>137.164.146.6</t>
  </si>
  <si>
    <t>R_2XidKv50UyDYJJj</t>
  </si>
  <si>
    <t>569cf2ee9e8363000c3010bd</t>
  </si>
  <si>
    <t>It only increased test scores by 2 percent and it is extremely expensive. It should have done a much better job to increase test scores.</t>
  </si>
  <si>
    <t>90 percent</t>
  </si>
  <si>
    <t>24.242.243.124</t>
  </si>
  <si>
    <t>R_2ElZuMMrTqaYxmI</t>
  </si>
  <si>
    <t>62865cb9d41a9e2aaf141c84</t>
  </si>
  <si>
    <t>I worry that the solution will be to dumb down the math to the lowest level to look like kids are doing better.</t>
  </si>
  <si>
    <t>74.5.145.34</t>
  </si>
  <si>
    <t>R_3rVv7NSNIYnpuIR</t>
  </si>
  <si>
    <t>640da58d1ce7d6bee643de7b</t>
  </si>
  <si>
    <t>I'd say to use the math in the real world curriculum, kids these days don't know how to do simple math because the teachers don't teach them right anymore.</t>
  </si>
  <si>
    <t>1 out of 5</t>
  </si>
  <si>
    <t>71.56.221.121</t>
  </si>
  <si>
    <t>R_2wThHiByt7Wj8yN</t>
  </si>
  <si>
    <t>5fb6945273911600099a16b2</t>
  </si>
  <si>
    <t>I think they should adopt the curriculum even though it will cost more money, i think its in the kids best interest to give them a higher valued education</t>
  </si>
  <si>
    <t>68.7.71.138</t>
  </si>
  <si>
    <t>R_1jvriEMflgPyb3D</t>
  </si>
  <si>
    <t>628f9ef985fa6d3dc816672c</t>
  </si>
  <si>
    <t>For a mere 2% increase in results from a one time test, I don't think the gains justify the heavy economic burden the school district would be undertaking to implement the new curriculum.</t>
  </si>
  <si>
    <t>67.86.38.20</t>
  </si>
  <si>
    <t>R_25N44Zt3RKYIRUx</t>
  </si>
  <si>
    <t>5c41fb6f848dbb000157e2e5</t>
  </si>
  <si>
    <t>I feel other curriculum should be considered as well if that is a option before this is used</t>
  </si>
  <si>
    <t>207.255.222.37</t>
  </si>
  <si>
    <t>R_3mlSisUv0KtG2Ry</t>
  </si>
  <si>
    <t>5aeeb4903c80f200013af2ed</t>
  </si>
  <si>
    <t xml:space="preserve">Math in the real world saw an increase where in the other option did not have an increase. </t>
  </si>
  <si>
    <t>24.91.180.31</t>
  </si>
  <si>
    <t>R_vGlZ8af7uNjd2jT</t>
  </si>
  <si>
    <t>55a55bd7fdf99b790558627c</t>
  </si>
  <si>
    <t>It didn't have a meaningful impact on scores. Also I would need more information about the curriculum -  what it covers and how it differs from the current curriculum.</t>
  </si>
  <si>
    <t>73.219.0.64</t>
  </si>
  <si>
    <t>R_1mlniSB3gJSFOBu</t>
  </si>
  <si>
    <t>641856aedde0483939802302</t>
  </si>
  <si>
    <t>While the improvement is great and having the best possible program is ideal, a 2% gap doesn't justify significantly higher costs.</t>
  </si>
  <si>
    <t>98.17.175.177</t>
  </si>
  <si>
    <t>R_22RnELP8DFoOXK3</t>
  </si>
  <si>
    <t>5db4a409d27e05000f0eaa00</t>
  </si>
  <si>
    <t xml:space="preserve">i would use it because it helped the scores a little bit better it only 2 percent but they have not been using it that long </t>
  </si>
  <si>
    <t>73.139.216.99</t>
  </si>
  <si>
    <t>R_3nd5Ipaw2FPubUS</t>
  </si>
  <si>
    <t>5f77c6a1a110ce346dc016ec</t>
  </si>
  <si>
    <t>I would recommend the district use the Math in the real world as it would help more students reach profieciancy</t>
  </si>
  <si>
    <t>174.168.249.212</t>
  </si>
  <si>
    <t>R_PS4hqklfi1a4qrL</t>
  </si>
  <si>
    <t>63d1c1b521f75a8a9f14160f</t>
  </si>
  <si>
    <t>If it raises it 2 percentage points, then maybe the next year it gets even higher.  I think we have to use whatever tools we have to help kids get better at math.</t>
  </si>
  <si>
    <t>166.198.198.67</t>
  </si>
  <si>
    <t>R_3lMT3Gh3JZsB0G1</t>
  </si>
  <si>
    <t>5ff5f6c52171e10f72d3610c</t>
  </si>
  <si>
    <t xml:space="preserve">Schools already struggle financially with limited funding. While 2% increase is better than nothing, it‚Äôs possible the district could allocate those funds towards other resources that could help the district achieve a more significant increase. </t>
  </si>
  <si>
    <t>66.61.96.10</t>
  </si>
  <si>
    <t>R_bpIuPXPINYIOkOB</t>
  </si>
  <si>
    <t>5be9ce784f251d00015ce92e</t>
  </si>
  <si>
    <t>It boosted the percentage, but at a significant cost. You'd have to do a cost-benefit analysis.</t>
  </si>
  <si>
    <t>74.192.194.20</t>
  </si>
  <si>
    <t>R_1oz2yES6WZnpJAq</t>
  </si>
  <si>
    <t>626999199c9e21ac3bb4100f</t>
  </si>
  <si>
    <t>Because it seems like a better method. And most people don't use alot of what they are taught to begin with. Just teach what they know they will need. And leave the rest for the advanced students.</t>
  </si>
  <si>
    <t>70.112.57.72</t>
  </si>
  <si>
    <t>R_1LLSSuBVQzUvtwx</t>
  </si>
  <si>
    <t>5c2fcf0aa945190001be8c68</t>
  </si>
  <si>
    <t>I would recommend it because there has been data to support students doing better.</t>
  </si>
  <si>
    <t>98.34.154.178</t>
  </si>
  <si>
    <t>R_UxycKY2LNvDplzH</t>
  </si>
  <si>
    <t>5ec6d423fc10270f0bbbc90e</t>
  </si>
  <si>
    <t>I would want to see the bottom line number that it would cost the district to replace the curriculum. A 10% increase in performance is noteworthy, but it must be weighed against the cost. If it would come at a significant cost, I would think that it would be better to find a different curriculum that maybe would increase performance even more than just 10%.</t>
  </si>
  <si>
    <t>73.160.213.88</t>
  </si>
  <si>
    <t>R_2D09f4Tee46Ty9r</t>
  </si>
  <si>
    <t>6415b71b73e494b88ef767e0</t>
  </si>
  <si>
    <t>The increase in test scores is large in the students learning the new curriculum. I'd strongly recommend this be taught to my own kids.</t>
  </si>
  <si>
    <t>174.210.236.23</t>
  </si>
  <si>
    <t>R_9Abd1XoctBi2lqN</t>
  </si>
  <si>
    <t>6146b99c248d3ffdaa898d36</t>
  </si>
  <si>
    <t xml:space="preserve">The current curriculum isn‚Äôt working. The 10% increase in proficiency for the new program isn‚Äôt exactly great, but it‚Äôs better than the 25% proficiency of the current curriculum. </t>
  </si>
  <si>
    <t>47.215.136.21</t>
  </si>
  <si>
    <t>R_pfrggyN161d9aNj</t>
  </si>
  <si>
    <t>5e9a600390f4ad0f0f200993</t>
  </si>
  <si>
    <t xml:space="preserve">It has proven to help child do better at math. </t>
  </si>
  <si>
    <t>184.91.199.110</t>
  </si>
  <si>
    <t>R_3iqWdQeOu0d5Op8</t>
  </si>
  <si>
    <t>615df4a8253f3bfee4097f9e</t>
  </si>
  <si>
    <t>There did not seem to be significant changes after use.</t>
  </si>
  <si>
    <t>likely she does not.</t>
  </si>
  <si>
    <t>20 minutes</t>
  </si>
  <si>
    <t>173.17.62.139</t>
  </si>
  <si>
    <t>R_qQpbxjl6hNKpg09</t>
  </si>
  <si>
    <t>63d413840c9c512ac3dfc533</t>
  </si>
  <si>
    <t>I would recommend it for now, but would do further testing to see if Math in the Real World would surpass Journey in Mathmatics in due time. I feel like their needs to be more testing, but to see no change on the first sample size isn't that bad of a result. It also gives students a different learning method they could feel comfortable with.</t>
  </si>
  <si>
    <t>99.37.194.74</t>
  </si>
  <si>
    <t>R_3Dng594hlIjHPs7</t>
  </si>
  <si>
    <t>5ee5777de62eb32c84555b3b</t>
  </si>
  <si>
    <t>the school district only had 25% proficiency which is very bad.</t>
  </si>
  <si>
    <t>72.173.98.206</t>
  </si>
  <si>
    <t>R_1Kro9jd6Ztklzx2</t>
  </si>
  <si>
    <t>5ade6f4709eae2000112e9e2</t>
  </si>
  <si>
    <t xml:space="preserve">Cost shouldn't be relevant when it comes to a significant increase in students success </t>
  </si>
  <si>
    <t>76.167.214.170</t>
  </si>
  <si>
    <t>R_3CNm2EgmtsOYexH</t>
  </si>
  <si>
    <t>5f4d3869219f129c586b5f75</t>
  </si>
  <si>
    <t xml:space="preserve">Students using math in the real world performed at a slightly higher level after testing, thus demonstrating it's a superior curriculum. </t>
  </si>
  <si>
    <t>174.203.245.136</t>
  </si>
  <si>
    <t>R_OdmQt4Qla3C8WbL</t>
  </si>
  <si>
    <t>5ecbdb9194a726075eb697c2</t>
  </si>
  <si>
    <t>Math in the Real World improved scores while the other program failed to make a positive impact. That is why I would support it.</t>
  </si>
  <si>
    <t>172.114.41.131</t>
  </si>
  <si>
    <t>R_25SieO7BLLYiLqz</t>
  </si>
  <si>
    <t>6301c3ad615e5e0f5f371624</t>
  </si>
  <si>
    <t>I would recommend using Math in the Real World because there was an increase in the number of students who were proficient. That said, the article didn't mention the exact increase in percent, so I only slightly recommended it.</t>
  </si>
  <si>
    <t>Half of the time, so 500 times.</t>
  </si>
  <si>
    <t>9 out of 10 chance that she actually has a tumor.</t>
  </si>
  <si>
    <t>174.84.72.144</t>
  </si>
  <si>
    <t>R_2CBPrimZsjj2p0M</t>
  </si>
  <si>
    <t>55c6bd08fdf99b7ba403d54f</t>
  </si>
  <si>
    <t xml:space="preserve">It's an improvement, which is why I lightly recommended it, but you still only have 35 percent proficiency, that's not good, especially if it's expensive. </t>
  </si>
  <si>
    <t>35.146.13.134</t>
  </si>
  <si>
    <t>R_1CDBph6939vGbxb</t>
  </si>
  <si>
    <t>60566620bb888e88b6c157ee</t>
  </si>
  <si>
    <t>There is not really enough information provided to make a determination as to whether or not I would recommend that the Lakeview School District use the Math in the Real World curriculum. The article only says that the percentage of students performing at a proficient level increased, but does not say how much the percentage increased. I would need to know how much the percentage increased so that I could weigh that against the significantly higher cost associated with implementing the new curriculum.</t>
  </si>
  <si>
    <t>174.205.162.141</t>
  </si>
  <si>
    <t>R_233oodmjIukbyou</t>
  </si>
  <si>
    <t>61006b12e907a16fae1a9170</t>
  </si>
  <si>
    <t>Not only was it proven to be more effective but it applies math to real life, which will be way more beneficial in the long run to these students.</t>
  </si>
  <si>
    <t>172.56.113.148</t>
  </si>
  <si>
    <t>R_1EcUNaAYp91FQnL</t>
  </si>
  <si>
    <t>5c55b95b91c0ad0001cf86ab</t>
  </si>
  <si>
    <t>Moving from 25% to 35% doesn't seem like a big enough improvement if the switching cost is going to be very high. It seems like you would want a curriculum to produce more proficient students, so I would try to find another curriculum first.</t>
  </si>
  <si>
    <t>172.58.86.210</t>
  </si>
  <si>
    <t>R_3EsqBI9PYb1SEan</t>
  </si>
  <si>
    <t>5a63bd0113898300014b3bb9</t>
  </si>
  <si>
    <t>An increase from 25% to 27% is pretty paltry, likely not worth the expense - depending on how many actual students that increase is.</t>
  </si>
  <si>
    <t>66.212.210.51</t>
  </si>
  <si>
    <t>R_2tKZoYuK4iaMS1E</t>
  </si>
  <si>
    <t>6335c7aa782a6330c0f83437</t>
  </si>
  <si>
    <t>You need to find a much better curriculum rather than spending the resources on a 2% increase.</t>
  </si>
  <si>
    <t>24.1.108.241</t>
  </si>
  <si>
    <t>R_2wKqoURKg1pGOv7</t>
  </si>
  <si>
    <t>60ff8095fe0067960a67ab9b</t>
  </si>
  <si>
    <t>I would recommend it because after the study was done it had showed an increase in the proficiency in math for the students who used it and it could be possibly very useful</t>
  </si>
  <si>
    <t>74.96.61.186</t>
  </si>
  <si>
    <t>R_3s6dBcvwDxmzn4B</t>
  </si>
  <si>
    <t>62e01fdb9adf283ff375724f</t>
  </si>
  <si>
    <t>The benefits don't seem to outweigh the costs. There was only a 2% increase in performance.</t>
  </si>
  <si>
    <t>97.124.72.44</t>
  </si>
  <si>
    <t>R_1GtL6Ciz1IQti2B</t>
  </si>
  <si>
    <t>614e2791b9cd4f7631f6b991</t>
  </si>
  <si>
    <t xml:space="preserve">First off, while I think our entire system for education, including the standardized testing, is complete bullshit, I am hoping that the "real world" portion of the curriculum actually applies to more than just the title. If so, the 2% bump in testing is just a bonus but worth the investment. </t>
  </si>
  <si>
    <t>a fraction of a percent. like, .001 or something? 20</t>
  </si>
  <si>
    <t>172.58.122.82</t>
  </si>
  <si>
    <t>R_3WMprnoeU0BxCM1</t>
  </si>
  <si>
    <t>628aaf5e459d5ee7403a2151</t>
  </si>
  <si>
    <t xml:space="preserve">I would say at least 10% higher. </t>
  </si>
  <si>
    <t xml:space="preserve">I believe the 2% increase doesn‚Äôt really justify the  increased costs that would come from switching curriculum. I think maybe more research in to more math curriculum options is the best thing for them to do. </t>
  </si>
  <si>
    <t xml:space="preserve">I‚Äôd say possibly up to 500 rolls. </t>
  </si>
  <si>
    <t xml:space="preserve">About 10 people. </t>
  </si>
  <si>
    <t xml:space="preserve">100 people </t>
  </si>
  <si>
    <t>There‚Äôs a 90% chance she has a tumor</t>
  </si>
  <si>
    <t xml:space="preserve">5 cents </t>
  </si>
  <si>
    <t>71.191.220.191</t>
  </si>
  <si>
    <t>R_3m7yPmt49ySdKwq</t>
  </si>
  <si>
    <t>5bcb1a815c2b810001dc2cf7</t>
  </si>
  <si>
    <t xml:space="preserve">The article said it would mean a significant increase in budget and the difference in performance was 2% (25% to 27%) so almost 3/4 of the students would still not be proficient making it an inefficient use of funds. </t>
  </si>
  <si>
    <t>98.234.144.169</t>
  </si>
  <si>
    <t>R_1OqJIBWvDARs1Pc</t>
  </si>
  <si>
    <t>63e554b7631c8ec3ce069e32</t>
  </si>
  <si>
    <t>Math is important skills to develop at young age. It trains the brain and make new connections. It's better to train kids at young age then try to let them learn later. Poor performance is hard to catchup if they are behind. They will feel inferior to others better than them and loose interest in learning. It affects them long term.</t>
  </si>
  <si>
    <t>.05 cents</t>
  </si>
  <si>
    <t>136.56.102.104</t>
  </si>
  <si>
    <t>R_WjLaP8VJi1Hmwh3</t>
  </si>
  <si>
    <t>5dd05b3a381b6714036968f7</t>
  </si>
  <si>
    <t xml:space="preserve">I recommend that the Lakeview School District uses the Math in the Real World curriculum because the research study showed that students who completed this curriculum had an increase in their proficiency level compared to those who completed the original curriculum. </t>
  </si>
  <si>
    <t>72.107.31.45</t>
  </si>
  <si>
    <t>R_3r0WdryXHtMYNn8</t>
  </si>
  <si>
    <t>63e6cacd3904013406968477</t>
  </si>
  <si>
    <t>It wasn't even close to a decent increase in improvement so it's not really worth the extra cost. If they want more of an improvement they should get something else</t>
  </si>
  <si>
    <t>It should technically roll an even number 500 times.</t>
  </si>
  <si>
    <t>About 10 people should win a $10 prize.</t>
  </si>
  <si>
    <t>.1% win a car</t>
  </si>
  <si>
    <t>90% chance she actually has a tumor</t>
  </si>
  <si>
    <t>75.166.253.123</t>
  </si>
  <si>
    <t>R_27sps2JuVRFpidD</t>
  </si>
  <si>
    <t>6176ad85f02bff3e92952593</t>
  </si>
  <si>
    <t>I believe it will work</t>
  </si>
  <si>
    <t>Very likely</t>
  </si>
  <si>
    <t>69.250.72.32</t>
  </si>
  <si>
    <t>R_2tl1he5yATepDDr</t>
  </si>
  <si>
    <t>62e057323b4ee04dd8f508f6</t>
  </si>
  <si>
    <t>I would slightly lean towards changing the curriculum because even though it was very minor, there was an increase in math proficiency. I also think real world applications are helpful for children to understand every subject, not just math.</t>
  </si>
  <si>
    <t>72.184.48.174</t>
  </si>
  <si>
    <t>R_2EAFCAuoL1fjLym</t>
  </si>
  <si>
    <t>63279085ec65a992cc521187</t>
  </si>
  <si>
    <t xml:space="preserve">It had good results </t>
  </si>
  <si>
    <t>174.235.209.145</t>
  </si>
  <si>
    <t>R_2dG49TNwgKTz34U</t>
  </si>
  <si>
    <t>6346ec54d92718e50403c433</t>
  </si>
  <si>
    <t>I don‚Äôt think students showed enough improvement on average to justify implementing the curriculum</t>
  </si>
  <si>
    <t>24.193.81.122</t>
  </si>
  <si>
    <t>R_3aSLoJcWT2STMU9</t>
  </si>
  <si>
    <t>5f5588eb6fb28c959e202247</t>
  </si>
  <si>
    <t>I'm not sure. It offers some improvement. But it only increased proficiency from 25% to 35% which still isn't good. Also, it's costly for a small improvement.</t>
  </si>
  <si>
    <t>75.131.124.13</t>
  </si>
  <si>
    <t>R_2zkC4Z1shjSXscB</t>
  </si>
  <si>
    <t>5ce973ea6c890100012ea2ae</t>
  </si>
  <si>
    <t xml:space="preserve">If it would cost significantly more for the district to use the Math in the Real World Curriculum then they probably shouldn't as it seemed to have only raised the amount of proficient students by 2%. </t>
  </si>
  <si>
    <t>50 minutes</t>
  </si>
  <si>
    <t>174.215.144.139</t>
  </si>
  <si>
    <t>R_2QPtuWXRbWLlK7q</t>
  </si>
  <si>
    <t>5e767774d5274000082f5582</t>
  </si>
  <si>
    <t>Even though it will cost more, it is statistically proven to be a more beneficial curriculum to the students. To me that is the most important thing and in the best interest of the children.</t>
  </si>
  <si>
    <t>68.119.212.6</t>
  </si>
  <si>
    <t>R_2S6UmDNrVsUjacg</t>
  </si>
  <si>
    <t>62bdeca4922726b49ec42dc3</t>
  </si>
  <si>
    <t>It was only a 2% increase ins cores which is pitiful. The article also ends by stating that implementing the new strategy will cost even more than the current program. Not hank you.</t>
  </si>
  <si>
    <t>About 50 percent of the time.</t>
  </si>
  <si>
    <t>Roughly about 10 people.</t>
  </si>
  <si>
    <t>.10 percent of tickets.</t>
  </si>
  <si>
    <t>20 percent chance or 1 in 5.</t>
  </si>
  <si>
    <t>Roughly 100 people.</t>
  </si>
  <si>
    <t>It would be with a confidence of about 99% that she does indeed have a tumor.</t>
  </si>
  <si>
    <t>184.91.127.17</t>
  </si>
  <si>
    <t>R_9TDAZFeQ2ODTycp</t>
  </si>
  <si>
    <t>5a0af6457ecfc50001be11da</t>
  </si>
  <si>
    <t>The percentage of students at a proficient level increased by using this curriculum, so I think it will be more effective even though it would cost more.</t>
  </si>
  <si>
    <t>108.51.63.16</t>
  </si>
  <si>
    <t>R_UGQaAhfdISSxsJj</t>
  </si>
  <si>
    <t>603e97018512c2f752512f0b</t>
  </si>
  <si>
    <t>Anything that incurs big costs is always problematic without a ton of support and data that this is a good ROI.</t>
  </si>
  <si>
    <t>70.121.110.85</t>
  </si>
  <si>
    <t>R_1k1FX5UDOyrMDUQ</t>
  </si>
  <si>
    <t>60f9d5493e3fcfd6b3abb2f4</t>
  </si>
  <si>
    <t>I think the children should have access to whatever they need to have higher success rates.</t>
  </si>
  <si>
    <t>174.161.78.19</t>
  </si>
  <si>
    <t>R_1NCS4plQjnyRRg2</t>
  </si>
  <si>
    <t>62aa4aba6960dfb1b61f7583</t>
  </si>
  <si>
    <t>The difference wasn't enough to justify the price of it.</t>
  </si>
  <si>
    <t>75.142.150.25</t>
  </si>
  <si>
    <t>R_sBzrRfOR3bn6ctH</t>
  </si>
  <si>
    <t>59f21fe8cc514a00011a66cf</t>
  </si>
  <si>
    <t>It doesn't justify a significant increase in spending.</t>
  </si>
  <si>
    <t>24.210.225.64</t>
  </si>
  <si>
    <t>R_09hZH4VQ0FsA5ot</t>
  </si>
  <si>
    <t>62bd2a704c56e669cce7ce56</t>
  </si>
  <si>
    <t>It mentions it would cost significantly more and only minimally improves results.</t>
  </si>
  <si>
    <t>98.171.40.191</t>
  </si>
  <si>
    <t>R_3rZAmjkUNJAGwtx</t>
  </si>
  <si>
    <t>63c16f0c495b7a4849e44651</t>
  </si>
  <si>
    <t>It may not sound like much of an improvement but a couple of percentage points across and entire student body is a good amount of kids who will be performing better</t>
  </si>
  <si>
    <t>174.202.231.18</t>
  </si>
  <si>
    <t>R_2y33hOEuBtWkzez</t>
  </si>
  <si>
    <t>5f3e5e066dfaa70464615447</t>
  </si>
  <si>
    <t>I think that anything that will help the student to improve should be used.</t>
  </si>
  <si>
    <t>73.120.149.40</t>
  </si>
  <si>
    <t>R_1hWt4Vvk7eOhJpn</t>
  </si>
  <si>
    <t>55c233f8fdf99b3d97521979</t>
  </si>
  <si>
    <t xml:space="preserve">Students did better on the program. </t>
  </si>
  <si>
    <t>n/a</t>
  </si>
  <si>
    <t>66.90.191.31</t>
  </si>
  <si>
    <t>R_UmDTksbVyJepH5D</t>
  </si>
  <si>
    <t>5c97df1f9e1eff001662ed96</t>
  </si>
  <si>
    <t xml:space="preserve">I think they need to find new curriculum for sure i'm just not sure that this is the right one. It didn't make that big of a difference. </t>
  </si>
  <si>
    <t>70.171.51.102</t>
  </si>
  <si>
    <t>R_1BQptEPsl1CdcoM</t>
  </si>
  <si>
    <t>59ea4e1116ecc200016ff81e</t>
  </si>
  <si>
    <t xml:space="preserve">It has a good need and I am strongly likely to recommend it. </t>
  </si>
  <si>
    <t>107.115.203.14</t>
  </si>
  <si>
    <t>R_1FJrXePPVynXeGD</t>
  </si>
  <si>
    <t>5f123b410a3c0716f25eeb43</t>
  </si>
  <si>
    <t xml:space="preserve">The increase in math proficiency is not significant enough cause to make such a major change to the curriculum. There are other factors that can be considered such as teacher enthusiasm when using a new curriculum, demographic information, and instructional delivery methods that could also be considered. </t>
  </si>
  <si>
    <t xml:space="preserve">50% of the time, statistically. </t>
  </si>
  <si>
    <t>96.42.100.229</t>
  </si>
  <si>
    <t>R_3ey2gAqY9HPnSri</t>
  </si>
  <si>
    <t>63d94472927e6eb086a7aa36</t>
  </si>
  <si>
    <t>2% doesn't sounds like a lot but it adds up to a lot of students over time that will be more proficient at math.</t>
  </si>
  <si>
    <t>172.56.209.44</t>
  </si>
  <si>
    <t>R_1Nk6JCeiwv5SgL7</t>
  </si>
  <si>
    <t>611323bebc984e2d39dc8958</t>
  </si>
  <si>
    <t xml:space="preserve">It seems that the increase was minimal but an increase nonetheless. Is it really worth the financial burden to adjust the curriculum for 2 percent?  On a personal level, yes, absolutely but from a business level, I don't think so. </t>
  </si>
  <si>
    <t xml:space="preserve">20 percent </t>
  </si>
  <si>
    <t>47.133.72.11</t>
  </si>
  <si>
    <t>R_YRhtZJaiIbgeu7D</t>
  </si>
  <si>
    <t>5a00a8160fff620001a6b776</t>
  </si>
  <si>
    <t xml:space="preserve">As it stands I wouldn't recommend it, because a 2% increase in overall proficiency levels is not much, and might be explained by other things. With the info I have, I would say that the money that would be spent on the new curriculum would probably be better spent on something more effective. Though I would like to know more about the implementation of the new curriculum, and whether tech familiarity (or lack there of) might have impacted their ability to use it effectively. </t>
  </si>
  <si>
    <t>184.53.0.24</t>
  </si>
  <si>
    <t>R_30jiMZthoVFj0VG</t>
  </si>
  <si>
    <t>5e07a0898dffa00ff1aaf60f</t>
  </si>
  <si>
    <t>I don't feel that that is the issue. I feel that there is a learning curve that is not being taught so it's not the book that is demonstrating the proficiency. The books are doing what they are supposed to do, there is something else going on that needs to be looked at.</t>
  </si>
  <si>
    <t>172.58.171.101</t>
  </si>
  <si>
    <t>R_ZCBvfcSmtwW1EVX</t>
  </si>
  <si>
    <t>63b6be1516a2c70bb43fbccd</t>
  </si>
  <si>
    <t xml:space="preserve">The increase in test scores didn‚Äôt seem ver significant. Although it does seem like they need to intervene in some way and choose a different curriculum, I‚Äôm not sure if Math in the Real World is the one they should switch to </t>
  </si>
  <si>
    <t>73.18.4.183</t>
  </si>
  <si>
    <t>R_1ISidqd2DOBhCEj</t>
  </si>
  <si>
    <t>62f91b7367c06a4a0a84e589</t>
  </si>
  <si>
    <t>Little significant improvement</t>
  </si>
  <si>
    <t>0.11 in 5</t>
  </si>
  <si>
    <t>one in five</t>
  </si>
  <si>
    <t>76.29.111.76</t>
  </si>
  <si>
    <t>R_3MnBctTKaoxpuDq</t>
  </si>
  <si>
    <t>63893361eb75b9bdcee7cc27</t>
  </si>
  <si>
    <t>I appreciate the improvement in scores, if that is the only choice of improved curriculum available. However, the improvement was not enough (in my opinion) so I would recommend looking for a better curriculum than the choices that were given. I would not be satisfied with either of these low scores and would want my child at a different school.</t>
  </si>
  <si>
    <t xml:space="preserve">500
</t>
  </si>
  <si>
    <t>98.143.11.83</t>
  </si>
  <si>
    <t>R_3kwiBnBtMRvuhMV</t>
  </si>
  <si>
    <t>6140d7cdf9bc6016591c2878</t>
  </si>
  <si>
    <t>It only helped improve the test scores by 2%. That is not worth the cost of the new curriculum. That is why I would not recommend the new curriculum.</t>
  </si>
  <si>
    <t>70.178.208.11</t>
  </si>
  <si>
    <t>R_2WUWkkDKVik3u2b</t>
  </si>
  <si>
    <t>5fee4a12069e3b0c91f2531f</t>
  </si>
  <si>
    <t>I'd recommend using the new curriculum because it would better prepare students for additional math instruction.  Having a solid educational base in mathematics is key for higher learning and financial literacy.</t>
  </si>
  <si>
    <t>75.35.32.179</t>
  </si>
  <si>
    <t>R_3Jm9YwdyA4ynMK8</t>
  </si>
  <si>
    <t>61537529838b05f12699918e</t>
  </si>
  <si>
    <t>The study results show a meaningful increase in student math performance with the Math in the Real World curriculum.</t>
  </si>
  <si>
    <t>98.236.236.125</t>
  </si>
  <si>
    <t>R_3hmSOhWsxBqdFAZ</t>
  </si>
  <si>
    <t>5c7d6064f066ff001468d0f5</t>
  </si>
  <si>
    <t>2% is barely an improvement over the previous, especially if the new curriculum is more costly.</t>
  </si>
  <si>
    <t>9 in 10</t>
  </si>
  <si>
    <t>98.152.71.166</t>
  </si>
  <si>
    <t>R_rd5Yij7tJU8Ky4N</t>
  </si>
  <si>
    <t>628680b0d4bdb53d2edbeae2</t>
  </si>
  <si>
    <t xml:space="preserve">I would recommend using Math in the Real-World curriculum because there was an increase in student learning success, even though it was small, a 2% increase, it was something. Also, depending on how many kids are actually in that school district the percentage could be significantly higher than it was with the Journey into Mathematics. </t>
  </si>
  <si>
    <t>Possibly 500 times.</t>
  </si>
  <si>
    <t>100 people.</t>
  </si>
  <si>
    <t>76.251.163.131</t>
  </si>
  <si>
    <t>R_1lmyUqeKQRMM27W</t>
  </si>
  <si>
    <t>5c3764ce3acfeb000154ac66</t>
  </si>
  <si>
    <t>Not much increase in proficiency. math in real world is specific. kids may not learn how to use the same math in different settings.</t>
  </si>
  <si>
    <t>1 minute</t>
  </si>
  <si>
    <t>172.91.168.132</t>
  </si>
  <si>
    <t>R_3kFFBYu5YHoUinH</t>
  </si>
  <si>
    <t>60a55d4bb6bd9be6c95b89eb</t>
  </si>
  <si>
    <t>It sounds like it might have slightly better success rates for students</t>
  </si>
  <si>
    <t>160.94.131.246</t>
  </si>
  <si>
    <t>R_1Cvlt9gEn8Fxp4U</t>
  </si>
  <si>
    <t>55b6a2e5fdf99b350d57360e</t>
  </si>
  <si>
    <t xml:space="preserve">While test scores are important and can be a measure of success, I think that they can also give a skewed picture of reality. Changing the curriculum might be good for the district, but perhaps other factors should also be looked at - teaching skill, student demographics, etc may also explain why the current curriculum isn't working very well. </t>
  </si>
  <si>
    <t>168.122.131.56</t>
  </si>
  <si>
    <t>R_3KK2URyW9vBwfIv</t>
  </si>
  <si>
    <t>6294fc5023a8698296cbf7b0</t>
  </si>
  <si>
    <t>It seems to somewhat help students perform better in math by 10%.</t>
  </si>
  <si>
    <t>173.89.0.165</t>
  </si>
  <si>
    <t>R_3p4tN31Ounz8woS</t>
  </si>
  <si>
    <t>601c170bd8db9368fc2d996b</t>
  </si>
  <si>
    <t>They should use the better program; however, I don't even thing a proficiency rate of 35-40% is that high either.  I feel that they should keep looking for an even better program.  The money for schools is supposed to improve educational outcome, so if they don't spend on programs like this, then I am not sure what that money should be going towards.</t>
  </si>
  <si>
    <t>172.58.4.193</t>
  </si>
  <si>
    <t>R_1GZCBvtvnEFVQD6</t>
  </si>
  <si>
    <t>59f0acf65de9b000017ed914</t>
  </si>
  <si>
    <t xml:space="preserve">I would use this curriculum because it obviously helps students understand math better. Even a small increase from 25% to 27% is significant, so I think it‚Äôs worth the investment if it can raise proficiency scores. </t>
  </si>
  <si>
    <t>153.33.127.29</t>
  </si>
  <si>
    <t>R_3RlONaRgMpc605C</t>
  </si>
  <si>
    <t>62f27a3248a586b50eb6770b</t>
  </si>
  <si>
    <t>Didn't seem like it had a effect on math learning levels, the study said it only increased by 2 percent which seems way too low</t>
  </si>
  <si>
    <t>2% Chance</t>
  </si>
  <si>
    <t>5 Minutes</t>
  </si>
  <si>
    <t>74.64.248.30</t>
  </si>
  <si>
    <t>R_puZIxp72JfSi2dz</t>
  </si>
  <si>
    <t>5d55a1f2fab56e000140df8f</t>
  </si>
  <si>
    <t>I wouldn't really recommend the new curriculum because it doesn't seem like it is a large enough change to make it worth the cost.</t>
  </si>
  <si>
    <t>72.208.78.162</t>
  </si>
  <si>
    <t>R_22nvXmO90FRw22k</t>
  </si>
  <si>
    <t>5deaa726df55eb1cc1b9474f</t>
  </si>
  <si>
    <t>From the year long study that they did, it increases the proficiency levels for the students.  The presently-existing curriculum, when compared to the Math in the Real World curriculum, did not increase proficiency levels.</t>
  </si>
  <si>
    <t>107.202.213.89</t>
  </si>
  <si>
    <t>R_24dxyN3loDH7mDQ</t>
  </si>
  <si>
    <t>636148b5197092753b0a5f20</t>
  </si>
  <si>
    <t>it's more effective, and probably more useful in real life</t>
  </si>
  <si>
    <t>68.33.87.184</t>
  </si>
  <si>
    <t>R_Uztj1wbiZvvPHJT</t>
  </si>
  <si>
    <t>62a359b56170fed072330987</t>
  </si>
  <si>
    <t>Why would the school district continue to use a curriculum that is proven to not be as effective as the Math in the Real World curriculum? I get that it's more expensive to use the new one, but that shouldn't matter. We need to invest more in education</t>
  </si>
  <si>
    <t>172.59.49.174</t>
  </si>
  <si>
    <t>R_2QzYywiwknEZS4P</t>
  </si>
  <si>
    <t>60d6befca58e40d0c63bba9f</t>
  </si>
  <si>
    <t>Based on the results of the study, which show a small increase in the percentage of students performing at the proficient level after completing the Math in the Real World curriculum, and the significantly higher cost of adopting the new curriculum, I would not recommend that the Lakeview School District replace the Journey in Mathematics curriculum at this time. The district should consider other strategies for improving student math achievement, such as professional development for teachers or targeted interventions for struggling students, before making a significant investment in a new curriculum.</t>
  </si>
  <si>
    <t>108.32.87.146</t>
  </si>
  <si>
    <t>R_3lVwUhrDI4idBLC</t>
  </si>
  <si>
    <t>62f716849a6ee6e7e2f5a948</t>
  </si>
  <si>
    <t xml:space="preserve">The article mentioned that the percentage increased, but they didn't mention by how much.  They were very sure to mention that there was a 25% rate of math literacy for this age group, but they were not specific with regard to the percent increase.  I would guess that if it was that much of an increase, they would've mentioned it, thus only a slight recommendation they do it from me. </t>
  </si>
  <si>
    <t>172.58.47.7</t>
  </si>
  <si>
    <t>R_2tziyyFClskBfRZ</t>
  </si>
  <si>
    <t>60284b049e884437b220b172</t>
  </si>
  <si>
    <t>When spending money for schools I would like to focus on helping the most number of kids as possible. The new curicuulum would cost too much, and help too few students since there was only a 2% improvement.</t>
  </si>
  <si>
    <t>72.207.50.102</t>
  </si>
  <si>
    <t>R_12hTvFhq5aL5HBE</t>
  </si>
  <si>
    <t>5d51ffd641a6aa0019ca73df</t>
  </si>
  <si>
    <t>It helped some, and the name implies that it will be easier for students to identify with.</t>
  </si>
  <si>
    <t>104.58.227.60</t>
  </si>
  <si>
    <t>R_2fJx37Cv0LeXg6C</t>
  </si>
  <si>
    <t>5bf408f7f35e0c000101693a</t>
  </si>
  <si>
    <t>They should use Math in the Real World curriculum because the students still performed the same on both tests. The other one would cost more with almost the same results.</t>
  </si>
  <si>
    <t>172.58.111.0</t>
  </si>
  <si>
    <t>R_BqO854V1BeBBoch</t>
  </si>
  <si>
    <t>5ee516a70bc82d23f3c4fb8d</t>
  </si>
  <si>
    <t xml:space="preserve">I would lean towards recommending math in the real world curriculum because it showed an improvement.  However it would depend on the budget of the school since it was said that it would be expensive, if the school couldn't afford it I would probably suggest they try to find something else they could afford that shows improvement as well. </t>
  </si>
  <si>
    <t>172.58.225.34</t>
  </si>
  <si>
    <t>R_1gupIU8HQ0fVjHb</t>
  </si>
  <si>
    <t>58e9538908dc910001901f6b</t>
  </si>
  <si>
    <t>It is a good curriculum and would help the students.</t>
  </si>
  <si>
    <t>75.13.131.181</t>
  </si>
  <si>
    <t>R_qOOL7mPWwGHBTP3</t>
  </si>
  <si>
    <t>61453d979fbdb8e800b8f0eb</t>
  </si>
  <si>
    <t>I would slightyl but not strongly recommend that the Lakeview School District use the Math in the Real World curriculum - although there were most improvements in math proficiency among the test group of 4th graders who used this program (25% to 27%), I don't believe that the improvements were sufficient to justify implementing a program that would cost the school district significantly more than their current program. I would recommend looking for a third program with the potential for a greater increase in math proficiency.</t>
  </si>
  <si>
    <t>174.192.192.18</t>
  </si>
  <si>
    <t>R_24IgeIt1giYzptf</t>
  </si>
  <si>
    <t>63ea6d6ed1b8031473bdcf88</t>
  </si>
  <si>
    <t>Because they are progressing in math over time</t>
  </si>
  <si>
    <t>45.20.0.148</t>
  </si>
  <si>
    <t>R_UW5tGfjJg5Xw8Zb</t>
  </si>
  <si>
    <t>5dd5fdd811b0bd5ac65a9b3a</t>
  </si>
  <si>
    <t xml:space="preserve">It is obvious that their current curriculum is not providing the instruction ned by the current demographic of the school district. Steps must be taken &amp; the new curriculum showed marked improvement amongst the students utilizing it. Therefore, the change would be beneficial enough to offset the costs. </t>
  </si>
  <si>
    <t>68.234.42.99</t>
  </si>
  <si>
    <t>R_3D0jzvpWCbXT2vh</t>
  </si>
  <si>
    <t>60db3b18bb1cd76fd466da0a</t>
  </si>
  <si>
    <t xml:space="preserve"> It argues that people may develop competence in math classes, but they struggle to translate real-life problems into a format where they can use </t>
  </si>
  <si>
    <t>121.91.229.206</t>
  </si>
  <si>
    <t>R_2QRN2oxMMawEmeR</t>
  </si>
  <si>
    <t>60f98abd446a8ee5ed91a8cd</t>
  </si>
  <si>
    <t>73.173.229.102</t>
  </si>
  <si>
    <t>R_2X7I8sRxmlksp0Q</t>
  </si>
  <si>
    <t>6385145870ee943d400366ec</t>
  </si>
  <si>
    <t>I wouldn't be against it but I would have my doubts but I'd still be open to the curriculum.</t>
  </si>
  <si>
    <t>65.190.163.125</t>
  </si>
  <si>
    <t>R_2qgaCxhDwjgaLAc</t>
  </si>
  <si>
    <t>63f7b890b9c9e7b19a2e9281</t>
  </si>
  <si>
    <t>I think it would be a good idea to use the Math in the Real World curriculum since the students math average had actually went up, and I also believe that it‚Äôs better to teach the math that you actually use in the real world, since not everything that you learn in math is useful in the real world.</t>
  </si>
  <si>
    <t>10 cent</t>
  </si>
  <si>
    <t>65.99.120.151</t>
  </si>
  <si>
    <t>R_2rjYWcChT7K9oag</t>
  </si>
  <si>
    <t>5eea591930ca5f0ddaa75a7f</t>
  </si>
  <si>
    <t xml:space="preserve">If it only moved the amount over to proficient from 25% to 27%, then the money should be used in other ways or to set up more direct intervention than the current curriculum. </t>
  </si>
  <si>
    <t>99.13.16.186</t>
  </si>
  <si>
    <t>R_8wCZJVcVQ8no4lH</t>
  </si>
  <si>
    <t>5bac0a6db6db160001306f22</t>
  </si>
  <si>
    <t xml:space="preserve">I‚Äôm amenable to the idea of using the new curriculum, since classrooms who used it had a higher percentage of students who scored at the proficiency level. I tend to be skeptical of these kinds of studies, though. Can these results be replicated? Were all factors properly accounted for and controlled? It‚Äôs hard to tell. For that reason, I can‚Äôt 100 percent recommend switching curricula, especially since the new one is expensive. </t>
  </si>
  <si>
    <t>173.63.167.249</t>
  </si>
  <si>
    <t>R_pcHE2vkZbZGGae5</t>
  </si>
  <si>
    <t>602aaba2c2eb7c106100e516</t>
  </si>
  <si>
    <t>The cost/benefit ratio of replacing the curriculum is not good. Spending a lot of money on a 2% increase in scores is bad policy.</t>
  </si>
  <si>
    <t>165.225.220.162</t>
  </si>
  <si>
    <t>R_2qrqAepLRA95Ia0</t>
  </si>
  <si>
    <t>5dee8ee31255595293a9906b</t>
  </si>
  <si>
    <t>Too costly for minor improvement, if any, especially for proficient students.</t>
  </si>
  <si>
    <t>75.183.8.156</t>
  </si>
  <si>
    <t>R_094EU4ylZLCL1nz</t>
  </si>
  <si>
    <t>5c3d07a85a994b0001c10bb2</t>
  </si>
  <si>
    <t>A two percentage point increase in test scores, is not a large enough improvement to incur significant switching costs. I would only recommend switching to the new curriculum if costs were the same.</t>
  </si>
  <si>
    <t>72.182.214.111</t>
  </si>
  <si>
    <t>R_2eUAg6JFQ3hpH36</t>
  </si>
  <si>
    <t>59c843b646f72100019067ce</t>
  </si>
  <si>
    <t xml:space="preserve">I would recommend it because it worked better than the status quo.  </t>
  </si>
  <si>
    <t>137.36.172.76</t>
  </si>
  <si>
    <t>R_R9vo9QOHpCwqTPr</t>
  </si>
  <si>
    <t>63d7c9963d51f24070dffb68</t>
  </si>
  <si>
    <t>I would recommend the program that makes the smartest students</t>
  </si>
  <si>
    <t>68.227.231.103</t>
  </si>
  <si>
    <t>R_dir2HXjiGUlISSB</t>
  </si>
  <si>
    <t>5d9f5c0702dca80018822b8e</t>
  </si>
  <si>
    <t xml:space="preserve">I would recommend it because it is a way for children to continue to improve their studies with higher quality education. </t>
  </si>
  <si>
    <t>73.15.194.157</t>
  </si>
  <si>
    <t>R_1fZ62GUTMLAASY7</t>
  </si>
  <si>
    <t>631bf96cdf83ffb8f4a7fab8</t>
  </si>
  <si>
    <t xml:space="preserve">If there was enough care to go through testing to see which curriculum would perform better, I think it makes sense to go with the one that provided results. </t>
  </si>
  <si>
    <t>around 10 people</t>
  </si>
  <si>
    <t>50.107.84.90</t>
  </si>
  <si>
    <t>R_31EnHvuRVjl4unW</t>
  </si>
  <si>
    <t>5f2c4bf4e4f3080e6a469fcc</t>
  </si>
  <si>
    <t xml:space="preserve">I somewhat recommend that Lakeview switch to Math in the Real World because it did improve test scores. I can't fully recommend the change until I know how large the score improvements were and how much more the new curriculum costs. </t>
  </si>
  <si>
    <t>76.24.16.29</t>
  </si>
  <si>
    <t>R_eu0rUXJqb6o5srL</t>
  </si>
  <si>
    <t>5f7e6263ca4a5513c572a5be</t>
  </si>
  <si>
    <t>Because Math in the Real World resonates with students a lot more. Imagine how much higher the test scores could go up once teachers have it down/are more comfortable with the material. By choosing not to equip students with a method that works better, you're sending the message that improving education is not a priority for the district.</t>
  </si>
  <si>
    <t>172.56.96.39</t>
  </si>
  <si>
    <t>R_3EinkXe3VIuEk4w</t>
  </si>
  <si>
    <t>5ed0091bd374190b9b04045d</t>
  </si>
  <si>
    <t>There was an increase in proficiency level for students in Real World curriculum.</t>
  </si>
  <si>
    <t>73.233.137.216</t>
  </si>
  <si>
    <t>R_2qCSRizos4Q6Q6h</t>
  </si>
  <si>
    <t>62b341383dad27265a7a75cb</t>
  </si>
  <si>
    <t>Article noted that there was an increase in proficiency with the Real World curriculum, but how much? 1%? 5%? 50%? Also not noted was the margin of error so there may have bn no significant difference. Additional data would nd to b forthcoming to determine a significant expenditure of money.</t>
  </si>
  <si>
    <t>24.175.87.213</t>
  </si>
  <si>
    <t>R_3WvOQFxQYaT5Rrr</t>
  </si>
  <si>
    <t>62db157402a7033df0048e1c</t>
  </si>
  <si>
    <t xml:space="preserve">Depending on the cost it will most likely be worth it. their scores were increasing and as the title of the curriculum mentions it also is relevant in real life situations. again, it depends a bit on the price of course. </t>
  </si>
  <si>
    <t>half</t>
  </si>
  <si>
    <t xml:space="preserve">5 minutes. </t>
  </si>
  <si>
    <t>76.137.137.39</t>
  </si>
  <si>
    <t>R_paqmBuEO6iEvZrX</t>
  </si>
  <si>
    <t>60906c79f8cfd718d6dcb3df</t>
  </si>
  <si>
    <t xml:space="preserve">I would recommend the math in real world curriculum simply because the improvements among students was significant enough to warrant the cost. </t>
  </si>
  <si>
    <t>99.44.6.242</t>
  </si>
  <si>
    <t>R_291fFf40Vhe4oSK</t>
  </si>
  <si>
    <t>63d1bee75bd4d1ff3a9475ce</t>
  </si>
  <si>
    <t>I wouldn't support it because it cost significantly more for a small result. I think they should keep looking for a better program.</t>
  </si>
  <si>
    <t>24.242.237.172</t>
  </si>
  <si>
    <t>R_bvnMWeaRsgSb8IN</t>
  </si>
  <si>
    <t>60ffa146784103f75aadb045</t>
  </si>
  <si>
    <t>Because their was a significant increase in their performance.</t>
  </si>
  <si>
    <t>73.116.68.212</t>
  </si>
  <si>
    <t>R_2flMsZlbUP6aFZO</t>
  </si>
  <si>
    <t>614f68fe19bd10bb768e5e3b</t>
  </si>
  <si>
    <t>The study results seem to definitely show a correlation between the higher testing rate and the new curriculum. Because it was only done it seven schools I would hold back on saying 100% that they should adopt it. It either warrants full adoption or partial adoption.</t>
  </si>
  <si>
    <t>172.56.90.198</t>
  </si>
  <si>
    <t>R_1mOGdooG0q3YCQ8</t>
  </si>
  <si>
    <t>5d4af0a71813250015d3c5c7</t>
  </si>
  <si>
    <t>A 2% increase in proficiency is relatively small and may be caused by factors other than the curriculum itself. It could be that the novelty of the curriculum led to increased attention by the teachers. It could be that the teachers knew or suspected that an evaluation was taking place and their teaching was affected, possibly unconsciously. Finally, the cost of new curriculum might be better spent hiring additional staff to reduce class sizes or provide intervention for students who are not meeting standards, or even implementation of a tutoring program using volunteers.</t>
  </si>
  <si>
    <t>207.193.20.235</t>
  </si>
  <si>
    <t>R_PHZ6O8bOif6oJeF</t>
  </si>
  <si>
    <t>63f8377ff95d6eccc6815d1b</t>
  </si>
  <si>
    <t>Because it increased the proficiency level of the students.</t>
  </si>
  <si>
    <t>18% likely</t>
  </si>
  <si>
    <t>96.227.251.228</t>
  </si>
  <si>
    <t>R_2sZvzcRdBg8cndf</t>
  </si>
  <si>
    <t>60e9c78a617cbabf4732fee6</t>
  </si>
  <si>
    <t>Even though the performance of students only increased by 2% with the Math in the Real World curriculum, I feel that any improvement is positive and makes the transition to the new curriculum justified.</t>
  </si>
  <si>
    <t>76.150.163.23</t>
  </si>
  <si>
    <t>R_1HhpYFv6Ie027AP</t>
  </si>
  <si>
    <t>631a9f635762d2b83a53202b</t>
  </si>
  <si>
    <t>I would recommend switching to the new curriculum because after researching it did show to improve the test scores in a positive direction. Even though it was a marginal improvement, it wasn't a decline and it provided better scores than the students in the previous curriculum.</t>
  </si>
  <si>
    <t>100.34.76.197</t>
  </si>
  <si>
    <t>R_2sbgEQuDuLTeEwa</t>
  </si>
  <si>
    <t>63616ac9601c2ac49b1cc4af</t>
  </si>
  <si>
    <t xml:space="preserve">I believe they should absolutely implement the Math in the Real World curriculum. If you have the kids best interests in mind this should be a no brainer. They clearly improved under this curriculum. The fact that the push back is cost is just sad. </t>
  </si>
  <si>
    <t>I think it would come up as an even number about 500 times give or take.</t>
  </si>
  <si>
    <t>10 people would most likely win a $10 prize.</t>
  </si>
  <si>
    <t>It would be 1% of tickets.</t>
  </si>
  <si>
    <t>It's pretty likely that she does not have a tumor.</t>
  </si>
  <si>
    <t>100 minutes.</t>
  </si>
  <si>
    <t>71.81.32.190</t>
  </si>
  <si>
    <t>R_3I44Q0YzVPVaJck</t>
  </si>
  <si>
    <t>62b06c1508dfc74f4f38efab</t>
  </si>
  <si>
    <t>I would recommend it if the higher proficiency will help the school get better funding in the future. Higher proficiency is always a good thing but the pros and cons must be weighed because it is not big enough of an increase in proficiency to say definitely yes.</t>
  </si>
  <si>
    <t>73.82.138.252</t>
  </si>
  <si>
    <t>R_2E5ycKLRkqV5vm1</t>
  </si>
  <si>
    <t>5b824fb6cc06660001a302d4</t>
  </si>
  <si>
    <t>35% total would be a reasonable improvement</t>
  </si>
  <si>
    <t xml:space="preserve">I would not recommend the curriculum change as it seemed to  offer minimal improvement.   </t>
  </si>
  <si>
    <t>96.249.223.48</t>
  </si>
  <si>
    <t>R_1OldxsH18H2SGnP</t>
  </si>
  <si>
    <t>5d56123417ee8d0001cd9e00</t>
  </si>
  <si>
    <t>The improvement useing real world was insignificant and could be within the error range statistically.  While the regular math curriculum saw no change.  I would say the problem is with the teachers, not the students</t>
  </si>
  <si>
    <t>69.248.92.46</t>
  </si>
  <si>
    <t>R_1gUThNIsVNw2AAh</t>
  </si>
  <si>
    <t>632bcf0f592b026e040d0f50</t>
  </si>
  <si>
    <t>I'd recommend the Lakeview school if it's shown to improve the children's education.</t>
  </si>
  <si>
    <t>33% chance that it comes up 2, 4, or 6.</t>
  </si>
  <si>
    <t>10 people tops would win $10.</t>
  </si>
  <si>
    <t>0.10% of all tickets win a car.</t>
  </si>
  <si>
    <t>20% chance of getting the disease.</t>
  </si>
  <si>
    <t>100 people expected to get the disease.</t>
  </si>
  <si>
    <t>She probably has a 18% chance that she has a tumor.</t>
  </si>
  <si>
    <t>172.59.120.66</t>
  </si>
  <si>
    <t>R_Ui1ljtIoyokRn0d</t>
  </si>
  <si>
    <t>5e40c6d2aa21c630069197ea</t>
  </si>
  <si>
    <t>If math in the real world isn't really producing substantiating results then there is no reason to change to it. It would be a waste to change if the results are near identical to the original teaching methods.</t>
  </si>
  <si>
    <t>76.176.43.188</t>
  </si>
  <si>
    <t>R_10JCsjC5imJ4coK</t>
  </si>
  <si>
    <t>63df41179d1e6352b228a74f</t>
  </si>
  <si>
    <t>i highly recommend curriculum because the test scores are higher, but also the curriculum readies the students with real world scenarios.  as long as the cost don't take away from other curriculum like music and arts.</t>
  </si>
  <si>
    <t>334 times</t>
  </si>
  <si>
    <t>1 percent</t>
  </si>
  <si>
    <t>very likey</t>
  </si>
  <si>
    <t>68.190.78.129</t>
  </si>
  <si>
    <t>R_cZOB5lZRhY1spfb</t>
  </si>
  <si>
    <t>59715b4b50e2f000016fe00e</t>
  </si>
  <si>
    <t>Real-world mathematics is advisable for educational teaching, that is, it is necessary to teach what is really useful, not to have a baggage of knowledge that in the long run will never be put into practice.</t>
  </si>
  <si>
    <t>47.155.80.84</t>
  </si>
  <si>
    <t>R_3G1FKqFIGVW5Vuu</t>
  </si>
  <si>
    <t>63ee593570662c0c69b2f438</t>
  </si>
  <si>
    <t>Math in the Real World appears to be an improvement from the current curriculum, so I would recommend it. However it was only a small improvement and did cost more so it wouldn't be a strong recommendation.</t>
  </si>
  <si>
    <t>71.65.250.52</t>
  </si>
  <si>
    <t>R_72Fz1OHlgcUAqvT</t>
  </si>
  <si>
    <t>583f12f545073d0001fac52d</t>
  </si>
  <si>
    <t>Mathematical should be used in all daily activities of life. in other words, mathematics for life.</t>
  </si>
  <si>
    <t>24.60.149.241</t>
  </si>
  <si>
    <t>R_e5QGWpCkgYip7iN</t>
  </si>
  <si>
    <t>63ed1d16cb4f814893353e97</t>
  </si>
  <si>
    <t>it actually CHANGES something</t>
  </si>
  <si>
    <t xml:space="preserve">highly unlikely </t>
  </si>
  <si>
    <t>98.121.241.171</t>
  </si>
  <si>
    <t>R_296LVL6tItwEisA</t>
  </si>
  <si>
    <t>63bca30d19af76e9375ebacb</t>
  </si>
  <si>
    <t>There was a documented increase in performance, but it was only by 2%. I'm not sure if such a small increase would be worth spending so much more money on. There are also other approaches to consider besides completely changing curriculums.</t>
  </si>
  <si>
    <t>172.56.185.152</t>
  </si>
  <si>
    <t>R_2wT8sm4gHuOCeSR</t>
  </si>
  <si>
    <t>60fefd6de6b470fd133b7d5d</t>
  </si>
  <si>
    <t xml:space="preserve">The percentage doesn‚Äôt seem that much for such an expensive curriculum </t>
  </si>
  <si>
    <t>172.59.168.79</t>
  </si>
  <si>
    <t>R_31ENHtot2Mj02qT</t>
  </si>
  <si>
    <t>59c3eeac05da9d0001402bcd</t>
  </si>
  <si>
    <t xml:space="preserve">I would because maybe it would be retained in students easier then the original method that clearly wasn‚Äôt working </t>
  </si>
  <si>
    <t>75.245.119.107</t>
  </si>
  <si>
    <t>R_1pMyJxFMF8AaqI8</t>
  </si>
  <si>
    <t>559ecce6fdf99b16653fb880</t>
  </si>
  <si>
    <t>Even if it is better than the previous option it is still a low passing rate. I would look for an even better alternative if possible. If not I would probably make the switch.</t>
  </si>
  <si>
    <t>47.16.34.141</t>
  </si>
  <si>
    <t>R_1KqeriCIP32Lpf8</t>
  </si>
  <si>
    <t>6400ed09421b2727c2f7c553</t>
  </si>
  <si>
    <t>at least %20</t>
  </si>
  <si>
    <t>It is too costly to only benefit the students very little. Thre should be more research done in terms of which program to chose, so that the district can see some significant improvements. The program that will be chosen must be efficient and effective.</t>
  </si>
  <si>
    <t>24.43.64.2</t>
  </si>
  <si>
    <t>R_3MLEPuoC5glaVUN</t>
  </si>
  <si>
    <t>630051de1dfc7f3ba6bb40cc</t>
  </si>
  <si>
    <t>I would given it increased the passing rates of the students by 50%</t>
  </si>
  <si>
    <t>174.215.119.218</t>
  </si>
  <si>
    <t>R_1LRTvK4eL99UH2b</t>
  </si>
  <si>
    <t>633f13d17cdae412322eabd0</t>
  </si>
  <si>
    <t>It seems like the new program can make more students proficient in math than the old program would.</t>
  </si>
  <si>
    <t>70.95.216.159</t>
  </si>
  <si>
    <t>R_2DTWFe0T0CxHubW</t>
  </si>
  <si>
    <t>559ef308fdf99b2616ff2a4f</t>
  </si>
  <si>
    <t>Since proficiency only increased from 25% to 27%, I think that the money could be better spent elsewhere, perhaps on more teachers or tutors.</t>
  </si>
  <si>
    <t>73.32.127.58</t>
  </si>
  <si>
    <t>R_2BkwLCMo8D3uzc0</t>
  </si>
  <si>
    <t>5b774f493c1375000197ad11</t>
  </si>
  <si>
    <t xml:space="preserve">If it's working better it should obsoletely be changed. These are kids who will be impacted by what is taught to them. It shouldn't matter if it costs more money that's why the school has money to spend. </t>
  </si>
  <si>
    <t>174.52.10.48</t>
  </si>
  <si>
    <t>R_8va9oK4odLNd2H7</t>
  </si>
  <si>
    <t>61083ecdd1be9b22e7caf4cf</t>
  </si>
  <si>
    <t>Having the student's scores increase by that big of a percentage is a huge bump and they should absolutely look out for the children's best interests and pay the extra money for that. And math in the real world sounds like they are learning things they will use in their lives.</t>
  </si>
  <si>
    <t>76.137.135.225</t>
  </si>
  <si>
    <t>R_2bJ0Mn9CeFYvfZ5</t>
  </si>
  <si>
    <t>639aa4b8f52bdf60b603c9b1</t>
  </si>
  <si>
    <t>The current curriculum is not providing adequate results. Students who used Math in the Real World showed an increase in their proficiency. Even though this new program would cost additional money, there would be a return on investment. There needs to be a change due to poor scores.</t>
  </si>
  <si>
    <t>3/6, or 1/2, so my guess is 500</t>
  </si>
  <si>
    <t>1% of 1000 is 10</t>
  </si>
  <si>
    <t>9 of 18 who tested positive has a tumor. 9/18 = 1/2 or 50%</t>
  </si>
  <si>
    <t>24.125.55.106</t>
  </si>
  <si>
    <t>R_1lmoV9p4RzwWgKC</t>
  </si>
  <si>
    <t>607331e66524baf7ddfaae21</t>
  </si>
  <si>
    <t>I think the added benefit of the curriculum on math scores mandates that the school system adopt it.  The kids are worth the expense; it seems to work!</t>
  </si>
  <si>
    <t>107.15.147.100</t>
  </si>
  <si>
    <t>R_3JKKGo1rT32F4Qx</t>
  </si>
  <si>
    <t>611144542cf9d49b089b7d55</t>
  </si>
  <si>
    <t>Student math scores are increasing with the math and the real world compared to the school math.</t>
  </si>
  <si>
    <t>6 I think a hundred people would win $100</t>
  </si>
  <si>
    <t>I think 10 people will win $100</t>
  </si>
  <si>
    <t>I'm guessing 2% would win the car</t>
  </si>
  <si>
    <t>I'm guessing 5% my</t>
  </si>
  <si>
    <t>My guess is 100 people</t>
  </si>
  <si>
    <t>I'm guessing 90%</t>
  </si>
  <si>
    <t>My guess is 1000</t>
  </si>
  <si>
    <t>98.52.116.108</t>
  </si>
  <si>
    <t>R_xxgJo8ITjIMAISt</t>
  </si>
  <si>
    <t>6102c81e911700cf7ba5f6bd</t>
  </si>
  <si>
    <t xml:space="preserve">Our main goal is to achieve real-world communication, mathematics, and the usefulness of resources to grow ourselves. even if the written result is not pointing out but in the long run real-world curriculum will be more useful.   </t>
  </si>
  <si>
    <t>18% chance she has a tumor, most probably.</t>
  </si>
  <si>
    <t>96.63.228.152</t>
  </si>
  <si>
    <t>R_2yszp8kQdELClp7</t>
  </si>
  <si>
    <t>5928a8295404290001dbe9bc</t>
  </si>
  <si>
    <t>I would recommend the Lakeview School District to not use the new curriculum as the jump from 25% to 35% is not worth the large increase in price. If anything, the Lakeview School District should continue to search for better options that can bump the percentage up to at least 50%</t>
  </si>
  <si>
    <t>ball costs $0.05</t>
  </si>
  <si>
    <t>104.182.42.92</t>
  </si>
  <si>
    <t>R_ysDGAKpzCI6xda9</t>
  </si>
  <si>
    <t>5af309960eca060001b15b47</t>
  </si>
  <si>
    <t>Depending on a dollar amount cost, I do not think I can say that it would be worth it to change the curriculum. The percentage is very low, and I don't believe it would be worth it when it marginally improves it. Especially when the money could be used elsewhere.</t>
  </si>
  <si>
    <t>173.26.28.13</t>
  </si>
  <si>
    <t>R_vqocVJ8xbUFvhi9</t>
  </si>
  <si>
    <t>5c4ea6cc889752000156dd8e</t>
  </si>
  <si>
    <t>It depends on how much of an improvement there was.  It is easy to say something improved even if it was .000001%.  If the quality of these test results really skyrocketed, I would go for the new program fully.</t>
  </si>
  <si>
    <t>174.230.151.128</t>
  </si>
  <si>
    <t>R_28HXwaS5OmaXVRa</t>
  </si>
  <si>
    <t>63614a4856d50185749ffb4e</t>
  </si>
  <si>
    <t>Even a small improvement is worth investing in for education</t>
  </si>
  <si>
    <t>Half</t>
  </si>
  <si>
    <t>72.70.184.87</t>
  </si>
  <si>
    <t>R_33x4QbCaULQYcpm</t>
  </si>
  <si>
    <t>6283b2454867524b04f115bb</t>
  </si>
  <si>
    <t xml:space="preserve">Since there was improvement on the test scores during the trial, I think this would be a good option for the entire school district to adopt </t>
  </si>
  <si>
    <t>69.245.112.110</t>
  </si>
  <si>
    <t>R_ZyJJ6bVZZIy3CeZ</t>
  </si>
  <si>
    <t>63d18260bea46d8529167b94</t>
  </si>
  <si>
    <t>I would recommend using Math in the real-world curriculum because students need to be updated with real-world mathematics.</t>
  </si>
  <si>
    <t>172.58.45.225</t>
  </si>
  <si>
    <t>R_aY2OUjIVy2oUmM9</t>
  </si>
  <si>
    <t>57b60487e5b60d0001083aea</t>
  </si>
  <si>
    <t>The increased cost doesn‚Äôt seem to be worth the small improvement</t>
  </si>
  <si>
    <t>5 central</t>
  </si>
  <si>
    <t>66.116.8.213</t>
  </si>
  <si>
    <t>R_eXRIxFXSWUvR0rL</t>
  </si>
  <si>
    <t>63daf03a09f486d6bf71fdbe</t>
  </si>
  <si>
    <t xml:space="preserve">It increased the number of students proficient in math. I would recommend it but only if there is no better option. Specifically, if there are not any better curriculums. </t>
  </si>
  <si>
    <t xml:space="preserve">About half the time or around 500 times.  </t>
  </si>
  <si>
    <t xml:space="preserve">Around 10 people would win $10. </t>
  </si>
  <si>
    <t xml:space="preserve">There is a 0.1% chance. </t>
  </si>
  <si>
    <t xml:space="preserve">There is a 20% chance of getting the disease. </t>
  </si>
  <si>
    <t xml:space="preserve">About 100. </t>
  </si>
  <si>
    <t xml:space="preserve">There is a 9 out of 10 chance, or 90% chance she has the tumor. </t>
  </si>
  <si>
    <t>It cost $0.10</t>
  </si>
  <si>
    <t xml:space="preserve">It would take 5 minutes. </t>
  </si>
  <si>
    <t>72.190.28.2</t>
  </si>
  <si>
    <t>R_3p4k4RJtFrPmAMM</t>
  </si>
  <si>
    <t>631fd12cab0b639506214b7b</t>
  </si>
  <si>
    <t>I would recommend it because there has been great progress and that reults is adamant</t>
  </si>
  <si>
    <t>108.12.238.97</t>
  </si>
  <si>
    <t>R_3ISLwyXsrVMczKd</t>
  </si>
  <si>
    <t>5dbd597b2d098c2ac14806b2</t>
  </si>
  <si>
    <t>A 10 percent gain might not be enough to justify the expense.</t>
  </si>
  <si>
    <t>1 in 18</t>
  </si>
  <si>
    <t>Condition</t>
  </si>
  <si>
    <t>Subject</t>
  </si>
  <si>
    <t>ScoreQ1</t>
  </si>
  <si>
    <t>ScoreQ2</t>
  </si>
  <si>
    <t>ScoreQ3</t>
  </si>
  <si>
    <t>ScoreQ4</t>
  </si>
  <si>
    <t>ScoreQ5</t>
  </si>
  <si>
    <t>ScoreQ6</t>
  </si>
  <si>
    <t>ScoreQ7</t>
  </si>
  <si>
    <t>ScoreQ8</t>
  </si>
  <si>
    <t>TotalScore</t>
  </si>
  <si>
    <t>Recommendation</t>
  </si>
  <si>
    <t>Prompt</t>
  </si>
  <si>
    <t>Numeracy</t>
  </si>
  <si>
    <t>Column Labels</t>
  </si>
  <si>
    <t>(blank)</t>
  </si>
  <si>
    <t>Average of Recommendation</t>
  </si>
  <si>
    <t>Response</t>
  </si>
  <si>
    <t>Meaningful Effect</t>
  </si>
  <si>
    <t>Not Worth Cost</t>
  </si>
  <si>
    <t>Small Effect</t>
  </si>
  <si>
    <t>No Effect Mentioned</t>
  </si>
  <si>
    <t>Need More Info</t>
  </si>
  <si>
    <t>Notes</t>
  </si>
  <si>
    <t>EXCLUDED: This participant responded to the survey twice</t>
  </si>
  <si>
    <t>LargeEffectTotals</t>
  </si>
  <si>
    <t>LargeEffect%</t>
  </si>
  <si>
    <t>NoEffectTotals</t>
  </si>
  <si>
    <t>NoEffect%</t>
  </si>
  <si>
    <t>SmallEffectNoPromptTotals</t>
  </si>
  <si>
    <t>SmallEffectNoPrompt%</t>
  </si>
  <si>
    <t>SmallEffectWithPromptTotals</t>
  </si>
  <si>
    <t>SmallEffectWithPrompt%</t>
  </si>
  <si>
    <t>Total Average of Recommendation</t>
  </si>
  <si>
    <t>Total StdDev of Recommendation</t>
  </si>
  <si>
    <t>StdDev of Recommendation</t>
  </si>
  <si>
    <t>Anusha_Meaningful/Large Effect</t>
  </si>
  <si>
    <t>Anuusha_Not Meaningful/ Small Effect</t>
  </si>
  <si>
    <t>Anusha_Too Costly</t>
  </si>
  <si>
    <t>Anusha_No Effect Mentioned</t>
  </si>
  <si>
    <t>Anusha_Evidence Quality/More Research</t>
  </si>
  <si>
    <t>Final Large Effect</t>
  </si>
  <si>
    <t>Final Small Effect</t>
  </si>
  <si>
    <t>Final Too Costlyy</t>
  </si>
  <si>
    <t>Final No Effect</t>
  </si>
  <si>
    <t>Final More Info</t>
  </si>
  <si>
    <t>SmallEffNoPromptTotal</t>
  </si>
  <si>
    <t>SmallEffNoPrompt%</t>
  </si>
  <si>
    <t>SmallEffWithPromptTotal</t>
  </si>
  <si>
    <t>SmallEffWithPrompt%</t>
  </si>
  <si>
    <t>Large</t>
  </si>
  <si>
    <t>No Eff</t>
  </si>
  <si>
    <t>SmallEffNoPromp</t>
  </si>
  <si>
    <t>SmallEffWithPrompt</t>
  </si>
  <si>
    <t>Disagree Total</t>
  </si>
  <si>
    <t>Disagree %</t>
  </si>
  <si>
    <t>TotalNoCRT</t>
  </si>
  <si>
    <t>LargeEffect</t>
  </si>
  <si>
    <t>r value</t>
  </si>
  <si>
    <t>No Effect</t>
  </si>
  <si>
    <t>SmallNoPrompt</t>
  </si>
  <si>
    <t>SmallWithPrompt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</si>
</sst>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
      <name val="Calibri"/>
      <family val="2"/>
      <scheme val="minor"/>
    </font>
    <font>
      <sz val="12"/>
      <color theme="1"/>
      <name val="Calibri"/>
      <family val="2"/>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wrapText="1"/>
    </xf>
    <xf numFmtId="22" fontId="0" fillId="0" borderId="0" xfId="0" applyNumberFormat="1"/>
    <xf numFmtId="9" fontId="0" fillId="0" borderId="0" xfId="0" applyNumberFormat="1"/>
    <xf numFmtId="10" fontId="0" fillId="0" borderId="0" xfId="0" applyNumberFormat="1"/>
    <xf numFmtId="8" fontId="0" fillId="0" borderId="0" xfId="0" applyNumberFormat="1"/>
    <xf numFmtId="11" fontId="0" fillId="0" borderId="0" xfId="0" applyNumberFormat="1"/>
    <xf numFmtId="16" fontId="0" fillId="0" borderId="0" xfId="0" applyNumberFormat="1"/>
    <xf numFmtId="3" fontId="0" fillId="0" borderId="0" xfId="0" applyNumberFormat="1"/>
    <xf numFmtId="0" fontId="0" fillId="0" borderId="0" xfId="0" pivotButton="1"/>
    <xf numFmtId="0" fontId="18" fillId="0" borderId="0" xfId="0" applyFont="1" applyAlignment="1">
      <alignment wrapText="1"/>
    </xf>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11057895888014009"/>
                  <c:y val="-0.3397590405365996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RecommendData!$E$2:$E$399</c:f>
              <c:numCache>
                <c:formatCode>General</c:formatCode>
                <c:ptCount val="398"/>
                <c:pt idx="0">
                  <c:v>7</c:v>
                </c:pt>
                <c:pt idx="1">
                  <c:v>7</c:v>
                </c:pt>
                <c:pt idx="2">
                  <c:v>7</c:v>
                </c:pt>
                <c:pt idx="3">
                  <c:v>3</c:v>
                </c:pt>
                <c:pt idx="4">
                  <c:v>4</c:v>
                </c:pt>
                <c:pt idx="5">
                  <c:v>5</c:v>
                </c:pt>
                <c:pt idx="6">
                  <c:v>6</c:v>
                </c:pt>
                <c:pt idx="7">
                  <c:v>1</c:v>
                </c:pt>
                <c:pt idx="8">
                  <c:v>3</c:v>
                </c:pt>
                <c:pt idx="9">
                  <c:v>6</c:v>
                </c:pt>
                <c:pt idx="10">
                  <c:v>6</c:v>
                </c:pt>
                <c:pt idx="11">
                  <c:v>4</c:v>
                </c:pt>
                <c:pt idx="12">
                  <c:v>7</c:v>
                </c:pt>
                <c:pt idx="13">
                  <c:v>3</c:v>
                </c:pt>
                <c:pt idx="14">
                  <c:v>1</c:v>
                </c:pt>
                <c:pt idx="15">
                  <c:v>3</c:v>
                </c:pt>
                <c:pt idx="16">
                  <c:v>6</c:v>
                </c:pt>
                <c:pt idx="17">
                  <c:v>6</c:v>
                </c:pt>
                <c:pt idx="18">
                  <c:v>4</c:v>
                </c:pt>
                <c:pt idx="19">
                  <c:v>8</c:v>
                </c:pt>
                <c:pt idx="20">
                  <c:v>6</c:v>
                </c:pt>
                <c:pt idx="21">
                  <c:v>6</c:v>
                </c:pt>
                <c:pt idx="22">
                  <c:v>6</c:v>
                </c:pt>
                <c:pt idx="23">
                  <c:v>4</c:v>
                </c:pt>
                <c:pt idx="24">
                  <c:v>8</c:v>
                </c:pt>
                <c:pt idx="25">
                  <c:v>2</c:v>
                </c:pt>
                <c:pt idx="26">
                  <c:v>6</c:v>
                </c:pt>
                <c:pt idx="27">
                  <c:v>7</c:v>
                </c:pt>
                <c:pt idx="28">
                  <c:v>8</c:v>
                </c:pt>
                <c:pt idx="29">
                  <c:v>5</c:v>
                </c:pt>
                <c:pt idx="30">
                  <c:v>5</c:v>
                </c:pt>
                <c:pt idx="31">
                  <c:v>6</c:v>
                </c:pt>
                <c:pt idx="32">
                  <c:v>8</c:v>
                </c:pt>
                <c:pt idx="33">
                  <c:v>3</c:v>
                </c:pt>
                <c:pt idx="34">
                  <c:v>5</c:v>
                </c:pt>
                <c:pt idx="35">
                  <c:v>6</c:v>
                </c:pt>
                <c:pt idx="36">
                  <c:v>8</c:v>
                </c:pt>
                <c:pt idx="37">
                  <c:v>5</c:v>
                </c:pt>
                <c:pt idx="38">
                  <c:v>6</c:v>
                </c:pt>
                <c:pt idx="39">
                  <c:v>8</c:v>
                </c:pt>
                <c:pt idx="40">
                  <c:v>4</c:v>
                </c:pt>
                <c:pt idx="41">
                  <c:v>6</c:v>
                </c:pt>
                <c:pt idx="42">
                  <c:v>5</c:v>
                </c:pt>
                <c:pt idx="43">
                  <c:v>7</c:v>
                </c:pt>
                <c:pt idx="44">
                  <c:v>8</c:v>
                </c:pt>
                <c:pt idx="45">
                  <c:v>5</c:v>
                </c:pt>
                <c:pt idx="46">
                  <c:v>6</c:v>
                </c:pt>
                <c:pt idx="47">
                  <c:v>5</c:v>
                </c:pt>
                <c:pt idx="48">
                  <c:v>7</c:v>
                </c:pt>
                <c:pt idx="49">
                  <c:v>7</c:v>
                </c:pt>
                <c:pt idx="50">
                  <c:v>8</c:v>
                </c:pt>
                <c:pt idx="51">
                  <c:v>4</c:v>
                </c:pt>
                <c:pt idx="52">
                  <c:v>3</c:v>
                </c:pt>
                <c:pt idx="53">
                  <c:v>4</c:v>
                </c:pt>
                <c:pt idx="54">
                  <c:v>8</c:v>
                </c:pt>
                <c:pt idx="55">
                  <c:v>6</c:v>
                </c:pt>
                <c:pt idx="56">
                  <c:v>8</c:v>
                </c:pt>
                <c:pt idx="57">
                  <c:v>6</c:v>
                </c:pt>
                <c:pt idx="58">
                  <c:v>4</c:v>
                </c:pt>
                <c:pt idx="59">
                  <c:v>7</c:v>
                </c:pt>
                <c:pt idx="60">
                  <c:v>7</c:v>
                </c:pt>
                <c:pt idx="61">
                  <c:v>7</c:v>
                </c:pt>
                <c:pt idx="62">
                  <c:v>8</c:v>
                </c:pt>
                <c:pt idx="63">
                  <c:v>4</c:v>
                </c:pt>
                <c:pt idx="64">
                  <c:v>7</c:v>
                </c:pt>
                <c:pt idx="65">
                  <c:v>3</c:v>
                </c:pt>
                <c:pt idx="66">
                  <c:v>6</c:v>
                </c:pt>
                <c:pt idx="67">
                  <c:v>8</c:v>
                </c:pt>
                <c:pt idx="68">
                  <c:v>2</c:v>
                </c:pt>
                <c:pt idx="69">
                  <c:v>7</c:v>
                </c:pt>
                <c:pt idx="70">
                  <c:v>6</c:v>
                </c:pt>
                <c:pt idx="71">
                  <c:v>8</c:v>
                </c:pt>
                <c:pt idx="72">
                  <c:v>7</c:v>
                </c:pt>
                <c:pt idx="73">
                  <c:v>6</c:v>
                </c:pt>
                <c:pt idx="74">
                  <c:v>7</c:v>
                </c:pt>
                <c:pt idx="75">
                  <c:v>6</c:v>
                </c:pt>
                <c:pt idx="76">
                  <c:v>3</c:v>
                </c:pt>
                <c:pt idx="77">
                  <c:v>7</c:v>
                </c:pt>
                <c:pt idx="78">
                  <c:v>6</c:v>
                </c:pt>
                <c:pt idx="79">
                  <c:v>7</c:v>
                </c:pt>
                <c:pt idx="80">
                  <c:v>7</c:v>
                </c:pt>
                <c:pt idx="81">
                  <c:v>0</c:v>
                </c:pt>
                <c:pt idx="82">
                  <c:v>5</c:v>
                </c:pt>
                <c:pt idx="83">
                  <c:v>6</c:v>
                </c:pt>
                <c:pt idx="84">
                  <c:v>7</c:v>
                </c:pt>
                <c:pt idx="85">
                  <c:v>2</c:v>
                </c:pt>
                <c:pt idx="86">
                  <c:v>1</c:v>
                </c:pt>
                <c:pt idx="87">
                  <c:v>6</c:v>
                </c:pt>
                <c:pt idx="88">
                  <c:v>5</c:v>
                </c:pt>
                <c:pt idx="89">
                  <c:v>6</c:v>
                </c:pt>
                <c:pt idx="90">
                  <c:v>7</c:v>
                </c:pt>
                <c:pt idx="91">
                  <c:v>5</c:v>
                </c:pt>
                <c:pt idx="92">
                  <c:v>4</c:v>
                </c:pt>
                <c:pt idx="93">
                  <c:v>6</c:v>
                </c:pt>
                <c:pt idx="94">
                  <c:v>5</c:v>
                </c:pt>
                <c:pt idx="95">
                  <c:v>5</c:v>
                </c:pt>
                <c:pt idx="96">
                  <c:v>4</c:v>
                </c:pt>
                <c:pt idx="97">
                  <c:v>5</c:v>
                </c:pt>
                <c:pt idx="98">
                  <c:v>5</c:v>
                </c:pt>
                <c:pt idx="99">
                  <c:v>8</c:v>
                </c:pt>
                <c:pt idx="100">
                  <c:v>5</c:v>
                </c:pt>
                <c:pt idx="101">
                  <c:v>4</c:v>
                </c:pt>
                <c:pt idx="102">
                  <c:v>4</c:v>
                </c:pt>
                <c:pt idx="103">
                  <c:v>5</c:v>
                </c:pt>
                <c:pt idx="104">
                  <c:v>2</c:v>
                </c:pt>
                <c:pt idx="105">
                  <c:v>4</c:v>
                </c:pt>
                <c:pt idx="106">
                  <c:v>3</c:v>
                </c:pt>
                <c:pt idx="107">
                  <c:v>7</c:v>
                </c:pt>
                <c:pt idx="108">
                  <c:v>4</c:v>
                </c:pt>
                <c:pt idx="109">
                  <c:v>8</c:v>
                </c:pt>
                <c:pt idx="110">
                  <c:v>6</c:v>
                </c:pt>
                <c:pt idx="111">
                  <c:v>7</c:v>
                </c:pt>
                <c:pt idx="112">
                  <c:v>5</c:v>
                </c:pt>
                <c:pt idx="113">
                  <c:v>4</c:v>
                </c:pt>
                <c:pt idx="114">
                  <c:v>5</c:v>
                </c:pt>
                <c:pt idx="115">
                  <c:v>8</c:v>
                </c:pt>
                <c:pt idx="116">
                  <c:v>5</c:v>
                </c:pt>
                <c:pt idx="117">
                  <c:v>6</c:v>
                </c:pt>
                <c:pt idx="118">
                  <c:v>6</c:v>
                </c:pt>
                <c:pt idx="119">
                  <c:v>4</c:v>
                </c:pt>
                <c:pt idx="120">
                  <c:v>5</c:v>
                </c:pt>
                <c:pt idx="121">
                  <c:v>4</c:v>
                </c:pt>
                <c:pt idx="122">
                  <c:v>8</c:v>
                </c:pt>
                <c:pt idx="123">
                  <c:v>7</c:v>
                </c:pt>
                <c:pt idx="124">
                  <c:v>6</c:v>
                </c:pt>
                <c:pt idx="125">
                  <c:v>7</c:v>
                </c:pt>
                <c:pt idx="126">
                  <c:v>6</c:v>
                </c:pt>
                <c:pt idx="127">
                  <c:v>7</c:v>
                </c:pt>
                <c:pt idx="128">
                  <c:v>3</c:v>
                </c:pt>
                <c:pt idx="129">
                  <c:v>2</c:v>
                </c:pt>
                <c:pt idx="130">
                  <c:v>8</c:v>
                </c:pt>
                <c:pt idx="131">
                  <c:v>7</c:v>
                </c:pt>
                <c:pt idx="132">
                  <c:v>5</c:v>
                </c:pt>
                <c:pt idx="133">
                  <c:v>4</c:v>
                </c:pt>
                <c:pt idx="134">
                  <c:v>5</c:v>
                </c:pt>
                <c:pt idx="135">
                  <c:v>4</c:v>
                </c:pt>
                <c:pt idx="136">
                  <c:v>4</c:v>
                </c:pt>
                <c:pt idx="137">
                  <c:v>8</c:v>
                </c:pt>
                <c:pt idx="138">
                  <c:v>5</c:v>
                </c:pt>
                <c:pt idx="139">
                  <c:v>5</c:v>
                </c:pt>
                <c:pt idx="140">
                  <c:v>6</c:v>
                </c:pt>
                <c:pt idx="141">
                  <c:v>7</c:v>
                </c:pt>
                <c:pt idx="142">
                  <c:v>3</c:v>
                </c:pt>
                <c:pt idx="143">
                  <c:v>6</c:v>
                </c:pt>
                <c:pt idx="144">
                  <c:v>4</c:v>
                </c:pt>
                <c:pt idx="145">
                  <c:v>7</c:v>
                </c:pt>
                <c:pt idx="146">
                  <c:v>6</c:v>
                </c:pt>
                <c:pt idx="147">
                  <c:v>3</c:v>
                </c:pt>
                <c:pt idx="148">
                  <c:v>5</c:v>
                </c:pt>
                <c:pt idx="149">
                  <c:v>6</c:v>
                </c:pt>
                <c:pt idx="150">
                  <c:v>5</c:v>
                </c:pt>
                <c:pt idx="151">
                  <c:v>6</c:v>
                </c:pt>
                <c:pt idx="152">
                  <c:v>5</c:v>
                </c:pt>
                <c:pt idx="153">
                  <c:v>5</c:v>
                </c:pt>
                <c:pt idx="154">
                  <c:v>5</c:v>
                </c:pt>
                <c:pt idx="155">
                  <c:v>7</c:v>
                </c:pt>
                <c:pt idx="156">
                  <c:v>6</c:v>
                </c:pt>
                <c:pt idx="157">
                  <c:v>4</c:v>
                </c:pt>
                <c:pt idx="158">
                  <c:v>6</c:v>
                </c:pt>
                <c:pt idx="159">
                  <c:v>0</c:v>
                </c:pt>
                <c:pt idx="160">
                  <c:v>7</c:v>
                </c:pt>
                <c:pt idx="161">
                  <c:v>7</c:v>
                </c:pt>
                <c:pt idx="162">
                  <c:v>5</c:v>
                </c:pt>
                <c:pt idx="163">
                  <c:v>5</c:v>
                </c:pt>
                <c:pt idx="164">
                  <c:v>3</c:v>
                </c:pt>
                <c:pt idx="165">
                  <c:v>8</c:v>
                </c:pt>
                <c:pt idx="166">
                  <c:v>7</c:v>
                </c:pt>
                <c:pt idx="167">
                  <c:v>6</c:v>
                </c:pt>
                <c:pt idx="168">
                  <c:v>8</c:v>
                </c:pt>
                <c:pt idx="169">
                  <c:v>7</c:v>
                </c:pt>
                <c:pt idx="170">
                  <c:v>8</c:v>
                </c:pt>
                <c:pt idx="171">
                  <c:v>7</c:v>
                </c:pt>
                <c:pt idx="172">
                  <c:v>8</c:v>
                </c:pt>
                <c:pt idx="173">
                  <c:v>4</c:v>
                </c:pt>
                <c:pt idx="174">
                  <c:v>8</c:v>
                </c:pt>
                <c:pt idx="175">
                  <c:v>3</c:v>
                </c:pt>
                <c:pt idx="176">
                  <c:v>3</c:v>
                </c:pt>
                <c:pt idx="177">
                  <c:v>4</c:v>
                </c:pt>
                <c:pt idx="178">
                  <c:v>3</c:v>
                </c:pt>
                <c:pt idx="179">
                  <c:v>4</c:v>
                </c:pt>
                <c:pt idx="180">
                  <c:v>7</c:v>
                </c:pt>
                <c:pt idx="181">
                  <c:v>5</c:v>
                </c:pt>
                <c:pt idx="182">
                  <c:v>0</c:v>
                </c:pt>
                <c:pt idx="183">
                  <c:v>4</c:v>
                </c:pt>
                <c:pt idx="184">
                  <c:v>2</c:v>
                </c:pt>
                <c:pt idx="185">
                  <c:v>4</c:v>
                </c:pt>
                <c:pt idx="186">
                  <c:v>5</c:v>
                </c:pt>
                <c:pt idx="187">
                  <c:v>7</c:v>
                </c:pt>
                <c:pt idx="188">
                  <c:v>6</c:v>
                </c:pt>
                <c:pt idx="189">
                  <c:v>7</c:v>
                </c:pt>
                <c:pt idx="190">
                  <c:v>2</c:v>
                </c:pt>
                <c:pt idx="191">
                  <c:v>4</c:v>
                </c:pt>
                <c:pt idx="192">
                  <c:v>2</c:v>
                </c:pt>
                <c:pt idx="193">
                  <c:v>7</c:v>
                </c:pt>
                <c:pt idx="194">
                  <c:v>5</c:v>
                </c:pt>
                <c:pt idx="195">
                  <c:v>7</c:v>
                </c:pt>
                <c:pt idx="196">
                  <c:v>4</c:v>
                </c:pt>
                <c:pt idx="197">
                  <c:v>8</c:v>
                </c:pt>
                <c:pt idx="198">
                  <c:v>6</c:v>
                </c:pt>
                <c:pt idx="199">
                  <c:v>2</c:v>
                </c:pt>
                <c:pt idx="200">
                  <c:v>5</c:v>
                </c:pt>
                <c:pt idx="201">
                  <c:v>7</c:v>
                </c:pt>
                <c:pt idx="202">
                  <c:v>4</c:v>
                </c:pt>
                <c:pt idx="203">
                  <c:v>8</c:v>
                </c:pt>
                <c:pt idx="204">
                  <c:v>3</c:v>
                </c:pt>
                <c:pt idx="205">
                  <c:v>7</c:v>
                </c:pt>
                <c:pt idx="206">
                  <c:v>6</c:v>
                </c:pt>
                <c:pt idx="207">
                  <c:v>8</c:v>
                </c:pt>
                <c:pt idx="208">
                  <c:v>6</c:v>
                </c:pt>
                <c:pt idx="209">
                  <c:v>4</c:v>
                </c:pt>
                <c:pt idx="210">
                  <c:v>6</c:v>
                </c:pt>
                <c:pt idx="211">
                  <c:v>5</c:v>
                </c:pt>
                <c:pt idx="212">
                  <c:v>7</c:v>
                </c:pt>
                <c:pt idx="213">
                  <c:v>7</c:v>
                </c:pt>
                <c:pt idx="214">
                  <c:v>3</c:v>
                </c:pt>
                <c:pt idx="215">
                  <c:v>7</c:v>
                </c:pt>
                <c:pt idx="216">
                  <c:v>1</c:v>
                </c:pt>
                <c:pt idx="217">
                  <c:v>4</c:v>
                </c:pt>
                <c:pt idx="218">
                  <c:v>7</c:v>
                </c:pt>
                <c:pt idx="219">
                  <c:v>3</c:v>
                </c:pt>
                <c:pt idx="220">
                  <c:v>7</c:v>
                </c:pt>
                <c:pt idx="221">
                  <c:v>6</c:v>
                </c:pt>
                <c:pt idx="222">
                  <c:v>6</c:v>
                </c:pt>
                <c:pt idx="223">
                  <c:v>7</c:v>
                </c:pt>
                <c:pt idx="224">
                  <c:v>4</c:v>
                </c:pt>
                <c:pt idx="225">
                  <c:v>3</c:v>
                </c:pt>
                <c:pt idx="226">
                  <c:v>3</c:v>
                </c:pt>
                <c:pt idx="227">
                  <c:v>5</c:v>
                </c:pt>
                <c:pt idx="228">
                  <c:v>3</c:v>
                </c:pt>
                <c:pt idx="229">
                  <c:v>4</c:v>
                </c:pt>
                <c:pt idx="230">
                  <c:v>3</c:v>
                </c:pt>
                <c:pt idx="231">
                  <c:v>5</c:v>
                </c:pt>
                <c:pt idx="232">
                  <c:v>3</c:v>
                </c:pt>
                <c:pt idx="233">
                  <c:v>7</c:v>
                </c:pt>
                <c:pt idx="234">
                  <c:v>2</c:v>
                </c:pt>
                <c:pt idx="235">
                  <c:v>8</c:v>
                </c:pt>
                <c:pt idx="236">
                  <c:v>2</c:v>
                </c:pt>
                <c:pt idx="237">
                  <c:v>5</c:v>
                </c:pt>
                <c:pt idx="238">
                  <c:v>5</c:v>
                </c:pt>
                <c:pt idx="239">
                  <c:v>5</c:v>
                </c:pt>
                <c:pt idx="240">
                  <c:v>3</c:v>
                </c:pt>
                <c:pt idx="241">
                  <c:v>7</c:v>
                </c:pt>
                <c:pt idx="242">
                  <c:v>5</c:v>
                </c:pt>
                <c:pt idx="243">
                  <c:v>4</c:v>
                </c:pt>
                <c:pt idx="244">
                  <c:v>6</c:v>
                </c:pt>
                <c:pt idx="245">
                  <c:v>5</c:v>
                </c:pt>
                <c:pt idx="246">
                  <c:v>6</c:v>
                </c:pt>
                <c:pt idx="247">
                  <c:v>4</c:v>
                </c:pt>
                <c:pt idx="248">
                  <c:v>6</c:v>
                </c:pt>
                <c:pt idx="249">
                  <c:v>6</c:v>
                </c:pt>
                <c:pt idx="250">
                  <c:v>4</c:v>
                </c:pt>
                <c:pt idx="251">
                  <c:v>7</c:v>
                </c:pt>
                <c:pt idx="252">
                  <c:v>7</c:v>
                </c:pt>
                <c:pt idx="253">
                  <c:v>6</c:v>
                </c:pt>
                <c:pt idx="254">
                  <c:v>2</c:v>
                </c:pt>
                <c:pt idx="255">
                  <c:v>5</c:v>
                </c:pt>
                <c:pt idx="256">
                  <c:v>5</c:v>
                </c:pt>
                <c:pt idx="257">
                  <c:v>6</c:v>
                </c:pt>
                <c:pt idx="258">
                  <c:v>8</c:v>
                </c:pt>
                <c:pt idx="259">
                  <c:v>4</c:v>
                </c:pt>
                <c:pt idx="260">
                  <c:v>7</c:v>
                </c:pt>
                <c:pt idx="261">
                  <c:v>7</c:v>
                </c:pt>
                <c:pt idx="262">
                  <c:v>6</c:v>
                </c:pt>
                <c:pt idx="263">
                  <c:v>4</c:v>
                </c:pt>
                <c:pt idx="264">
                  <c:v>7</c:v>
                </c:pt>
                <c:pt idx="265">
                  <c:v>2</c:v>
                </c:pt>
                <c:pt idx="266">
                  <c:v>5</c:v>
                </c:pt>
                <c:pt idx="267">
                  <c:v>2</c:v>
                </c:pt>
                <c:pt idx="268">
                  <c:v>7</c:v>
                </c:pt>
                <c:pt idx="269">
                  <c:v>4</c:v>
                </c:pt>
                <c:pt idx="270">
                  <c:v>7</c:v>
                </c:pt>
                <c:pt idx="271">
                  <c:v>6</c:v>
                </c:pt>
                <c:pt idx="272">
                  <c:v>7</c:v>
                </c:pt>
                <c:pt idx="273">
                  <c:v>7</c:v>
                </c:pt>
                <c:pt idx="274">
                  <c:v>3</c:v>
                </c:pt>
                <c:pt idx="275">
                  <c:v>8</c:v>
                </c:pt>
                <c:pt idx="276">
                  <c:v>7</c:v>
                </c:pt>
                <c:pt idx="277">
                  <c:v>8</c:v>
                </c:pt>
                <c:pt idx="278">
                  <c:v>5</c:v>
                </c:pt>
                <c:pt idx="279">
                  <c:v>7</c:v>
                </c:pt>
                <c:pt idx="280">
                  <c:v>6</c:v>
                </c:pt>
                <c:pt idx="281">
                  <c:v>5</c:v>
                </c:pt>
                <c:pt idx="282">
                  <c:v>8</c:v>
                </c:pt>
                <c:pt idx="283">
                  <c:v>6</c:v>
                </c:pt>
                <c:pt idx="284">
                  <c:v>7</c:v>
                </c:pt>
                <c:pt idx="285">
                  <c:v>5</c:v>
                </c:pt>
                <c:pt idx="286">
                  <c:v>3</c:v>
                </c:pt>
                <c:pt idx="287">
                  <c:v>7</c:v>
                </c:pt>
                <c:pt idx="288">
                  <c:v>3</c:v>
                </c:pt>
                <c:pt idx="289">
                  <c:v>6</c:v>
                </c:pt>
                <c:pt idx="290">
                  <c:v>8</c:v>
                </c:pt>
                <c:pt idx="291">
                  <c:v>5</c:v>
                </c:pt>
                <c:pt idx="292">
                  <c:v>2</c:v>
                </c:pt>
                <c:pt idx="293">
                  <c:v>7</c:v>
                </c:pt>
                <c:pt idx="294">
                  <c:v>7</c:v>
                </c:pt>
                <c:pt idx="295">
                  <c:v>5</c:v>
                </c:pt>
                <c:pt idx="296">
                  <c:v>5</c:v>
                </c:pt>
                <c:pt idx="297">
                  <c:v>6</c:v>
                </c:pt>
                <c:pt idx="298">
                  <c:v>7</c:v>
                </c:pt>
                <c:pt idx="299">
                  <c:v>6</c:v>
                </c:pt>
                <c:pt idx="300">
                  <c:v>5</c:v>
                </c:pt>
                <c:pt idx="301">
                  <c:v>3</c:v>
                </c:pt>
                <c:pt idx="302">
                  <c:v>5</c:v>
                </c:pt>
                <c:pt idx="303">
                  <c:v>6</c:v>
                </c:pt>
                <c:pt idx="304">
                  <c:v>5</c:v>
                </c:pt>
                <c:pt idx="305">
                  <c:v>7</c:v>
                </c:pt>
                <c:pt idx="306">
                  <c:v>7</c:v>
                </c:pt>
                <c:pt idx="307">
                  <c:v>4</c:v>
                </c:pt>
                <c:pt idx="308">
                  <c:v>8</c:v>
                </c:pt>
                <c:pt idx="309">
                  <c:v>2</c:v>
                </c:pt>
                <c:pt idx="310">
                  <c:v>5</c:v>
                </c:pt>
                <c:pt idx="311">
                  <c:v>6</c:v>
                </c:pt>
                <c:pt idx="312">
                  <c:v>2</c:v>
                </c:pt>
                <c:pt idx="313">
                  <c:v>7</c:v>
                </c:pt>
                <c:pt idx="314">
                  <c:v>7</c:v>
                </c:pt>
                <c:pt idx="315">
                  <c:v>7</c:v>
                </c:pt>
                <c:pt idx="316">
                  <c:v>4</c:v>
                </c:pt>
                <c:pt idx="317">
                  <c:v>3</c:v>
                </c:pt>
                <c:pt idx="318">
                  <c:v>6</c:v>
                </c:pt>
                <c:pt idx="319">
                  <c:v>3</c:v>
                </c:pt>
                <c:pt idx="320">
                  <c:v>6</c:v>
                </c:pt>
                <c:pt idx="321">
                  <c:v>8</c:v>
                </c:pt>
                <c:pt idx="322">
                  <c:v>6</c:v>
                </c:pt>
                <c:pt idx="323">
                  <c:v>3</c:v>
                </c:pt>
                <c:pt idx="324">
                  <c:v>7</c:v>
                </c:pt>
                <c:pt idx="325">
                  <c:v>7</c:v>
                </c:pt>
                <c:pt idx="326">
                  <c:v>6</c:v>
                </c:pt>
                <c:pt idx="327">
                  <c:v>7</c:v>
                </c:pt>
                <c:pt idx="328">
                  <c:v>7</c:v>
                </c:pt>
                <c:pt idx="329">
                  <c:v>8</c:v>
                </c:pt>
                <c:pt idx="330">
                  <c:v>6</c:v>
                </c:pt>
                <c:pt idx="331">
                  <c:v>5</c:v>
                </c:pt>
                <c:pt idx="332">
                  <c:v>6</c:v>
                </c:pt>
                <c:pt idx="333">
                  <c:v>2</c:v>
                </c:pt>
                <c:pt idx="334">
                  <c:v>5</c:v>
                </c:pt>
                <c:pt idx="335">
                  <c:v>4</c:v>
                </c:pt>
                <c:pt idx="336">
                  <c:v>5</c:v>
                </c:pt>
                <c:pt idx="337">
                  <c:v>5</c:v>
                </c:pt>
                <c:pt idx="338">
                  <c:v>7</c:v>
                </c:pt>
                <c:pt idx="339">
                  <c:v>3</c:v>
                </c:pt>
                <c:pt idx="340">
                  <c:v>4</c:v>
                </c:pt>
                <c:pt idx="341">
                  <c:v>5</c:v>
                </c:pt>
                <c:pt idx="342">
                  <c:v>7</c:v>
                </c:pt>
                <c:pt idx="343">
                  <c:v>7</c:v>
                </c:pt>
                <c:pt idx="344">
                  <c:v>6</c:v>
                </c:pt>
                <c:pt idx="345">
                  <c:v>7</c:v>
                </c:pt>
                <c:pt idx="346">
                  <c:v>4</c:v>
                </c:pt>
                <c:pt idx="347">
                  <c:v>5</c:v>
                </c:pt>
                <c:pt idx="348">
                  <c:v>5</c:v>
                </c:pt>
                <c:pt idx="349">
                  <c:v>5</c:v>
                </c:pt>
                <c:pt idx="350">
                  <c:v>7</c:v>
                </c:pt>
                <c:pt idx="351">
                  <c:v>3</c:v>
                </c:pt>
                <c:pt idx="352">
                  <c:v>5</c:v>
                </c:pt>
                <c:pt idx="353">
                  <c:v>5</c:v>
                </c:pt>
                <c:pt idx="354">
                  <c:v>7</c:v>
                </c:pt>
                <c:pt idx="355">
                  <c:v>4</c:v>
                </c:pt>
                <c:pt idx="356">
                  <c:v>7</c:v>
                </c:pt>
                <c:pt idx="357">
                  <c:v>6</c:v>
                </c:pt>
                <c:pt idx="358">
                  <c:v>7</c:v>
                </c:pt>
                <c:pt idx="359">
                  <c:v>7</c:v>
                </c:pt>
                <c:pt idx="360">
                  <c:v>7</c:v>
                </c:pt>
                <c:pt idx="361">
                  <c:v>7</c:v>
                </c:pt>
                <c:pt idx="362">
                  <c:v>5</c:v>
                </c:pt>
                <c:pt idx="363">
                  <c:v>4</c:v>
                </c:pt>
                <c:pt idx="364">
                  <c:v>8</c:v>
                </c:pt>
                <c:pt idx="365">
                  <c:v>8</c:v>
                </c:pt>
                <c:pt idx="366">
                  <c:v>6</c:v>
                </c:pt>
                <c:pt idx="367">
                  <c:v>4</c:v>
                </c:pt>
                <c:pt idx="368">
                  <c:v>4</c:v>
                </c:pt>
                <c:pt idx="369">
                  <c:v>3</c:v>
                </c:pt>
                <c:pt idx="370">
                  <c:v>3</c:v>
                </c:pt>
                <c:pt idx="371">
                  <c:v>6</c:v>
                </c:pt>
                <c:pt idx="372">
                  <c:v>4</c:v>
                </c:pt>
                <c:pt idx="373">
                  <c:v>2</c:v>
                </c:pt>
                <c:pt idx="374">
                  <c:v>6</c:v>
                </c:pt>
                <c:pt idx="375">
                  <c:v>3</c:v>
                </c:pt>
                <c:pt idx="376">
                  <c:v>2</c:v>
                </c:pt>
                <c:pt idx="377">
                  <c:v>6</c:v>
                </c:pt>
                <c:pt idx="378">
                  <c:v>7</c:v>
                </c:pt>
                <c:pt idx="379">
                  <c:v>4</c:v>
                </c:pt>
                <c:pt idx="380">
                  <c:v>7</c:v>
                </c:pt>
                <c:pt idx="381">
                  <c:v>6</c:v>
                </c:pt>
                <c:pt idx="382">
                  <c:v>3</c:v>
                </c:pt>
                <c:pt idx="383">
                  <c:v>5</c:v>
                </c:pt>
                <c:pt idx="384">
                  <c:v>7</c:v>
                </c:pt>
                <c:pt idx="385">
                  <c:v>7</c:v>
                </c:pt>
                <c:pt idx="386">
                  <c:v>2</c:v>
                </c:pt>
                <c:pt idx="387">
                  <c:v>6</c:v>
                </c:pt>
                <c:pt idx="388">
                  <c:v>6</c:v>
                </c:pt>
                <c:pt idx="389">
                  <c:v>6</c:v>
                </c:pt>
                <c:pt idx="390">
                  <c:v>7</c:v>
                </c:pt>
                <c:pt idx="391">
                  <c:v>4</c:v>
                </c:pt>
                <c:pt idx="392">
                  <c:v>6</c:v>
                </c:pt>
                <c:pt idx="393">
                  <c:v>1</c:v>
                </c:pt>
                <c:pt idx="394">
                  <c:v>7</c:v>
                </c:pt>
                <c:pt idx="395">
                  <c:v>6</c:v>
                </c:pt>
                <c:pt idx="396">
                  <c:v>6</c:v>
                </c:pt>
                <c:pt idx="397">
                  <c:v>7</c:v>
                </c:pt>
              </c:numCache>
            </c:numRef>
          </c:xVal>
          <c:yVal>
            <c:numRef>
              <c:f>RecommendData!$C$2:$C$399</c:f>
              <c:numCache>
                <c:formatCode>General</c:formatCode>
                <c:ptCount val="398"/>
                <c:pt idx="0">
                  <c:v>100</c:v>
                </c:pt>
                <c:pt idx="1">
                  <c:v>15</c:v>
                </c:pt>
                <c:pt idx="2">
                  <c:v>5</c:v>
                </c:pt>
                <c:pt idx="3">
                  <c:v>0</c:v>
                </c:pt>
                <c:pt idx="4">
                  <c:v>73</c:v>
                </c:pt>
                <c:pt idx="5">
                  <c:v>61</c:v>
                </c:pt>
                <c:pt idx="6">
                  <c:v>95</c:v>
                </c:pt>
                <c:pt idx="7">
                  <c:v>85</c:v>
                </c:pt>
                <c:pt idx="8">
                  <c:v>92</c:v>
                </c:pt>
                <c:pt idx="9">
                  <c:v>5</c:v>
                </c:pt>
                <c:pt idx="10">
                  <c:v>92</c:v>
                </c:pt>
                <c:pt idx="11">
                  <c:v>10</c:v>
                </c:pt>
                <c:pt idx="12">
                  <c:v>16</c:v>
                </c:pt>
                <c:pt idx="13">
                  <c:v>100</c:v>
                </c:pt>
                <c:pt idx="14">
                  <c:v>94</c:v>
                </c:pt>
                <c:pt idx="15">
                  <c:v>40</c:v>
                </c:pt>
                <c:pt idx="16">
                  <c:v>90</c:v>
                </c:pt>
                <c:pt idx="17">
                  <c:v>50</c:v>
                </c:pt>
                <c:pt idx="18">
                  <c:v>97</c:v>
                </c:pt>
                <c:pt idx="19">
                  <c:v>10</c:v>
                </c:pt>
                <c:pt idx="20">
                  <c:v>75</c:v>
                </c:pt>
                <c:pt idx="21">
                  <c:v>71</c:v>
                </c:pt>
                <c:pt idx="22">
                  <c:v>89</c:v>
                </c:pt>
                <c:pt idx="23">
                  <c:v>69</c:v>
                </c:pt>
                <c:pt idx="24">
                  <c:v>70</c:v>
                </c:pt>
                <c:pt idx="25">
                  <c:v>0</c:v>
                </c:pt>
                <c:pt idx="26">
                  <c:v>31</c:v>
                </c:pt>
                <c:pt idx="27">
                  <c:v>9</c:v>
                </c:pt>
                <c:pt idx="28">
                  <c:v>60</c:v>
                </c:pt>
                <c:pt idx="29">
                  <c:v>20</c:v>
                </c:pt>
                <c:pt idx="30">
                  <c:v>65</c:v>
                </c:pt>
                <c:pt idx="31">
                  <c:v>81</c:v>
                </c:pt>
                <c:pt idx="32">
                  <c:v>15</c:v>
                </c:pt>
                <c:pt idx="33">
                  <c:v>100</c:v>
                </c:pt>
                <c:pt idx="34">
                  <c:v>82</c:v>
                </c:pt>
                <c:pt idx="35">
                  <c:v>15</c:v>
                </c:pt>
                <c:pt idx="36">
                  <c:v>70</c:v>
                </c:pt>
                <c:pt idx="37">
                  <c:v>96</c:v>
                </c:pt>
                <c:pt idx="38">
                  <c:v>3</c:v>
                </c:pt>
                <c:pt idx="39">
                  <c:v>60</c:v>
                </c:pt>
                <c:pt idx="40">
                  <c:v>30</c:v>
                </c:pt>
                <c:pt idx="41">
                  <c:v>60</c:v>
                </c:pt>
                <c:pt idx="42">
                  <c:v>91</c:v>
                </c:pt>
                <c:pt idx="43">
                  <c:v>13</c:v>
                </c:pt>
                <c:pt idx="44">
                  <c:v>85</c:v>
                </c:pt>
                <c:pt idx="45">
                  <c:v>20</c:v>
                </c:pt>
                <c:pt idx="46">
                  <c:v>37</c:v>
                </c:pt>
                <c:pt idx="47">
                  <c:v>90</c:v>
                </c:pt>
                <c:pt idx="48">
                  <c:v>83</c:v>
                </c:pt>
                <c:pt idx="49">
                  <c:v>10</c:v>
                </c:pt>
                <c:pt idx="50">
                  <c:v>16</c:v>
                </c:pt>
                <c:pt idx="51">
                  <c:v>90</c:v>
                </c:pt>
                <c:pt idx="52">
                  <c:v>25</c:v>
                </c:pt>
                <c:pt idx="53">
                  <c:v>13</c:v>
                </c:pt>
                <c:pt idx="54">
                  <c:v>75</c:v>
                </c:pt>
                <c:pt idx="55">
                  <c:v>100</c:v>
                </c:pt>
                <c:pt idx="56">
                  <c:v>79</c:v>
                </c:pt>
                <c:pt idx="57">
                  <c:v>80</c:v>
                </c:pt>
                <c:pt idx="58">
                  <c:v>57</c:v>
                </c:pt>
                <c:pt idx="59">
                  <c:v>80</c:v>
                </c:pt>
                <c:pt idx="60">
                  <c:v>85</c:v>
                </c:pt>
                <c:pt idx="61">
                  <c:v>27</c:v>
                </c:pt>
                <c:pt idx="62">
                  <c:v>10</c:v>
                </c:pt>
                <c:pt idx="63">
                  <c:v>40</c:v>
                </c:pt>
                <c:pt idx="64">
                  <c:v>76</c:v>
                </c:pt>
                <c:pt idx="65">
                  <c:v>31</c:v>
                </c:pt>
                <c:pt idx="66">
                  <c:v>80</c:v>
                </c:pt>
                <c:pt idx="67">
                  <c:v>65</c:v>
                </c:pt>
                <c:pt idx="68">
                  <c:v>100</c:v>
                </c:pt>
                <c:pt idx="69">
                  <c:v>80</c:v>
                </c:pt>
                <c:pt idx="70">
                  <c:v>81</c:v>
                </c:pt>
                <c:pt idx="71">
                  <c:v>0</c:v>
                </c:pt>
                <c:pt idx="72">
                  <c:v>0</c:v>
                </c:pt>
                <c:pt idx="73">
                  <c:v>36</c:v>
                </c:pt>
                <c:pt idx="74">
                  <c:v>10</c:v>
                </c:pt>
                <c:pt idx="75">
                  <c:v>20</c:v>
                </c:pt>
                <c:pt idx="76">
                  <c:v>82</c:v>
                </c:pt>
                <c:pt idx="77">
                  <c:v>100</c:v>
                </c:pt>
                <c:pt idx="78">
                  <c:v>70</c:v>
                </c:pt>
                <c:pt idx="79">
                  <c:v>72</c:v>
                </c:pt>
                <c:pt idx="80">
                  <c:v>23</c:v>
                </c:pt>
                <c:pt idx="81">
                  <c:v>82</c:v>
                </c:pt>
                <c:pt idx="82">
                  <c:v>80</c:v>
                </c:pt>
                <c:pt idx="83">
                  <c:v>81</c:v>
                </c:pt>
                <c:pt idx="84">
                  <c:v>10</c:v>
                </c:pt>
                <c:pt idx="85">
                  <c:v>75</c:v>
                </c:pt>
                <c:pt idx="86">
                  <c:v>74</c:v>
                </c:pt>
                <c:pt idx="87">
                  <c:v>20</c:v>
                </c:pt>
                <c:pt idx="88">
                  <c:v>100</c:v>
                </c:pt>
                <c:pt idx="89">
                  <c:v>51</c:v>
                </c:pt>
                <c:pt idx="90">
                  <c:v>12</c:v>
                </c:pt>
                <c:pt idx="91">
                  <c:v>11</c:v>
                </c:pt>
                <c:pt idx="92">
                  <c:v>95</c:v>
                </c:pt>
                <c:pt idx="93">
                  <c:v>100</c:v>
                </c:pt>
                <c:pt idx="94">
                  <c:v>70</c:v>
                </c:pt>
                <c:pt idx="95">
                  <c:v>100</c:v>
                </c:pt>
                <c:pt idx="96">
                  <c:v>85</c:v>
                </c:pt>
                <c:pt idx="97">
                  <c:v>67</c:v>
                </c:pt>
                <c:pt idx="98">
                  <c:v>80</c:v>
                </c:pt>
                <c:pt idx="99">
                  <c:v>95</c:v>
                </c:pt>
                <c:pt idx="100">
                  <c:v>70</c:v>
                </c:pt>
                <c:pt idx="101">
                  <c:v>70</c:v>
                </c:pt>
                <c:pt idx="102">
                  <c:v>65</c:v>
                </c:pt>
                <c:pt idx="103">
                  <c:v>72</c:v>
                </c:pt>
                <c:pt idx="104">
                  <c:v>16</c:v>
                </c:pt>
                <c:pt idx="105">
                  <c:v>60</c:v>
                </c:pt>
                <c:pt idx="106">
                  <c:v>87</c:v>
                </c:pt>
                <c:pt idx="107">
                  <c:v>100</c:v>
                </c:pt>
                <c:pt idx="108">
                  <c:v>100</c:v>
                </c:pt>
                <c:pt idx="109">
                  <c:v>79</c:v>
                </c:pt>
                <c:pt idx="110">
                  <c:v>66</c:v>
                </c:pt>
                <c:pt idx="111">
                  <c:v>100</c:v>
                </c:pt>
                <c:pt idx="112">
                  <c:v>62</c:v>
                </c:pt>
                <c:pt idx="113">
                  <c:v>71</c:v>
                </c:pt>
                <c:pt idx="114">
                  <c:v>66</c:v>
                </c:pt>
                <c:pt idx="115">
                  <c:v>75</c:v>
                </c:pt>
                <c:pt idx="116">
                  <c:v>78</c:v>
                </c:pt>
                <c:pt idx="117">
                  <c:v>5</c:v>
                </c:pt>
                <c:pt idx="118">
                  <c:v>100</c:v>
                </c:pt>
                <c:pt idx="119">
                  <c:v>19</c:v>
                </c:pt>
                <c:pt idx="120">
                  <c:v>15</c:v>
                </c:pt>
                <c:pt idx="121">
                  <c:v>30</c:v>
                </c:pt>
                <c:pt idx="122">
                  <c:v>60</c:v>
                </c:pt>
                <c:pt idx="123">
                  <c:v>64</c:v>
                </c:pt>
                <c:pt idx="124">
                  <c:v>77</c:v>
                </c:pt>
                <c:pt idx="125">
                  <c:v>25</c:v>
                </c:pt>
                <c:pt idx="126">
                  <c:v>80</c:v>
                </c:pt>
                <c:pt idx="127">
                  <c:v>25</c:v>
                </c:pt>
                <c:pt idx="128">
                  <c:v>68</c:v>
                </c:pt>
                <c:pt idx="129">
                  <c:v>73</c:v>
                </c:pt>
                <c:pt idx="130">
                  <c:v>0</c:v>
                </c:pt>
                <c:pt idx="131">
                  <c:v>70</c:v>
                </c:pt>
                <c:pt idx="132">
                  <c:v>33</c:v>
                </c:pt>
                <c:pt idx="133">
                  <c:v>33</c:v>
                </c:pt>
                <c:pt idx="134">
                  <c:v>75</c:v>
                </c:pt>
                <c:pt idx="135">
                  <c:v>90</c:v>
                </c:pt>
                <c:pt idx="136">
                  <c:v>67</c:v>
                </c:pt>
                <c:pt idx="137">
                  <c:v>60</c:v>
                </c:pt>
                <c:pt idx="138">
                  <c:v>30</c:v>
                </c:pt>
                <c:pt idx="139">
                  <c:v>100</c:v>
                </c:pt>
                <c:pt idx="140">
                  <c:v>100</c:v>
                </c:pt>
                <c:pt idx="141">
                  <c:v>20</c:v>
                </c:pt>
                <c:pt idx="142">
                  <c:v>42</c:v>
                </c:pt>
                <c:pt idx="143">
                  <c:v>85</c:v>
                </c:pt>
                <c:pt idx="144">
                  <c:v>79</c:v>
                </c:pt>
                <c:pt idx="145">
                  <c:v>70</c:v>
                </c:pt>
                <c:pt idx="146">
                  <c:v>25</c:v>
                </c:pt>
                <c:pt idx="147">
                  <c:v>50</c:v>
                </c:pt>
                <c:pt idx="148">
                  <c:v>100</c:v>
                </c:pt>
                <c:pt idx="149">
                  <c:v>90</c:v>
                </c:pt>
                <c:pt idx="150">
                  <c:v>81</c:v>
                </c:pt>
                <c:pt idx="151">
                  <c:v>100</c:v>
                </c:pt>
                <c:pt idx="152">
                  <c:v>11</c:v>
                </c:pt>
                <c:pt idx="153">
                  <c:v>100</c:v>
                </c:pt>
                <c:pt idx="154">
                  <c:v>91</c:v>
                </c:pt>
                <c:pt idx="155">
                  <c:v>70</c:v>
                </c:pt>
                <c:pt idx="156">
                  <c:v>32</c:v>
                </c:pt>
                <c:pt idx="157">
                  <c:v>90</c:v>
                </c:pt>
                <c:pt idx="158">
                  <c:v>80</c:v>
                </c:pt>
                <c:pt idx="159">
                  <c:v>0</c:v>
                </c:pt>
                <c:pt idx="160">
                  <c:v>86</c:v>
                </c:pt>
                <c:pt idx="161">
                  <c:v>100</c:v>
                </c:pt>
                <c:pt idx="162">
                  <c:v>6</c:v>
                </c:pt>
                <c:pt idx="163">
                  <c:v>10</c:v>
                </c:pt>
                <c:pt idx="164">
                  <c:v>21</c:v>
                </c:pt>
                <c:pt idx="165">
                  <c:v>43</c:v>
                </c:pt>
                <c:pt idx="166">
                  <c:v>82</c:v>
                </c:pt>
                <c:pt idx="167">
                  <c:v>85</c:v>
                </c:pt>
                <c:pt idx="168">
                  <c:v>60</c:v>
                </c:pt>
                <c:pt idx="169">
                  <c:v>60</c:v>
                </c:pt>
                <c:pt idx="170">
                  <c:v>10</c:v>
                </c:pt>
                <c:pt idx="171">
                  <c:v>64</c:v>
                </c:pt>
                <c:pt idx="172">
                  <c:v>79</c:v>
                </c:pt>
                <c:pt idx="173">
                  <c:v>73</c:v>
                </c:pt>
                <c:pt idx="174">
                  <c:v>20</c:v>
                </c:pt>
                <c:pt idx="175">
                  <c:v>96</c:v>
                </c:pt>
                <c:pt idx="176">
                  <c:v>50</c:v>
                </c:pt>
                <c:pt idx="177">
                  <c:v>61</c:v>
                </c:pt>
                <c:pt idx="178">
                  <c:v>86</c:v>
                </c:pt>
                <c:pt idx="179">
                  <c:v>10</c:v>
                </c:pt>
                <c:pt idx="180">
                  <c:v>100</c:v>
                </c:pt>
                <c:pt idx="181">
                  <c:v>90</c:v>
                </c:pt>
                <c:pt idx="182">
                  <c:v>25</c:v>
                </c:pt>
                <c:pt idx="183">
                  <c:v>100</c:v>
                </c:pt>
                <c:pt idx="184">
                  <c:v>80</c:v>
                </c:pt>
                <c:pt idx="185">
                  <c:v>91</c:v>
                </c:pt>
                <c:pt idx="186">
                  <c:v>90</c:v>
                </c:pt>
                <c:pt idx="187">
                  <c:v>67</c:v>
                </c:pt>
                <c:pt idx="188">
                  <c:v>80</c:v>
                </c:pt>
                <c:pt idx="189">
                  <c:v>70</c:v>
                </c:pt>
                <c:pt idx="190">
                  <c:v>62</c:v>
                </c:pt>
                <c:pt idx="191">
                  <c:v>85</c:v>
                </c:pt>
                <c:pt idx="192">
                  <c:v>79</c:v>
                </c:pt>
                <c:pt idx="193">
                  <c:v>91</c:v>
                </c:pt>
                <c:pt idx="194">
                  <c:v>35</c:v>
                </c:pt>
                <c:pt idx="195">
                  <c:v>35</c:v>
                </c:pt>
                <c:pt idx="196">
                  <c:v>20</c:v>
                </c:pt>
                <c:pt idx="197">
                  <c:v>5</c:v>
                </c:pt>
                <c:pt idx="198">
                  <c:v>50</c:v>
                </c:pt>
                <c:pt idx="199">
                  <c:v>50</c:v>
                </c:pt>
                <c:pt idx="200">
                  <c:v>92</c:v>
                </c:pt>
                <c:pt idx="201">
                  <c:v>72</c:v>
                </c:pt>
                <c:pt idx="202">
                  <c:v>99</c:v>
                </c:pt>
                <c:pt idx="203">
                  <c:v>75</c:v>
                </c:pt>
                <c:pt idx="204">
                  <c:v>100</c:v>
                </c:pt>
                <c:pt idx="205">
                  <c:v>29</c:v>
                </c:pt>
                <c:pt idx="206">
                  <c:v>84</c:v>
                </c:pt>
                <c:pt idx="207">
                  <c:v>60</c:v>
                </c:pt>
                <c:pt idx="208">
                  <c:v>100</c:v>
                </c:pt>
                <c:pt idx="209">
                  <c:v>43</c:v>
                </c:pt>
                <c:pt idx="210">
                  <c:v>91</c:v>
                </c:pt>
                <c:pt idx="211">
                  <c:v>95</c:v>
                </c:pt>
                <c:pt idx="212">
                  <c:v>100</c:v>
                </c:pt>
                <c:pt idx="213">
                  <c:v>46</c:v>
                </c:pt>
                <c:pt idx="214">
                  <c:v>60</c:v>
                </c:pt>
                <c:pt idx="215">
                  <c:v>40</c:v>
                </c:pt>
                <c:pt idx="216">
                  <c:v>100</c:v>
                </c:pt>
                <c:pt idx="217">
                  <c:v>75</c:v>
                </c:pt>
                <c:pt idx="218">
                  <c:v>100</c:v>
                </c:pt>
                <c:pt idx="219">
                  <c:v>61</c:v>
                </c:pt>
                <c:pt idx="220">
                  <c:v>30</c:v>
                </c:pt>
                <c:pt idx="221">
                  <c:v>55</c:v>
                </c:pt>
                <c:pt idx="222">
                  <c:v>1</c:v>
                </c:pt>
                <c:pt idx="223">
                  <c:v>50</c:v>
                </c:pt>
                <c:pt idx="224">
                  <c:v>90</c:v>
                </c:pt>
                <c:pt idx="225">
                  <c:v>90</c:v>
                </c:pt>
                <c:pt idx="226">
                  <c:v>47</c:v>
                </c:pt>
                <c:pt idx="227">
                  <c:v>15</c:v>
                </c:pt>
                <c:pt idx="228">
                  <c:v>71</c:v>
                </c:pt>
                <c:pt idx="229">
                  <c:v>80</c:v>
                </c:pt>
                <c:pt idx="230">
                  <c:v>78</c:v>
                </c:pt>
                <c:pt idx="231">
                  <c:v>4</c:v>
                </c:pt>
                <c:pt idx="232">
                  <c:v>100</c:v>
                </c:pt>
                <c:pt idx="233">
                  <c:v>100</c:v>
                </c:pt>
                <c:pt idx="234">
                  <c:v>0</c:v>
                </c:pt>
                <c:pt idx="235">
                  <c:v>5</c:v>
                </c:pt>
                <c:pt idx="236">
                  <c:v>0</c:v>
                </c:pt>
                <c:pt idx="237">
                  <c:v>91</c:v>
                </c:pt>
                <c:pt idx="238">
                  <c:v>77</c:v>
                </c:pt>
                <c:pt idx="239">
                  <c:v>51</c:v>
                </c:pt>
                <c:pt idx="240">
                  <c:v>82</c:v>
                </c:pt>
                <c:pt idx="241">
                  <c:v>20</c:v>
                </c:pt>
                <c:pt idx="242">
                  <c:v>100</c:v>
                </c:pt>
                <c:pt idx="243">
                  <c:v>82</c:v>
                </c:pt>
                <c:pt idx="244">
                  <c:v>74</c:v>
                </c:pt>
                <c:pt idx="245">
                  <c:v>56</c:v>
                </c:pt>
                <c:pt idx="246">
                  <c:v>50</c:v>
                </c:pt>
                <c:pt idx="247">
                  <c:v>70</c:v>
                </c:pt>
                <c:pt idx="248">
                  <c:v>73</c:v>
                </c:pt>
                <c:pt idx="249">
                  <c:v>10</c:v>
                </c:pt>
                <c:pt idx="250">
                  <c:v>50</c:v>
                </c:pt>
                <c:pt idx="251">
                  <c:v>57</c:v>
                </c:pt>
                <c:pt idx="252">
                  <c:v>20</c:v>
                </c:pt>
                <c:pt idx="253">
                  <c:v>55</c:v>
                </c:pt>
                <c:pt idx="254">
                  <c:v>89</c:v>
                </c:pt>
                <c:pt idx="255">
                  <c:v>71</c:v>
                </c:pt>
                <c:pt idx="256">
                  <c:v>85</c:v>
                </c:pt>
                <c:pt idx="257">
                  <c:v>11</c:v>
                </c:pt>
                <c:pt idx="258">
                  <c:v>50</c:v>
                </c:pt>
                <c:pt idx="259">
                  <c:v>94</c:v>
                </c:pt>
                <c:pt idx="260">
                  <c:v>87</c:v>
                </c:pt>
                <c:pt idx="261">
                  <c:v>68</c:v>
                </c:pt>
                <c:pt idx="262">
                  <c:v>100</c:v>
                </c:pt>
                <c:pt idx="263">
                  <c:v>100</c:v>
                </c:pt>
                <c:pt idx="264">
                  <c:v>90</c:v>
                </c:pt>
                <c:pt idx="265">
                  <c:v>50</c:v>
                </c:pt>
                <c:pt idx="266">
                  <c:v>71</c:v>
                </c:pt>
                <c:pt idx="267">
                  <c:v>18</c:v>
                </c:pt>
                <c:pt idx="268">
                  <c:v>100</c:v>
                </c:pt>
                <c:pt idx="269">
                  <c:v>90</c:v>
                </c:pt>
                <c:pt idx="270">
                  <c:v>80</c:v>
                </c:pt>
                <c:pt idx="271">
                  <c:v>60</c:v>
                </c:pt>
                <c:pt idx="272">
                  <c:v>60</c:v>
                </c:pt>
                <c:pt idx="273">
                  <c:v>50</c:v>
                </c:pt>
                <c:pt idx="274">
                  <c:v>100</c:v>
                </c:pt>
                <c:pt idx="275">
                  <c:v>35</c:v>
                </c:pt>
                <c:pt idx="276">
                  <c:v>68</c:v>
                </c:pt>
                <c:pt idx="277">
                  <c:v>6</c:v>
                </c:pt>
                <c:pt idx="278">
                  <c:v>100</c:v>
                </c:pt>
                <c:pt idx="279">
                  <c:v>30</c:v>
                </c:pt>
                <c:pt idx="280">
                  <c:v>82</c:v>
                </c:pt>
                <c:pt idx="281">
                  <c:v>15</c:v>
                </c:pt>
                <c:pt idx="282">
                  <c:v>15</c:v>
                </c:pt>
                <c:pt idx="283">
                  <c:v>77</c:v>
                </c:pt>
                <c:pt idx="284">
                  <c:v>100</c:v>
                </c:pt>
                <c:pt idx="285">
                  <c:v>9</c:v>
                </c:pt>
                <c:pt idx="286">
                  <c:v>79</c:v>
                </c:pt>
                <c:pt idx="287">
                  <c:v>60</c:v>
                </c:pt>
                <c:pt idx="288">
                  <c:v>88</c:v>
                </c:pt>
                <c:pt idx="289">
                  <c:v>28</c:v>
                </c:pt>
                <c:pt idx="290">
                  <c:v>45</c:v>
                </c:pt>
                <c:pt idx="291">
                  <c:v>40</c:v>
                </c:pt>
                <c:pt idx="292">
                  <c:v>100</c:v>
                </c:pt>
                <c:pt idx="293">
                  <c:v>0</c:v>
                </c:pt>
                <c:pt idx="294">
                  <c:v>90</c:v>
                </c:pt>
                <c:pt idx="295">
                  <c:v>38</c:v>
                </c:pt>
                <c:pt idx="296">
                  <c:v>100</c:v>
                </c:pt>
                <c:pt idx="297">
                  <c:v>41</c:v>
                </c:pt>
                <c:pt idx="298">
                  <c:v>30</c:v>
                </c:pt>
                <c:pt idx="299">
                  <c:v>40</c:v>
                </c:pt>
                <c:pt idx="300">
                  <c:v>90</c:v>
                </c:pt>
                <c:pt idx="301">
                  <c:v>98</c:v>
                </c:pt>
                <c:pt idx="302">
                  <c:v>100</c:v>
                </c:pt>
                <c:pt idx="303">
                  <c:v>64</c:v>
                </c:pt>
                <c:pt idx="304">
                  <c:v>85</c:v>
                </c:pt>
                <c:pt idx="305">
                  <c:v>19</c:v>
                </c:pt>
                <c:pt idx="306">
                  <c:v>71</c:v>
                </c:pt>
                <c:pt idx="307">
                  <c:v>52</c:v>
                </c:pt>
                <c:pt idx="308">
                  <c:v>35</c:v>
                </c:pt>
                <c:pt idx="309">
                  <c:v>39</c:v>
                </c:pt>
                <c:pt idx="310">
                  <c:v>60</c:v>
                </c:pt>
                <c:pt idx="311">
                  <c:v>54</c:v>
                </c:pt>
                <c:pt idx="312">
                  <c:v>75</c:v>
                </c:pt>
                <c:pt idx="313">
                  <c:v>32</c:v>
                </c:pt>
                <c:pt idx="314">
                  <c:v>70</c:v>
                </c:pt>
                <c:pt idx="315">
                  <c:v>80</c:v>
                </c:pt>
                <c:pt idx="316">
                  <c:v>0</c:v>
                </c:pt>
                <c:pt idx="317">
                  <c:v>77</c:v>
                </c:pt>
                <c:pt idx="318">
                  <c:v>15</c:v>
                </c:pt>
                <c:pt idx="319">
                  <c:v>65</c:v>
                </c:pt>
                <c:pt idx="320">
                  <c:v>68</c:v>
                </c:pt>
                <c:pt idx="321">
                  <c:v>61</c:v>
                </c:pt>
                <c:pt idx="322">
                  <c:v>85</c:v>
                </c:pt>
                <c:pt idx="323">
                  <c:v>70</c:v>
                </c:pt>
                <c:pt idx="324">
                  <c:v>5</c:v>
                </c:pt>
                <c:pt idx="325">
                  <c:v>20</c:v>
                </c:pt>
                <c:pt idx="326">
                  <c:v>94</c:v>
                </c:pt>
                <c:pt idx="327">
                  <c:v>73</c:v>
                </c:pt>
                <c:pt idx="328">
                  <c:v>100</c:v>
                </c:pt>
                <c:pt idx="329">
                  <c:v>10</c:v>
                </c:pt>
                <c:pt idx="330">
                  <c:v>51</c:v>
                </c:pt>
                <c:pt idx="331">
                  <c:v>0</c:v>
                </c:pt>
                <c:pt idx="332">
                  <c:v>100</c:v>
                </c:pt>
                <c:pt idx="333">
                  <c:v>71</c:v>
                </c:pt>
                <c:pt idx="334">
                  <c:v>60</c:v>
                </c:pt>
                <c:pt idx="335">
                  <c:v>100</c:v>
                </c:pt>
                <c:pt idx="336">
                  <c:v>60</c:v>
                </c:pt>
                <c:pt idx="337">
                  <c:v>61</c:v>
                </c:pt>
                <c:pt idx="338">
                  <c:v>92</c:v>
                </c:pt>
                <c:pt idx="339">
                  <c:v>50</c:v>
                </c:pt>
                <c:pt idx="340">
                  <c:v>100</c:v>
                </c:pt>
                <c:pt idx="341">
                  <c:v>25</c:v>
                </c:pt>
                <c:pt idx="342">
                  <c:v>70</c:v>
                </c:pt>
                <c:pt idx="343">
                  <c:v>10</c:v>
                </c:pt>
                <c:pt idx="344">
                  <c:v>20</c:v>
                </c:pt>
                <c:pt idx="345">
                  <c:v>7</c:v>
                </c:pt>
                <c:pt idx="346">
                  <c:v>79</c:v>
                </c:pt>
                <c:pt idx="347">
                  <c:v>61</c:v>
                </c:pt>
                <c:pt idx="348">
                  <c:v>79</c:v>
                </c:pt>
                <c:pt idx="349">
                  <c:v>100</c:v>
                </c:pt>
                <c:pt idx="350">
                  <c:v>60</c:v>
                </c:pt>
                <c:pt idx="351">
                  <c:v>96</c:v>
                </c:pt>
                <c:pt idx="352">
                  <c:v>90</c:v>
                </c:pt>
                <c:pt idx="353">
                  <c:v>49</c:v>
                </c:pt>
                <c:pt idx="354">
                  <c:v>80</c:v>
                </c:pt>
                <c:pt idx="355">
                  <c:v>82</c:v>
                </c:pt>
                <c:pt idx="356">
                  <c:v>45</c:v>
                </c:pt>
                <c:pt idx="357">
                  <c:v>86</c:v>
                </c:pt>
                <c:pt idx="358">
                  <c:v>88</c:v>
                </c:pt>
                <c:pt idx="359">
                  <c:v>15</c:v>
                </c:pt>
                <c:pt idx="360">
                  <c:v>100</c:v>
                </c:pt>
                <c:pt idx="361">
                  <c:v>90</c:v>
                </c:pt>
                <c:pt idx="362">
                  <c:v>70</c:v>
                </c:pt>
                <c:pt idx="363">
                  <c:v>100</c:v>
                </c:pt>
                <c:pt idx="364">
                  <c:v>70</c:v>
                </c:pt>
                <c:pt idx="365">
                  <c:v>1</c:v>
                </c:pt>
                <c:pt idx="366">
                  <c:v>0</c:v>
                </c:pt>
                <c:pt idx="367">
                  <c:v>66</c:v>
                </c:pt>
                <c:pt idx="368">
                  <c:v>47</c:v>
                </c:pt>
                <c:pt idx="369">
                  <c:v>93</c:v>
                </c:pt>
                <c:pt idx="370">
                  <c:v>79</c:v>
                </c:pt>
                <c:pt idx="371">
                  <c:v>70</c:v>
                </c:pt>
                <c:pt idx="372">
                  <c:v>82</c:v>
                </c:pt>
                <c:pt idx="373">
                  <c:v>88</c:v>
                </c:pt>
                <c:pt idx="374">
                  <c:v>65</c:v>
                </c:pt>
                <c:pt idx="375">
                  <c:v>37</c:v>
                </c:pt>
                <c:pt idx="376">
                  <c:v>64</c:v>
                </c:pt>
                <c:pt idx="377">
                  <c:v>25</c:v>
                </c:pt>
                <c:pt idx="378">
                  <c:v>24</c:v>
                </c:pt>
                <c:pt idx="379">
                  <c:v>82</c:v>
                </c:pt>
                <c:pt idx="380">
                  <c:v>90</c:v>
                </c:pt>
                <c:pt idx="381">
                  <c:v>40</c:v>
                </c:pt>
                <c:pt idx="382">
                  <c:v>100</c:v>
                </c:pt>
                <c:pt idx="383">
                  <c:v>95</c:v>
                </c:pt>
                <c:pt idx="384">
                  <c:v>100</c:v>
                </c:pt>
                <c:pt idx="385">
                  <c:v>90</c:v>
                </c:pt>
                <c:pt idx="386">
                  <c:v>100</c:v>
                </c:pt>
                <c:pt idx="387">
                  <c:v>85</c:v>
                </c:pt>
                <c:pt idx="388">
                  <c:v>16</c:v>
                </c:pt>
                <c:pt idx="389">
                  <c:v>49</c:v>
                </c:pt>
                <c:pt idx="390">
                  <c:v>65</c:v>
                </c:pt>
                <c:pt idx="391">
                  <c:v>85</c:v>
                </c:pt>
                <c:pt idx="392">
                  <c:v>70</c:v>
                </c:pt>
                <c:pt idx="393">
                  <c:v>100</c:v>
                </c:pt>
                <c:pt idx="394">
                  <c:v>42</c:v>
                </c:pt>
                <c:pt idx="395">
                  <c:v>60</c:v>
                </c:pt>
                <c:pt idx="396">
                  <c:v>97</c:v>
                </c:pt>
                <c:pt idx="397">
                  <c:v>34</c:v>
                </c:pt>
              </c:numCache>
            </c:numRef>
          </c:yVal>
          <c:smooth val="0"/>
          <c:extLst>
            <c:ext xmlns:c16="http://schemas.microsoft.com/office/drawing/2014/chart" uri="{C3380CC4-5D6E-409C-BE32-E72D297353CC}">
              <c16:uniqueId val="{00000000-4356-FA4D-99DB-2884CF36FECE}"/>
            </c:ext>
          </c:extLst>
        </c:ser>
        <c:dLbls>
          <c:showLegendKey val="0"/>
          <c:showVal val="0"/>
          <c:showCatName val="0"/>
          <c:showSerName val="0"/>
          <c:showPercent val="0"/>
          <c:showBubbleSize val="0"/>
        </c:dLbls>
        <c:axId val="140815855"/>
        <c:axId val="317032639"/>
      </c:scatterChart>
      <c:valAx>
        <c:axId val="14081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Numeracy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32639"/>
        <c:crosses val="autoZero"/>
        <c:crossBetween val="midCat"/>
      </c:valAx>
      <c:valAx>
        <c:axId val="3170326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Recommendation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15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PromptRecCorrelation!$B$2:$B$101</c:f>
              <c:numCache>
                <c:formatCode>General</c:formatCode>
                <c:ptCount val="100"/>
                <c:pt idx="0">
                  <c:v>7</c:v>
                </c:pt>
                <c:pt idx="1">
                  <c:v>60</c:v>
                </c:pt>
                <c:pt idx="2">
                  <c:v>5</c:v>
                </c:pt>
                <c:pt idx="3">
                  <c:v>22</c:v>
                </c:pt>
                <c:pt idx="4">
                  <c:v>10</c:v>
                </c:pt>
                <c:pt idx="5">
                  <c:v>60</c:v>
                </c:pt>
                <c:pt idx="6">
                  <c:v>0</c:v>
                </c:pt>
                <c:pt idx="7">
                  <c:v>61</c:v>
                </c:pt>
                <c:pt idx="8">
                  <c:v>24</c:v>
                </c:pt>
                <c:pt idx="9">
                  <c:v>22</c:v>
                </c:pt>
                <c:pt idx="10">
                  <c:v>11</c:v>
                </c:pt>
                <c:pt idx="11">
                  <c:v>37</c:v>
                </c:pt>
                <c:pt idx="12">
                  <c:v>42</c:v>
                </c:pt>
                <c:pt idx="13">
                  <c:v>70</c:v>
                </c:pt>
                <c:pt idx="14">
                  <c:v>70</c:v>
                </c:pt>
                <c:pt idx="15">
                  <c:v>0</c:v>
                </c:pt>
                <c:pt idx="16">
                  <c:v>23</c:v>
                </c:pt>
                <c:pt idx="17">
                  <c:v>19</c:v>
                </c:pt>
                <c:pt idx="18">
                  <c:v>72</c:v>
                </c:pt>
                <c:pt idx="19">
                  <c:v>70</c:v>
                </c:pt>
                <c:pt idx="20">
                  <c:v>10</c:v>
                </c:pt>
                <c:pt idx="21">
                  <c:v>64</c:v>
                </c:pt>
                <c:pt idx="22">
                  <c:v>10</c:v>
                </c:pt>
                <c:pt idx="23">
                  <c:v>70</c:v>
                </c:pt>
                <c:pt idx="24">
                  <c:v>75</c:v>
                </c:pt>
                <c:pt idx="25">
                  <c:v>100</c:v>
                </c:pt>
                <c:pt idx="26">
                  <c:v>60</c:v>
                </c:pt>
                <c:pt idx="27">
                  <c:v>5</c:v>
                </c:pt>
                <c:pt idx="28">
                  <c:v>14</c:v>
                </c:pt>
                <c:pt idx="29">
                  <c:v>61</c:v>
                </c:pt>
                <c:pt idx="30">
                  <c:v>73</c:v>
                </c:pt>
                <c:pt idx="31">
                  <c:v>20</c:v>
                </c:pt>
                <c:pt idx="32">
                  <c:v>80</c:v>
                </c:pt>
                <c:pt idx="33">
                  <c:v>20</c:v>
                </c:pt>
                <c:pt idx="34">
                  <c:v>15</c:v>
                </c:pt>
                <c:pt idx="35">
                  <c:v>25</c:v>
                </c:pt>
                <c:pt idx="36">
                  <c:v>25</c:v>
                </c:pt>
                <c:pt idx="37">
                  <c:v>30</c:v>
                </c:pt>
                <c:pt idx="38">
                  <c:v>20</c:v>
                </c:pt>
                <c:pt idx="39">
                  <c:v>12</c:v>
                </c:pt>
                <c:pt idx="40">
                  <c:v>60</c:v>
                </c:pt>
                <c:pt idx="41">
                  <c:v>64</c:v>
                </c:pt>
                <c:pt idx="42">
                  <c:v>50</c:v>
                </c:pt>
                <c:pt idx="43">
                  <c:v>91</c:v>
                </c:pt>
                <c:pt idx="44">
                  <c:v>10</c:v>
                </c:pt>
                <c:pt idx="45">
                  <c:v>100</c:v>
                </c:pt>
                <c:pt idx="46">
                  <c:v>25</c:v>
                </c:pt>
                <c:pt idx="47">
                  <c:v>70</c:v>
                </c:pt>
                <c:pt idx="48">
                  <c:v>56</c:v>
                </c:pt>
                <c:pt idx="49">
                  <c:v>42</c:v>
                </c:pt>
                <c:pt idx="50">
                  <c:v>26</c:v>
                </c:pt>
                <c:pt idx="51">
                  <c:v>5</c:v>
                </c:pt>
                <c:pt idx="52">
                  <c:v>76</c:v>
                </c:pt>
                <c:pt idx="53">
                  <c:v>50</c:v>
                </c:pt>
                <c:pt idx="54">
                  <c:v>21</c:v>
                </c:pt>
                <c:pt idx="55">
                  <c:v>70</c:v>
                </c:pt>
                <c:pt idx="56">
                  <c:v>25</c:v>
                </c:pt>
                <c:pt idx="57">
                  <c:v>55</c:v>
                </c:pt>
                <c:pt idx="58">
                  <c:v>5</c:v>
                </c:pt>
                <c:pt idx="59">
                  <c:v>20</c:v>
                </c:pt>
                <c:pt idx="60">
                  <c:v>100</c:v>
                </c:pt>
                <c:pt idx="61">
                  <c:v>7</c:v>
                </c:pt>
                <c:pt idx="62">
                  <c:v>0</c:v>
                </c:pt>
                <c:pt idx="63">
                  <c:v>80</c:v>
                </c:pt>
                <c:pt idx="64">
                  <c:v>30</c:v>
                </c:pt>
                <c:pt idx="65">
                  <c:v>70</c:v>
                </c:pt>
                <c:pt idx="66">
                  <c:v>17</c:v>
                </c:pt>
                <c:pt idx="67">
                  <c:v>20</c:v>
                </c:pt>
                <c:pt idx="68">
                  <c:v>27</c:v>
                </c:pt>
                <c:pt idx="69">
                  <c:v>10</c:v>
                </c:pt>
                <c:pt idx="70">
                  <c:v>40</c:v>
                </c:pt>
                <c:pt idx="71">
                  <c:v>30</c:v>
                </c:pt>
                <c:pt idx="72">
                  <c:v>80</c:v>
                </c:pt>
                <c:pt idx="73">
                  <c:v>81</c:v>
                </c:pt>
                <c:pt idx="74">
                  <c:v>40</c:v>
                </c:pt>
                <c:pt idx="75">
                  <c:v>71</c:v>
                </c:pt>
                <c:pt idx="76">
                  <c:v>30</c:v>
                </c:pt>
                <c:pt idx="77">
                  <c:v>76</c:v>
                </c:pt>
                <c:pt idx="78">
                  <c:v>76</c:v>
                </c:pt>
                <c:pt idx="79">
                  <c:v>6</c:v>
                </c:pt>
                <c:pt idx="80">
                  <c:v>25</c:v>
                </c:pt>
                <c:pt idx="81">
                  <c:v>0</c:v>
                </c:pt>
                <c:pt idx="82">
                  <c:v>100</c:v>
                </c:pt>
                <c:pt idx="83">
                  <c:v>50</c:v>
                </c:pt>
                <c:pt idx="84">
                  <c:v>15</c:v>
                </c:pt>
                <c:pt idx="85">
                  <c:v>14</c:v>
                </c:pt>
                <c:pt idx="86">
                  <c:v>81</c:v>
                </c:pt>
                <c:pt idx="87">
                  <c:v>75</c:v>
                </c:pt>
                <c:pt idx="88">
                  <c:v>80</c:v>
                </c:pt>
                <c:pt idx="89">
                  <c:v>81</c:v>
                </c:pt>
                <c:pt idx="90">
                  <c:v>85</c:v>
                </c:pt>
                <c:pt idx="91">
                  <c:v>5</c:v>
                </c:pt>
                <c:pt idx="92">
                  <c:v>74</c:v>
                </c:pt>
                <c:pt idx="93">
                  <c:v>65</c:v>
                </c:pt>
                <c:pt idx="94">
                  <c:v>25</c:v>
                </c:pt>
                <c:pt idx="95">
                  <c:v>41</c:v>
                </c:pt>
                <c:pt idx="96">
                  <c:v>70</c:v>
                </c:pt>
                <c:pt idx="97">
                  <c:v>43</c:v>
                </c:pt>
                <c:pt idx="98">
                  <c:v>60</c:v>
                </c:pt>
                <c:pt idx="99">
                  <c:v>82</c:v>
                </c:pt>
              </c:numCache>
            </c:numRef>
          </c:xVal>
          <c:yVal>
            <c:numRef>
              <c:f>PromptRecCorrelation!$D$2:$D$101</c:f>
              <c:numCache>
                <c:formatCode>General</c:formatCode>
                <c:ptCount val="100"/>
                <c:pt idx="0">
                  <c:v>0</c:v>
                </c:pt>
                <c:pt idx="1">
                  <c:v>61</c:v>
                </c:pt>
                <c:pt idx="2">
                  <c:v>10</c:v>
                </c:pt>
                <c:pt idx="3">
                  <c:v>16</c:v>
                </c:pt>
                <c:pt idx="4">
                  <c:v>10</c:v>
                </c:pt>
                <c:pt idx="5">
                  <c:v>75</c:v>
                </c:pt>
                <c:pt idx="6">
                  <c:v>0</c:v>
                </c:pt>
                <c:pt idx="7">
                  <c:v>20</c:v>
                </c:pt>
                <c:pt idx="8">
                  <c:v>15</c:v>
                </c:pt>
                <c:pt idx="9">
                  <c:v>3</c:v>
                </c:pt>
                <c:pt idx="10">
                  <c:v>10</c:v>
                </c:pt>
                <c:pt idx="11">
                  <c:v>57</c:v>
                </c:pt>
                <c:pt idx="12">
                  <c:v>31</c:v>
                </c:pt>
                <c:pt idx="13">
                  <c:v>65</c:v>
                </c:pt>
                <c:pt idx="14">
                  <c:v>80</c:v>
                </c:pt>
                <c:pt idx="15">
                  <c:v>0</c:v>
                </c:pt>
                <c:pt idx="16">
                  <c:v>36</c:v>
                </c:pt>
                <c:pt idx="17">
                  <c:v>20</c:v>
                </c:pt>
                <c:pt idx="18">
                  <c:v>72</c:v>
                </c:pt>
                <c:pt idx="19">
                  <c:v>82</c:v>
                </c:pt>
                <c:pt idx="20">
                  <c:v>10</c:v>
                </c:pt>
                <c:pt idx="21">
                  <c:v>75</c:v>
                </c:pt>
                <c:pt idx="22">
                  <c:v>11</c:v>
                </c:pt>
                <c:pt idx="23">
                  <c:v>70</c:v>
                </c:pt>
                <c:pt idx="24">
                  <c:v>65</c:v>
                </c:pt>
                <c:pt idx="25">
                  <c:v>100</c:v>
                </c:pt>
                <c:pt idx="26">
                  <c:v>66</c:v>
                </c:pt>
                <c:pt idx="27">
                  <c:v>5</c:v>
                </c:pt>
                <c:pt idx="28">
                  <c:v>15</c:v>
                </c:pt>
                <c:pt idx="29">
                  <c:v>64</c:v>
                </c:pt>
                <c:pt idx="30">
                  <c:v>77</c:v>
                </c:pt>
                <c:pt idx="31">
                  <c:v>25</c:v>
                </c:pt>
                <c:pt idx="32">
                  <c:v>80</c:v>
                </c:pt>
                <c:pt idx="33">
                  <c:v>25</c:v>
                </c:pt>
                <c:pt idx="34">
                  <c:v>0</c:v>
                </c:pt>
                <c:pt idx="35">
                  <c:v>33</c:v>
                </c:pt>
                <c:pt idx="36">
                  <c:v>30</c:v>
                </c:pt>
                <c:pt idx="37">
                  <c:v>20</c:v>
                </c:pt>
                <c:pt idx="38">
                  <c:v>25</c:v>
                </c:pt>
                <c:pt idx="39">
                  <c:v>11</c:v>
                </c:pt>
                <c:pt idx="40">
                  <c:v>60</c:v>
                </c:pt>
                <c:pt idx="41">
                  <c:v>64</c:v>
                </c:pt>
                <c:pt idx="42">
                  <c:v>50</c:v>
                </c:pt>
                <c:pt idx="43">
                  <c:v>86</c:v>
                </c:pt>
                <c:pt idx="44">
                  <c:v>10</c:v>
                </c:pt>
                <c:pt idx="45">
                  <c:v>100</c:v>
                </c:pt>
                <c:pt idx="46">
                  <c:v>25</c:v>
                </c:pt>
                <c:pt idx="47">
                  <c:v>62</c:v>
                </c:pt>
                <c:pt idx="48">
                  <c:v>79</c:v>
                </c:pt>
                <c:pt idx="49">
                  <c:v>35</c:v>
                </c:pt>
                <c:pt idx="50">
                  <c:v>20</c:v>
                </c:pt>
                <c:pt idx="51">
                  <c:v>5</c:v>
                </c:pt>
                <c:pt idx="52">
                  <c:v>92</c:v>
                </c:pt>
                <c:pt idx="53">
                  <c:v>60</c:v>
                </c:pt>
                <c:pt idx="54">
                  <c:v>43</c:v>
                </c:pt>
                <c:pt idx="55">
                  <c:v>91</c:v>
                </c:pt>
                <c:pt idx="56">
                  <c:v>60</c:v>
                </c:pt>
                <c:pt idx="57">
                  <c:v>55</c:v>
                </c:pt>
                <c:pt idx="58">
                  <c:v>1</c:v>
                </c:pt>
                <c:pt idx="59">
                  <c:v>15</c:v>
                </c:pt>
                <c:pt idx="60">
                  <c:v>100</c:v>
                </c:pt>
                <c:pt idx="61">
                  <c:v>5</c:v>
                </c:pt>
                <c:pt idx="62">
                  <c:v>20</c:v>
                </c:pt>
                <c:pt idx="63">
                  <c:v>55</c:v>
                </c:pt>
                <c:pt idx="64">
                  <c:v>11</c:v>
                </c:pt>
                <c:pt idx="65">
                  <c:v>94</c:v>
                </c:pt>
                <c:pt idx="66">
                  <c:v>6</c:v>
                </c:pt>
                <c:pt idx="67">
                  <c:v>30</c:v>
                </c:pt>
                <c:pt idx="68">
                  <c:v>15</c:v>
                </c:pt>
                <c:pt idx="69">
                  <c:v>9</c:v>
                </c:pt>
                <c:pt idx="70">
                  <c:v>60</c:v>
                </c:pt>
                <c:pt idx="71">
                  <c:v>30</c:v>
                </c:pt>
                <c:pt idx="72">
                  <c:v>90</c:v>
                </c:pt>
                <c:pt idx="73">
                  <c:v>98</c:v>
                </c:pt>
                <c:pt idx="74">
                  <c:v>19</c:v>
                </c:pt>
                <c:pt idx="75">
                  <c:v>71</c:v>
                </c:pt>
                <c:pt idx="76">
                  <c:v>35</c:v>
                </c:pt>
                <c:pt idx="77">
                  <c:v>75</c:v>
                </c:pt>
                <c:pt idx="78">
                  <c:v>70</c:v>
                </c:pt>
                <c:pt idx="79">
                  <c:v>5</c:v>
                </c:pt>
                <c:pt idx="80">
                  <c:v>20</c:v>
                </c:pt>
                <c:pt idx="81">
                  <c:v>0</c:v>
                </c:pt>
                <c:pt idx="82">
                  <c:v>100</c:v>
                </c:pt>
                <c:pt idx="83">
                  <c:v>50</c:v>
                </c:pt>
                <c:pt idx="84">
                  <c:v>25</c:v>
                </c:pt>
                <c:pt idx="85">
                  <c:v>7</c:v>
                </c:pt>
                <c:pt idx="86">
                  <c:v>79</c:v>
                </c:pt>
                <c:pt idx="87">
                  <c:v>61</c:v>
                </c:pt>
                <c:pt idx="88">
                  <c:v>82</c:v>
                </c:pt>
                <c:pt idx="89">
                  <c:v>86</c:v>
                </c:pt>
                <c:pt idx="90">
                  <c:v>90</c:v>
                </c:pt>
                <c:pt idx="91">
                  <c:v>1</c:v>
                </c:pt>
                <c:pt idx="92">
                  <c:v>93</c:v>
                </c:pt>
                <c:pt idx="93">
                  <c:v>70</c:v>
                </c:pt>
                <c:pt idx="94">
                  <c:v>24</c:v>
                </c:pt>
                <c:pt idx="95">
                  <c:v>49</c:v>
                </c:pt>
                <c:pt idx="96">
                  <c:v>85</c:v>
                </c:pt>
                <c:pt idx="97">
                  <c:v>42</c:v>
                </c:pt>
                <c:pt idx="98">
                  <c:v>60</c:v>
                </c:pt>
                <c:pt idx="99">
                  <c:v>97</c:v>
                </c:pt>
              </c:numCache>
            </c:numRef>
          </c:yVal>
          <c:smooth val="0"/>
          <c:extLst>
            <c:ext xmlns:c16="http://schemas.microsoft.com/office/drawing/2014/chart" uri="{C3380CC4-5D6E-409C-BE32-E72D297353CC}">
              <c16:uniqueId val="{00000000-4C1B-1841-9BCB-05635FEE1B69}"/>
            </c:ext>
          </c:extLst>
        </c:ser>
        <c:dLbls>
          <c:showLegendKey val="0"/>
          <c:showVal val="0"/>
          <c:showCatName val="0"/>
          <c:showSerName val="0"/>
          <c:showPercent val="0"/>
          <c:showBubbleSize val="0"/>
        </c:dLbls>
        <c:axId val="389254991"/>
        <c:axId val="389256671"/>
      </c:scatterChart>
      <c:valAx>
        <c:axId val="38925499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56671"/>
        <c:crosses val="autoZero"/>
        <c:crossBetween val="midCat"/>
      </c:valAx>
      <c:valAx>
        <c:axId val="38925667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54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PromptRecCorrelation!$S$1</c:f>
              <c:strCache>
                <c:ptCount val="1"/>
                <c:pt idx="0">
                  <c:v>Recommendation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9.7679352580927387E-2"/>
                  <c:y val="-0.40920567220764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PromptRecCorrelation!$R$2:$R$401</c:f>
              <c:numCache>
                <c:formatCode>General</c:formatCode>
                <c:ptCount val="400"/>
                <c:pt idx="0">
                  <c:v>3</c:v>
                </c:pt>
                <c:pt idx="1">
                  <c:v>5</c:v>
                </c:pt>
                <c:pt idx="2">
                  <c:v>4</c:v>
                </c:pt>
                <c:pt idx="3">
                  <c:v>7</c:v>
                </c:pt>
                <c:pt idx="4">
                  <c:v>8</c:v>
                </c:pt>
                <c:pt idx="5">
                  <c:v>6</c:v>
                </c:pt>
                <c:pt idx="6">
                  <c:v>2</c:v>
                </c:pt>
                <c:pt idx="7">
                  <c:v>5</c:v>
                </c:pt>
                <c:pt idx="8">
                  <c:v>6</c:v>
                </c:pt>
                <c:pt idx="9">
                  <c:v>6</c:v>
                </c:pt>
                <c:pt idx="10">
                  <c:v>7</c:v>
                </c:pt>
                <c:pt idx="11">
                  <c:v>4</c:v>
                </c:pt>
                <c:pt idx="12">
                  <c:v>3</c:v>
                </c:pt>
                <c:pt idx="13">
                  <c:v>8</c:v>
                </c:pt>
                <c:pt idx="14">
                  <c:v>7</c:v>
                </c:pt>
                <c:pt idx="15">
                  <c:v>8</c:v>
                </c:pt>
                <c:pt idx="16">
                  <c:v>6</c:v>
                </c:pt>
                <c:pt idx="17">
                  <c:v>6</c:v>
                </c:pt>
                <c:pt idx="18">
                  <c:v>7</c:v>
                </c:pt>
                <c:pt idx="19">
                  <c:v>0</c:v>
                </c:pt>
                <c:pt idx="20">
                  <c:v>7</c:v>
                </c:pt>
                <c:pt idx="21">
                  <c:v>2</c:v>
                </c:pt>
                <c:pt idx="22">
                  <c:v>5</c:v>
                </c:pt>
                <c:pt idx="23">
                  <c:v>5</c:v>
                </c:pt>
                <c:pt idx="24">
                  <c:v>4</c:v>
                </c:pt>
                <c:pt idx="25">
                  <c:v>4</c:v>
                </c:pt>
                <c:pt idx="26">
                  <c:v>6</c:v>
                </c:pt>
                <c:pt idx="27">
                  <c:v>6</c:v>
                </c:pt>
                <c:pt idx="28">
                  <c:v>5</c:v>
                </c:pt>
                <c:pt idx="29">
                  <c:v>7</c:v>
                </c:pt>
                <c:pt idx="30">
                  <c:v>6</c:v>
                </c:pt>
                <c:pt idx="31">
                  <c:v>7</c:v>
                </c:pt>
                <c:pt idx="32">
                  <c:v>6</c:v>
                </c:pt>
                <c:pt idx="33">
                  <c:v>7</c:v>
                </c:pt>
                <c:pt idx="34">
                  <c:v>8</c:v>
                </c:pt>
                <c:pt idx="35">
                  <c:v>4</c:v>
                </c:pt>
                <c:pt idx="36">
                  <c:v>5</c:v>
                </c:pt>
                <c:pt idx="37">
                  <c:v>7</c:v>
                </c:pt>
                <c:pt idx="38">
                  <c:v>6</c:v>
                </c:pt>
                <c:pt idx="39">
                  <c:v>5</c:v>
                </c:pt>
                <c:pt idx="40">
                  <c:v>7</c:v>
                </c:pt>
                <c:pt idx="41">
                  <c:v>7</c:v>
                </c:pt>
                <c:pt idx="42">
                  <c:v>3</c:v>
                </c:pt>
                <c:pt idx="43">
                  <c:v>3</c:v>
                </c:pt>
                <c:pt idx="44">
                  <c:v>4</c:v>
                </c:pt>
                <c:pt idx="45">
                  <c:v>7</c:v>
                </c:pt>
                <c:pt idx="46">
                  <c:v>0</c:v>
                </c:pt>
                <c:pt idx="47">
                  <c:v>2</c:v>
                </c:pt>
                <c:pt idx="48">
                  <c:v>2</c:v>
                </c:pt>
                <c:pt idx="49">
                  <c:v>5</c:v>
                </c:pt>
                <c:pt idx="50">
                  <c:v>4</c:v>
                </c:pt>
                <c:pt idx="51">
                  <c:v>8</c:v>
                </c:pt>
                <c:pt idx="52">
                  <c:v>5</c:v>
                </c:pt>
                <c:pt idx="53">
                  <c:v>8</c:v>
                </c:pt>
                <c:pt idx="54">
                  <c:v>4</c:v>
                </c:pt>
                <c:pt idx="55">
                  <c:v>6</c:v>
                </c:pt>
                <c:pt idx="56">
                  <c:v>3</c:v>
                </c:pt>
                <c:pt idx="57">
                  <c:v>6</c:v>
                </c:pt>
                <c:pt idx="58">
                  <c:v>6</c:v>
                </c:pt>
                <c:pt idx="59">
                  <c:v>5</c:v>
                </c:pt>
                <c:pt idx="60">
                  <c:v>7</c:v>
                </c:pt>
                <c:pt idx="61">
                  <c:v>8</c:v>
                </c:pt>
                <c:pt idx="62">
                  <c:v>7</c:v>
                </c:pt>
                <c:pt idx="63">
                  <c:v>6</c:v>
                </c:pt>
                <c:pt idx="64">
                  <c:v>6</c:v>
                </c:pt>
                <c:pt idx="65">
                  <c:v>4</c:v>
                </c:pt>
                <c:pt idx="66">
                  <c:v>8</c:v>
                </c:pt>
                <c:pt idx="67">
                  <c:v>7</c:v>
                </c:pt>
                <c:pt idx="68">
                  <c:v>5</c:v>
                </c:pt>
                <c:pt idx="69">
                  <c:v>5</c:v>
                </c:pt>
                <c:pt idx="70">
                  <c:v>7</c:v>
                </c:pt>
                <c:pt idx="71">
                  <c:v>7</c:v>
                </c:pt>
                <c:pt idx="72">
                  <c:v>5</c:v>
                </c:pt>
                <c:pt idx="73">
                  <c:v>3</c:v>
                </c:pt>
                <c:pt idx="74">
                  <c:v>7</c:v>
                </c:pt>
                <c:pt idx="75">
                  <c:v>7</c:v>
                </c:pt>
                <c:pt idx="76">
                  <c:v>8</c:v>
                </c:pt>
                <c:pt idx="77">
                  <c:v>2</c:v>
                </c:pt>
                <c:pt idx="78">
                  <c:v>3</c:v>
                </c:pt>
                <c:pt idx="79">
                  <c:v>7</c:v>
                </c:pt>
                <c:pt idx="80">
                  <c:v>7</c:v>
                </c:pt>
                <c:pt idx="81">
                  <c:v>5</c:v>
                </c:pt>
                <c:pt idx="82">
                  <c:v>6</c:v>
                </c:pt>
                <c:pt idx="83">
                  <c:v>3</c:v>
                </c:pt>
                <c:pt idx="84">
                  <c:v>5</c:v>
                </c:pt>
                <c:pt idx="85">
                  <c:v>7</c:v>
                </c:pt>
                <c:pt idx="86">
                  <c:v>4</c:v>
                </c:pt>
                <c:pt idx="87">
                  <c:v>5</c:v>
                </c:pt>
                <c:pt idx="88">
                  <c:v>4</c:v>
                </c:pt>
                <c:pt idx="89">
                  <c:v>6</c:v>
                </c:pt>
                <c:pt idx="90">
                  <c:v>7</c:v>
                </c:pt>
                <c:pt idx="91">
                  <c:v>8</c:v>
                </c:pt>
                <c:pt idx="92">
                  <c:v>3</c:v>
                </c:pt>
                <c:pt idx="93">
                  <c:v>6</c:v>
                </c:pt>
                <c:pt idx="94">
                  <c:v>7</c:v>
                </c:pt>
                <c:pt idx="95">
                  <c:v>6</c:v>
                </c:pt>
                <c:pt idx="96">
                  <c:v>4</c:v>
                </c:pt>
                <c:pt idx="97">
                  <c:v>7</c:v>
                </c:pt>
                <c:pt idx="98">
                  <c:v>6</c:v>
                </c:pt>
                <c:pt idx="99">
                  <c:v>6</c:v>
                </c:pt>
              </c:numCache>
            </c:numRef>
          </c:xVal>
          <c:yVal>
            <c:numRef>
              <c:f>PromptRecCorrelation!$S$2:$S$401</c:f>
              <c:numCache>
                <c:formatCode>General</c:formatCode>
                <c:ptCount val="400"/>
                <c:pt idx="0">
                  <c:v>0</c:v>
                </c:pt>
                <c:pt idx="1">
                  <c:v>61</c:v>
                </c:pt>
                <c:pt idx="2">
                  <c:v>10</c:v>
                </c:pt>
                <c:pt idx="3">
                  <c:v>16</c:v>
                </c:pt>
                <c:pt idx="4">
                  <c:v>10</c:v>
                </c:pt>
                <c:pt idx="5">
                  <c:v>75</c:v>
                </c:pt>
                <c:pt idx="6">
                  <c:v>0</c:v>
                </c:pt>
                <c:pt idx="7">
                  <c:v>20</c:v>
                </c:pt>
                <c:pt idx="8">
                  <c:v>15</c:v>
                </c:pt>
                <c:pt idx="9">
                  <c:v>3</c:v>
                </c:pt>
                <c:pt idx="10">
                  <c:v>10</c:v>
                </c:pt>
                <c:pt idx="11">
                  <c:v>57</c:v>
                </c:pt>
                <c:pt idx="12">
                  <c:v>31</c:v>
                </c:pt>
                <c:pt idx="13">
                  <c:v>65</c:v>
                </c:pt>
                <c:pt idx="14">
                  <c:v>80</c:v>
                </c:pt>
                <c:pt idx="15">
                  <c:v>0</c:v>
                </c:pt>
                <c:pt idx="16">
                  <c:v>36</c:v>
                </c:pt>
                <c:pt idx="17">
                  <c:v>20</c:v>
                </c:pt>
                <c:pt idx="18">
                  <c:v>72</c:v>
                </c:pt>
                <c:pt idx="19">
                  <c:v>82</c:v>
                </c:pt>
                <c:pt idx="20">
                  <c:v>10</c:v>
                </c:pt>
                <c:pt idx="21">
                  <c:v>75</c:v>
                </c:pt>
                <c:pt idx="22">
                  <c:v>11</c:v>
                </c:pt>
                <c:pt idx="23">
                  <c:v>70</c:v>
                </c:pt>
                <c:pt idx="24">
                  <c:v>65</c:v>
                </c:pt>
                <c:pt idx="25">
                  <c:v>100</c:v>
                </c:pt>
                <c:pt idx="26">
                  <c:v>66</c:v>
                </c:pt>
                <c:pt idx="27">
                  <c:v>5</c:v>
                </c:pt>
                <c:pt idx="28">
                  <c:v>15</c:v>
                </c:pt>
                <c:pt idx="29">
                  <c:v>64</c:v>
                </c:pt>
                <c:pt idx="30">
                  <c:v>77</c:v>
                </c:pt>
                <c:pt idx="31">
                  <c:v>25</c:v>
                </c:pt>
                <c:pt idx="32">
                  <c:v>80</c:v>
                </c:pt>
                <c:pt idx="33">
                  <c:v>25</c:v>
                </c:pt>
                <c:pt idx="34">
                  <c:v>0</c:v>
                </c:pt>
                <c:pt idx="35">
                  <c:v>33</c:v>
                </c:pt>
                <c:pt idx="36">
                  <c:v>30</c:v>
                </c:pt>
                <c:pt idx="37">
                  <c:v>20</c:v>
                </c:pt>
                <c:pt idx="38">
                  <c:v>25</c:v>
                </c:pt>
                <c:pt idx="39">
                  <c:v>11</c:v>
                </c:pt>
                <c:pt idx="40">
                  <c:v>60</c:v>
                </c:pt>
                <c:pt idx="41">
                  <c:v>64</c:v>
                </c:pt>
                <c:pt idx="42">
                  <c:v>50</c:v>
                </c:pt>
                <c:pt idx="43">
                  <c:v>86</c:v>
                </c:pt>
                <c:pt idx="44">
                  <c:v>10</c:v>
                </c:pt>
                <c:pt idx="45">
                  <c:v>100</c:v>
                </c:pt>
                <c:pt idx="46">
                  <c:v>25</c:v>
                </c:pt>
                <c:pt idx="47">
                  <c:v>62</c:v>
                </c:pt>
                <c:pt idx="48">
                  <c:v>79</c:v>
                </c:pt>
                <c:pt idx="49">
                  <c:v>35</c:v>
                </c:pt>
                <c:pt idx="50">
                  <c:v>20</c:v>
                </c:pt>
                <c:pt idx="51">
                  <c:v>5</c:v>
                </c:pt>
                <c:pt idx="52">
                  <c:v>92</c:v>
                </c:pt>
                <c:pt idx="53">
                  <c:v>60</c:v>
                </c:pt>
                <c:pt idx="54">
                  <c:v>43</c:v>
                </c:pt>
                <c:pt idx="55">
                  <c:v>91</c:v>
                </c:pt>
                <c:pt idx="56">
                  <c:v>60</c:v>
                </c:pt>
                <c:pt idx="57">
                  <c:v>55</c:v>
                </c:pt>
                <c:pt idx="58">
                  <c:v>1</c:v>
                </c:pt>
                <c:pt idx="59">
                  <c:v>15</c:v>
                </c:pt>
                <c:pt idx="60">
                  <c:v>100</c:v>
                </c:pt>
                <c:pt idx="61">
                  <c:v>5</c:v>
                </c:pt>
                <c:pt idx="62">
                  <c:v>20</c:v>
                </c:pt>
                <c:pt idx="63">
                  <c:v>55</c:v>
                </c:pt>
                <c:pt idx="64">
                  <c:v>11</c:v>
                </c:pt>
                <c:pt idx="65">
                  <c:v>94</c:v>
                </c:pt>
                <c:pt idx="66">
                  <c:v>6</c:v>
                </c:pt>
                <c:pt idx="67">
                  <c:v>30</c:v>
                </c:pt>
                <c:pt idx="68">
                  <c:v>15</c:v>
                </c:pt>
                <c:pt idx="69">
                  <c:v>9</c:v>
                </c:pt>
                <c:pt idx="70">
                  <c:v>60</c:v>
                </c:pt>
                <c:pt idx="71">
                  <c:v>30</c:v>
                </c:pt>
                <c:pt idx="72">
                  <c:v>90</c:v>
                </c:pt>
                <c:pt idx="73">
                  <c:v>98</c:v>
                </c:pt>
                <c:pt idx="74">
                  <c:v>19</c:v>
                </c:pt>
                <c:pt idx="75">
                  <c:v>71</c:v>
                </c:pt>
                <c:pt idx="76">
                  <c:v>35</c:v>
                </c:pt>
                <c:pt idx="77">
                  <c:v>75</c:v>
                </c:pt>
                <c:pt idx="78">
                  <c:v>70</c:v>
                </c:pt>
                <c:pt idx="79">
                  <c:v>5</c:v>
                </c:pt>
                <c:pt idx="80">
                  <c:v>20</c:v>
                </c:pt>
                <c:pt idx="81">
                  <c:v>0</c:v>
                </c:pt>
                <c:pt idx="82">
                  <c:v>100</c:v>
                </c:pt>
                <c:pt idx="83">
                  <c:v>50</c:v>
                </c:pt>
                <c:pt idx="84">
                  <c:v>25</c:v>
                </c:pt>
                <c:pt idx="85">
                  <c:v>7</c:v>
                </c:pt>
                <c:pt idx="86">
                  <c:v>79</c:v>
                </c:pt>
                <c:pt idx="87">
                  <c:v>61</c:v>
                </c:pt>
                <c:pt idx="88">
                  <c:v>82</c:v>
                </c:pt>
                <c:pt idx="89">
                  <c:v>86</c:v>
                </c:pt>
                <c:pt idx="90">
                  <c:v>90</c:v>
                </c:pt>
                <c:pt idx="91">
                  <c:v>1</c:v>
                </c:pt>
                <c:pt idx="92">
                  <c:v>93</c:v>
                </c:pt>
                <c:pt idx="93">
                  <c:v>70</c:v>
                </c:pt>
                <c:pt idx="94">
                  <c:v>24</c:v>
                </c:pt>
                <c:pt idx="95">
                  <c:v>49</c:v>
                </c:pt>
                <c:pt idx="96">
                  <c:v>85</c:v>
                </c:pt>
                <c:pt idx="97">
                  <c:v>42</c:v>
                </c:pt>
                <c:pt idx="98">
                  <c:v>60</c:v>
                </c:pt>
                <c:pt idx="99">
                  <c:v>97</c:v>
                </c:pt>
              </c:numCache>
            </c:numRef>
          </c:yVal>
          <c:smooth val="0"/>
          <c:extLst>
            <c:ext xmlns:c16="http://schemas.microsoft.com/office/drawing/2014/chart" uri="{C3380CC4-5D6E-409C-BE32-E72D297353CC}">
              <c16:uniqueId val="{00000000-AA87-3F46-A216-ADD88BE6559A}"/>
            </c:ext>
          </c:extLst>
        </c:ser>
        <c:dLbls>
          <c:showLegendKey val="0"/>
          <c:showVal val="0"/>
          <c:showCatName val="0"/>
          <c:showSerName val="0"/>
          <c:showPercent val="0"/>
          <c:showBubbleSize val="0"/>
        </c:dLbls>
        <c:axId val="2041276560"/>
        <c:axId val="2080683392"/>
      </c:scatterChart>
      <c:valAx>
        <c:axId val="20412765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83392"/>
        <c:crosses val="autoZero"/>
        <c:crossBetween val="midCat"/>
      </c:valAx>
      <c:valAx>
        <c:axId val="208068339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76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PromptRecCorrelation!$C$1</c:f>
              <c:strCache>
                <c:ptCount val="1"/>
                <c:pt idx="0">
                  <c:v>Numeracy</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10045713035870506"/>
                  <c:y val="-0.353040609507144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PromptRecCorrelation!$C$2:$C$101</c:f>
              <c:numCache>
                <c:formatCode>General</c:formatCode>
                <c:ptCount val="100"/>
                <c:pt idx="0">
                  <c:v>3</c:v>
                </c:pt>
                <c:pt idx="1">
                  <c:v>5</c:v>
                </c:pt>
                <c:pt idx="2">
                  <c:v>4</c:v>
                </c:pt>
                <c:pt idx="3">
                  <c:v>7</c:v>
                </c:pt>
                <c:pt idx="4">
                  <c:v>8</c:v>
                </c:pt>
                <c:pt idx="5">
                  <c:v>6</c:v>
                </c:pt>
                <c:pt idx="6">
                  <c:v>2</c:v>
                </c:pt>
                <c:pt idx="7">
                  <c:v>5</c:v>
                </c:pt>
                <c:pt idx="8">
                  <c:v>6</c:v>
                </c:pt>
                <c:pt idx="9">
                  <c:v>6</c:v>
                </c:pt>
                <c:pt idx="10">
                  <c:v>7</c:v>
                </c:pt>
                <c:pt idx="11">
                  <c:v>4</c:v>
                </c:pt>
                <c:pt idx="12">
                  <c:v>3</c:v>
                </c:pt>
                <c:pt idx="13">
                  <c:v>8</c:v>
                </c:pt>
                <c:pt idx="14">
                  <c:v>7</c:v>
                </c:pt>
                <c:pt idx="15">
                  <c:v>8</c:v>
                </c:pt>
                <c:pt idx="16">
                  <c:v>6</c:v>
                </c:pt>
                <c:pt idx="17">
                  <c:v>6</c:v>
                </c:pt>
                <c:pt idx="18">
                  <c:v>7</c:v>
                </c:pt>
                <c:pt idx="19">
                  <c:v>0</c:v>
                </c:pt>
                <c:pt idx="20">
                  <c:v>7</c:v>
                </c:pt>
                <c:pt idx="21">
                  <c:v>2</c:v>
                </c:pt>
                <c:pt idx="22">
                  <c:v>5</c:v>
                </c:pt>
                <c:pt idx="23">
                  <c:v>5</c:v>
                </c:pt>
                <c:pt idx="24">
                  <c:v>4</c:v>
                </c:pt>
                <c:pt idx="25">
                  <c:v>4</c:v>
                </c:pt>
                <c:pt idx="26">
                  <c:v>6</c:v>
                </c:pt>
                <c:pt idx="27">
                  <c:v>6</c:v>
                </c:pt>
                <c:pt idx="28">
                  <c:v>5</c:v>
                </c:pt>
                <c:pt idx="29">
                  <c:v>7</c:v>
                </c:pt>
                <c:pt idx="30">
                  <c:v>6</c:v>
                </c:pt>
                <c:pt idx="31">
                  <c:v>7</c:v>
                </c:pt>
                <c:pt idx="32">
                  <c:v>6</c:v>
                </c:pt>
                <c:pt idx="33">
                  <c:v>7</c:v>
                </c:pt>
                <c:pt idx="34">
                  <c:v>8</c:v>
                </c:pt>
                <c:pt idx="35">
                  <c:v>4</c:v>
                </c:pt>
                <c:pt idx="36">
                  <c:v>5</c:v>
                </c:pt>
                <c:pt idx="37">
                  <c:v>7</c:v>
                </c:pt>
                <c:pt idx="38">
                  <c:v>6</c:v>
                </c:pt>
                <c:pt idx="39">
                  <c:v>5</c:v>
                </c:pt>
                <c:pt idx="40">
                  <c:v>7</c:v>
                </c:pt>
                <c:pt idx="41">
                  <c:v>7</c:v>
                </c:pt>
                <c:pt idx="42">
                  <c:v>3</c:v>
                </c:pt>
                <c:pt idx="43">
                  <c:v>3</c:v>
                </c:pt>
                <c:pt idx="44">
                  <c:v>4</c:v>
                </c:pt>
                <c:pt idx="45">
                  <c:v>7</c:v>
                </c:pt>
                <c:pt idx="46">
                  <c:v>0</c:v>
                </c:pt>
                <c:pt idx="47">
                  <c:v>2</c:v>
                </c:pt>
                <c:pt idx="48">
                  <c:v>2</c:v>
                </c:pt>
                <c:pt idx="49">
                  <c:v>5</c:v>
                </c:pt>
                <c:pt idx="50">
                  <c:v>4</c:v>
                </c:pt>
                <c:pt idx="51">
                  <c:v>8</c:v>
                </c:pt>
                <c:pt idx="52">
                  <c:v>5</c:v>
                </c:pt>
                <c:pt idx="53">
                  <c:v>8</c:v>
                </c:pt>
                <c:pt idx="54">
                  <c:v>4</c:v>
                </c:pt>
                <c:pt idx="55">
                  <c:v>6</c:v>
                </c:pt>
                <c:pt idx="56">
                  <c:v>3</c:v>
                </c:pt>
                <c:pt idx="57">
                  <c:v>6</c:v>
                </c:pt>
                <c:pt idx="58">
                  <c:v>6</c:v>
                </c:pt>
                <c:pt idx="59">
                  <c:v>5</c:v>
                </c:pt>
                <c:pt idx="60">
                  <c:v>7</c:v>
                </c:pt>
                <c:pt idx="61">
                  <c:v>8</c:v>
                </c:pt>
                <c:pt idx="62">
                  <c:v>7</c:v>
                </c:pt>
                <c:pt idx="63">
                  <c:v>6</c:v>
                </c:pt>
                <c:pt idx="64">
                  <c:v>6</c:v>
                </c:pt>
                <c:pt idx="65">
                  <c:v>4</c:v>
                </c:pt>
                <c:pt idx="66">
                  <c:v>8</c:v>
                </c:pt>
                <c:pt idx="67">
                  <c:v>7</c:v>
                </c:pt>
                <c:pt idx="68">
                  <c:v>5</c:v>
                </c:pt>
                <c:pt idx="69">
                  <c:v>5</c:v>
                </c:pt>
                <c:pt idx="70">
                  <c:v>7</c:v>
                </c:pt>
                <c:pt idx="71">
                  <c:v>7</c:v>
                </c:pt>
                <c:pt idx="72">
                  <c:v>5</c:v>
                </c:pt>
                <c:pt idx="73">
                  <c:v>3</c:v>
                </c:pt>
                <c:pt idx="74">
                  <c:v>7</c:v>
                </c:pt>
                <c:pt idx="75">
                  <c:v>7</c:v>
                </c:pt>
                <c:pt idx="76">
                  <c:v>8</c:v>
                </c:pt>
                <c:pt idx="77">
                  <c:v>2</c:v>
                </c:pt>
                <c:pt idx="78">
                  <c:v>3</c:v>
                </c:pt>
                <c:pt idx="79">
                  <c:v>7</c:v>
                </c:pt>
                <c:pt idx="80">
                  <c:v>7</c:v>
                </c:pt>
                <c:pt idx="81">
                  <c:v>5</c:v>
                </c:pt>
                <c:pt idx="82">
                  <c:v>6</c:v>
                </c:pt>
                <c:pt idx="83">
                  <c:v>3</c:v>
                </c:pt>
                <c:pt idx="84">
                  <c:v>5</c:v>
                </c:pt>
                <c:pt idx="85">
                  <c:v>7</c:v>
                </c:pt>
                <c:pt idx="86">
                  <c:v>4</c:v>
                </c:pt>
                <c:pt idx="87">
                  <c:v>5</c:v>
                </c:pt>
                <c:pt idx="88">
                  <c:v>4</c:v>
                </c:pt>
                <c:pt idx="89">
                  <c:v>6</c:v>
                </c:pt>
                <c:pt idx="90">
                  <c:v>7</c:v>
                </c:pt>
                <c:pt idx="91">
                  <c:v>8</c:v>
                </c:pt>
                <c:pt idx="92">
                  <c:v>3</c:v>
                </c:pt>
                <c:pt idx="93">
                  <c:v>6</c:v>
                </c:pt>
                <c:pt idx="94">
                  <c:v>7</c:v>
                </c:pt>
                <c:pt idx="95">
                  <c:v>6</c:v>
                </c:pt>
                <c:pt idx="96">
                  <c:v>4</c:v>
                </c:pt>
                <c:pt idx="97">
                  <c:v>7</c:v>
                </c:pt>
                <c:pt idx="98">
                  <c:v>6</c:v>
                </c:pt>
                <c:pt idx="99">
                  <c:v>6</c:v>
                </c:pt>
              </c:numCache>
            </c:numRef>
          </c:xVal>
          <c:yVal>
            <c:numRef>
              <c:f>PromptRecCorrelation!$B$2:$B$101</c:f>
              <c:numCache>
                <c:formatCode>General</c:formatCode>
                <c:ptCount val="100"/>
                <c:pt idx="0">
                  <c:v>7</c:v>
                </c:pt>
                <c:pt idx="1">
                  <c:v>60</c:v>
                </c:pt>
                <c:pt idx="2">
                  <c:v>5</c:v>
                </c:pt>
                <c:pt idx="3">
                  <c:v>22</c:v>
                </c:pt>
                <c:pt idx="4">
                  <c:v>10</c:v>
                </c:pt>
                <c:pt idx="5">
                  <c:v>60</c:v>
                </c:pt>
                <c:pt idx="6">
                  <c:v>0</c:v>
                </c:pt>
                <c:pt idx="7">
                  <c:v>61</c:v>
                </c:pt>
                <c:pt idx="8">
                  <c:v>24</c:v>
                </c:pt>
                <c:pt idx="9">
                  <c:v>22</c:v>
                </c:pt>
                <c:pt idx="10">
                  <c:v>11</c:v>
                </c:pt>
                <c:pt idx="11">
                  <c:v>37</c:v>
                </c:pt>
                <c:pt idx="12">
                  <c:v>42</c:v>
                </c:pt>
                <c:pt idx="13">
                  <c:v>70</c:v>
                </c:pt>
                <c:pt idx="14">
                  <c:v>70</c:v>
                </c:pt>
                <c:pt idx="15">
                  <c:v>0</c:v>
                </c:pt>
                <c:pt idx="16">
                  <c:v>23</c:v>
                </c:pt>
                <c:pt idx="17">
                  <c:v>19</c:v>
                </c:pt>
                <c:pt idx="18">
                  <c:v>72</c:v>
                </c:pt>
                <c:pt idx="19">
                  <c:v>70</c:v>
                </c:pt>
                <c:pt idx="20">
                  <c:v>10</c:v>
                </c:pt>
                <c:pt idx="21">
                  <c:v>64</c:v>
                </c:pt>
                <c:pt idx="22">
                  <c:v>10</c:v>
                </c:pt>
                <c:pt idx="23">
                  <c:v>70</c:v>
                </c:pt>
                <c:pt idx="24">
                  <c:v>75</c:v>
                </c:pt>
                <c:pt idx="25">
                  <c:v>100</c:v>
                </c:pt>
                <c:pt idx="26">
                  <c:v>60</c:v>
                </c:pt>
                <c:pt idx="27">
                  <c:v>5</c:v>
                </c:pt>
                <c:pt idx="28">
                  <c:v>14</c:v>
                </c:pt>
                <c:pt idx="29">
                  <c:v>61</c:v>
                </c:pt>
                <c:pt idx="30">
                  <c:v>73</c:v>
                </c:pt>
                <c:pt idx="31">
                  <c:v>20</c:v>
                </c:pt>
                <c:pt idx="32">
                  <c:v>80</c:v>
                </c:pt>
                <c:pt idx="33">
                  <c:v>20</c:v>
                </c:pt>
                <c:pt idx="34">
                  <c:v>15</c:v>
                </c:pt>
                <c:pt idx="35">
                  <c:v>25</c:v>
                </c:pt>
                <c:pt idx="36">
                  <c:v>25</c:v>
                </c:pt>
                <c:pt idx="37">
                  <c:v>30</c:v>
                </c:pt>
                <c:pt idx="38">
                  <c:v>20</c:v>
                </c:pt>
                <c:pt idx="39">
                  <c:v>12</c:v>
                </c:pt>
                <c:pt idx="40">
                  <c:v>60</c:v>
                </c:pt>
                <c:pt idx="41">
                  <c:v>64</c:v>
                </c:pt>
                <c:pt idx="42">
                  <c:v>50</c:v>
                </c:pt>
                <c:pt idx="43">
                  <c:v>91</c:v>
                </c:pt>
                <c:pt idx="44">
                  <c:v>10</c:v>
                </c:pt>
                <c:pt idx="45">
                  <c:v>100</c:v>
                </c:pt>
                <c:pt idx="46">
                  <c:v>25</c:v>
                </c:pt>
                <c:pt idx="47">
                  <c:v>70</c:v>
                </c:pt>
                <c:pt idx="48">
                  <c:v>56</c:v>
                </c:pt>
                <c:pt idx="49">
                  <c:v>42</c:v>
                </c:pt>
                <c:pt idx="50">
                  <c:v>26</c:v>
                </c:pt>
                <c:pt idx="51">
                  <c:v>5</c:v>
                </c:pt>
                <c:pt idx="52">
                  <c:v>76</c:v>
                </c:pt>
                <c:pt idx="53">
                  <c:v>50</c:v>
                </c:pt>
                <c:pt idx="54">
                  <c:v>21</c:v>
                </c:pt>
                <c:pt idx="55">
                  <c:v>70</c:v>
                </c:pt>
                <c:pt idx="56">
                  <c:v>25</c:v>
                </c:pt>
                <c:pt idx="57">
                  <c:v>55</c:v>
                </c:pt>
                <c:pt idx="58">
                  <c:v>5</c:v>
                </c:pt>
                <c:pt idx="59">
                  <c:v>20</c:v>
                </c:pt>
                <c:pt idx="60">
                  <c:v>100</c:v>
                </c:pt>
                <c:pt idx="61">
                  <c:v>7</c:v>
                </c:pt>
                <c:pt idx="62">
                  <c:v>0</c:v>
                </c:pt>
                <c:pt idx="63">
                  <c:v>80</c:v>
                </c:pt>
                <c:pt idx="64">
                  <c:v>30</c:v>
                </c:pt>
                <c:pt idx="65">
                  <c:v>70</c:v>
                </c:pt>
                <c:pt idx="66">
                  <c:v>17</c:v>
                </c:pt>
                <c:pt idx="67">
                  <c:v>20</c:v>
                </c:pt>
                <c:pt idx="68">
                  <c:v>27</c:v>
                </c:pt>
                <c:pt idx="69">
                  <c:v>10</c:v>
                </c:pt>
                <c:pt idx="70">
                  <c:v>40</c:v>
                </c:pt>
                <c:pt idx="71">
                  <c:v>30</c:v>
                </c:pt>
                <c:pt idx="72">
                  <c:v>80</c:v>
                </c:pt>
                <c:pt idx="73">
                  <c:v>81</c:v>
                </c:pt>
                <c:pt idx="74">
                  <c:v>40</c:v>
                </c:pt>
                <c:pt idx="75">
                  <c:v>71</c:v>
                </c:pt>
                <c:pt idx="76">
                  <c:v>30</c:v>
                </c:pt>
                <c:pt idx="77">
                  <c:v>76</c:v>
                </c:pt>
                <c:pt idx="78">
                  <c:v>76</c:v>
                </c:pt>
                <c:pt idx="79">
                  <c:v>6</c:v>
                </c:pt>
                <c:pt idx="80">
                  <c:v>25</c:v>
                </c:pt>
                <c:pt idx="81">
                  <c:v>0</c:v>
                </c:pt>
                <c:pt idx="82">
                  <c:v>100</c:v>
                </c:pt>
                <c:pt idx="83">
                  <c:v>50</c:v>
                </c:pt>
                <c:pt idx="84">
                  <c:v>15</c:v>
                </c:pt>
                <c:pt idx="85">
                  <c:v>14</c:v>
                </c:pt>
                <c:pt idx="86">
                  <c:v>81</c:v>
                </c:pt>
                <c:pt idx="87">
                  <c:v>75</c:v>
                </c:pt>
                <c:pt idx="88">
                  <c:v>80</c:v>
                </c:pt>
                <c:pt idx="89">
                  <c:v>81</c:v>
                </c:pt>
                <c:pt idx="90">
                  <c:v>85</c:v>
                </c:pt>
                <c:pt idx="91">
                  <c:v>5</c:v>
                </c:pt>
                <c:pt idx="92">
                  <c:v>74</c:v>
                </c:pt>
                <c:pt idx="93">
                  <c:v>65</c:v>
                </c:pt>
                <c:pt idx="94">
                  <c:v>25</c:v>
                </c:pt>
                <c:pt idx="95">
                  <c:v>41</c:v>
                </c:pt>
                <c:pt idx="96">
                  <c:v>70</c:v>
                </c:pt>
                <c:pt idx="97">
                  <c:v>43</c:v>
                </c:pt>
                <c:pt idx="98">
                  <c:v>60</c:v>
                </c:pt>
                <c:pt idx="99">
                  <c:v>82</c:v>
                </c:pt>
              </c:numCache>
            </c:numRef>
          </c:yVal>
          <c:smooth val="0"/>
          <c:extLst>
            <c:ext xmlns:c16="http://schemas.microsoft.com/office/drawing/2014/chart" uri="{C3380CC4-5D6E-409C-BE32-E72D297353CC}">
              <c16:uniqueId val="{00000000-277F-4A45-862B-33888C7AD59C}"/>
            </c:ext>
          </c:extLst>
        </c:ser>
        <c:dLbls>
          <c:showLegendKey val="0"/>
          <c:showVal val="0"/>
          <c:showCatName val="0"/>
          <c:showSerName val="0"/>
          <c:showPercent val="0"/>
          <c:showBubbleSize val="0"/>
        </c:dLbls>
        <c:axId val="190439487"/>
        <c:axId val="190519007"/>
      </c:scatterChart>
      <c:valAx>
        <c:axId val="19043948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9007"/>
        <c:crosses val="autoZero"/>
        <c:crossBetween val="midCat"/>
      </c:valAx>
      <c:valAx>
        <c:axId val="19051900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94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3</xdr:row>
      <xdr:rowOff>57150</xdr:rowOff>
    </xdr:from>
    <xdr:to>
      <xdr:col>12</xdr:col>
      <xdr:colOff>368300</xdr:colOff>
      <xdr:row>16</xdr:row>
      <xdr:rowOff>158750</xdr:rowOff>
    </xdr:to>
    <xdr:graphicFrame macro="">
      <xdr:nvGraphicFramePr>
        <xdr:cNvPr id="2" name="Chart 1">
          <a:extLst>
            <a:ext uri="{FF2B5EF4-FFF2-40B4-BE49-F238E27FC236}">
              <a16:creationId xmlns:a16="http://schemas.microsoft.com/office/drawing/2014/main" id="{5BE6CCF3-0ECE-7B48-BE2D-5FA52C12A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641350</xdr:colOff>
      <xdr:row>1</xdr:row>
      <xdr:rowOff>57150</xdr:rowOff>
    </xdr:from>
    <xdr:to>
      <xdr:col>13</xdr:col>
      <xdr:colOff>260350</xdr:colOff>
      <xdr:row>14</xdr:row>
      <xdr:rowOff>158750</xdr:rowOff>
    </xdr:to>
    <xdr:graphicFrame macro="">
      <xdr:nvGraphicFramePr>
        <xdr:cNvPr id="2" name="Chart 1">
          <a:extLst>
            <a:ext uri="{FF2B5EF4-FFF2-40B4-BE49-F238E27FC236}">
              <a16:creationId xmlns:a16="http://schemas.microsoft.com/office/drawing/2014/main" id="{F681FC7C-6698-AA48-B551-09D6514D3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723900</xdr:colOff>
      <xdr:row>17</xdr:row>
      <xdr:rowOff>120650</xdr:rowOff>
    </xdr:from>
    <xdr:to>
      <xdr:col>13</xdr:col>
      <xdr:colOff>184150</xdr:colOff>
      <xdr:row>31</xdr:row>
      <xdr:rowOff>19050</xdr:rowOff>
    </xdr:to>
    <xdr:graphicFrame macro="">
      <xdr:nvGraphicFramePr>
        <xdr:cNvPr id="3" name="Chart 2">
          <a:extLst>
            <a:ext uri="{FF2B5EF4-FFF2-40B4-BE49-F238E27FC236}">
              <a16:creationId xmlns:a16="http://schemas.microsoft.com/office/drawing/2014/main" id="{70842556-DF61-5B43-9279-5824AE86A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704850</xdr:colOff>
      <xdr:row>32</xdr:row>
      <xdr:rowOff>171450</xdr:rowOff>
    </xdr:from>
    <xdr:to>
      <xdr:col>13</xdr:col>
      <xdr:colOff>323850</xdr:colOff>
      <xdr:row>46</xdr:row>
      <xdr:rowOff>69850</xdr:rowOff>
    </xdr:to>
    <xdr:graphicFrame macro="">
      <xdr:nvGraphicFramePr>
        <xdr:cNvPr id="5" name="Chart 4">
          <a:extLst>
            <a:ext uri="{FF2B5EF4-FFF2-40B4-BE49-F238E27FC236}">
              <a16:creationId xmlns:a16="http://schemas.microsoft.com/office/drawing/2014/main" id="{5326281C-B99E-4B47-B466-F84BA27CC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20.653119444447" createdVersion="6" refreshedVersion="6" minRefreshableVersion="3" recordCount="401" xr:uid="{00000000-000A-0000-FFFF-FFFF29000000}">
  <cacheSource type="worksheet">
    <worksheetSource ref="A1:E1048576" sheet="RecommendData"/>
  </cacheSource>
  <cacheFields count="5">
    <cacheField name="Subject" numFmtId="0">
      <sharedItems containsString="0" containsBlank="1" containsNumber="1" containsInteger="1" minValue="1" maxValue="400"/>
    </cacheField>
    <cacheField name="Prompt" numFmtId="0">
      <sharedItems containsString="0" containsBlank="1" containsNumber="1" containsInteger="1" minValue="0" maxValue="100"/>
    </cacheField>
    <cacheField name="Recommendation" numFmtId="0">
      <sharedItems containsString="0" containsBlank="1" containsNumber="1" containsInteger="1" minValue="0" maxValue="100" count="91">
        <n v="100"/>
        <n v="15"/>
        <n v="5"/>
        <n v="0"/>
        <n v="73"/>
        <n v="61"/>
        <n v="95"/>
        <n v="85"/>
        <n v="92"/>
        <n v="10"/>
        <n v="16"/>
        <n v="94"/>
        <n v="40"/>
        <n v="90"/>
        <n v="50"/>
        <n v="97"/>
        <n v="75"/>
        <n v="71"/>
        <n v="89"/>
        <n v="69"/>
        <n v="70"/>
        <n v="31"/>
        <n v="9"/>
        <n v="60"/>
        <n v="20"/>
        <n v="65"/>
        <n v="81"/>
        <n v="82"/>
        <n v="96"/>
        <n v="3"/>
        <n v="30"/>
        <n v="91"/>
        <n v="13"/>
        <n v="37"/>
        <n v="83"/>
        <n v="25"/>
        <n v="79"/>
        <n v="80"/>
        <n v="57"/>
        <n v="27"/>
        <n v="76"/>
        <n v="36"/>
        <n v="72"/>
        <n v="23"/>
        <n v="74"/>
        <n v="51"/>
        <n v="12"/>
        <n v="11"/>
        <n v="67"/>
        <n v="87"/>
        <n v="66"/>
        <n v="62"/>
        <n v="78"/>
        <n v="19"/>
        <n v="64"/>
        <n v="77"/>
        <n v="68"/>
        <n v="33"/>
        <n v="42"/>
        <n v="32"/>
        <n v="86"/>
        <n v="6"/>
        <n v="21"/>
        <n v="43"/>
        <n v="35"/>
        <n v="99"/>
        <n v="29"/>
        <n v="84"/>
        <n v="46"/>
        <n v="55"/>
        <n v="1"/>
        <n v="47"/>
        <n v="4"/>
        <n v="56"/>
        <n v="18"/>
        <n v="88"/>
        <n v="28"/>
        <n v="45"/>
        <n v="38"/>
        <n v="41"/>
        <n v="98"/>
        <n v="52"/>
        <n v="39"/>
        <n v="54"/>
        <n v="53"/>
        <n v="7"/>
        <n v="49"/>
        <n v="93"/>
        <n v="24"/>
        <n v="34"/>
        <m/>
      </sharedItems>
    </cacheField>
    <cacheField name="Condition" numFmtId="0">
      <sharedItems containsBlank="1" count="5">
        <s v="LargeEffectNoPrompt"/>
        <s v="SmallEffectNoPrompt"/>
        <s v="SmallEffectWithPrompt"/>
        <s v="NoEffectSize"/>
        <m/>
      </sharedItems>
    </cacheField>
    <cacheField name="TotalScore" numFmtId="0">
      <sharedItems containsString="0" containsBlank="1" containsNumber="1" containsInteger="1" minValue="0" maxValue="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n v="1"/>
    <m/>
    <x v="0"/>
    <x v="0"/>
    <n v="7"/>
  </r>
  <r>
    <n v="2"/>
    <m/>
    <x v="1"/>
    <x v="1"/>
    <n v="7"/>
  </r>
  <r>
    <n v="3"/>
    <m/>
    <x v="2"/>
    <x v="1"/>
    <n v="7"/>
  </r>
  <r>
    <n v="4"/>
    <n v="7"/>
    <x v="3"/>
    <x v="2"/>
    <n v="3"/>
  </r>
  <r>
    <n v="5"/>
    <m/>
    <x v="4"/>
    <x v="3"/>
    <n v="4"/>
  </r>
  <r>
    <n v="6"/>
    <n v="60"/>
    <x v="5"/>
    <x v="2"/>
    <n v="5"/>
  </r>
  <r>
    <n v="7"/>
    <m/>
    <x v="6"/>
    <x v="0"/>
    <n v="6"/>
  </r>
  <r>
    <n v="8"/>
    <m/>
    <x v="7"/>
    <x v="0"/>
    <n v="1"/>
  </r>
  <r>
    <n v="9"/>
    <m/>
    <x v="8"/>
    <x v="0"/>
    <n v="3"/>
  </r>
  <r>
    <n v="10"/>
    <m/>
    <x v="2"/>
    <x v="1"/>
    <n v="6"/>
  </r>
  <r>
    <n v="11"/>
    <m/>
    <x v="8"/>
    <x v="3"/>
    <n v="6"/>
  </r>
  <r>
    <n v="12"/>
    <n v="5"/>
    <x v="9"/>
    <x v="2"/>
    <n v="4"/>
  </r>
  <r>
    <n v="13"/>
    <n v="22"/>
    <x v="10"/>
    <x v="2"/>
    <n v="7"/>
  </r>
  <r>
    <n v="14"/>
    <m/>
    <x v="0"/>
    <x v="3"/>
    <n v="3"/>
  </r>
  <r>
    <n v="15"/>
    <m/>
    <x v="11"/>
    <x v="3"/>
    <n v="1"/>
  </r>
  <r>
    <n v="16"/>
    <m/>
    <x v="12"/>
    <x v="1"/>
    <n v="3"/>
  </r>
  <r>
    <n v="17"/>
    <m/>
    <x v="13"/>
    <x v="0"/>
    <n v="6"/>
  </r>
  <r>
    <n v="18"/>
    <m/>
    <x v="14"/>
    <x v="0"/>
    <n v="6"/>
  </r>
  <r>
    <n v="19"/>
    <m/>
    <x v="15"/>
    <x v="3"/>
    <n v="4"/>
  </r>
  <r>
    <n v="20"/>
    <n v="10"/>
    <x v="9"/>
    <x v="2"/>
    <n v="8"/>
  </r>
  <r>
    <n v="21"/>
    <n v="60"/>
    <x v="16"/>
    <x v="2"/>
    <n v="6"/>
  </r>
  <r>
    <n v="22"/>
    <m/>
    <x v="17"/>
    <x v="3"/>
    <n v="6"/>
  </r>
  <r>
    <n v="23"/>
    <m/>
    <x v="18"/>
    <x v="0"/>
    <n v="6"/>
  </r>
  <r>
    <n v="24"/>
    <m/>
    <x v="19"/>
    <x v="0"/>
    <n v="4"/>
  </r>
  <r>
    <n v="25"/>
    <m/>
    <x v="20"/>
    <x v="3"/>
    <n v="8"/>
  </r>
  <r>
    <n v="26"/>
    <n v="0"/>
    <x v="3"/>
    <x v="2"/>
    <n v="2"/>
  </r>
  <r>
    <n v="27"/>
    <m/>
    <x v="21"/>
    <x v="1"/>
    <n v="6"/>
  </r>
  <r>
    <n v="28"/>
    <m/>
    <x v="22"/>
    <x v="1"/>
    <n v="7"/>
  </r>
  <r>
    <n v="29"/>
    <m/>
    <x v="23"/>
    <x v="1"/>
    <n v="8"/>
  </r>
  <r>
    <n v="30"/>
    <n v="61"/>
    <x v="24"/>
    <x v="2"/>
    <n v="5"/>
  </r>
  <r>
    <n v="31"/>
    <m/>
    <x v="25"/>
    <x v="3"/>
    <n v="5"/>
  </r>
  <r>
    <n v="32"/>
    <m/>
    <x v="26"/>
    <x v="3"/>
    <n v="6"/>
  </r>
  <r>
    <n v="33"/>
    <m/>
    <x v="1"/>
    <x v="1"/>
    <n v="8"/>
  </r>
  <r>
    <n v="34"/>
    <m/>
    <x v="0"/>
    <x v="3"/>
    <n v="3"/>
  </r>
  <r>
    <n v="35"/>
    <m/>
    <x v="27"/>
    <x v="3"/>
    <n v="5"/>
  </r>
  <r>
    <n v="36"/>
    <n v="24"/>
    <x v="1"/>
    <x v="2"/>
    <n v="6"/>
  </r>
  <r>
    <n v="37"/>
    <m/>
    <x v="20"/>
    <x v="0"/>
    <n v="8"/>
  </r>
  <r>
    <n v="38"/>
    <m/>
    <x v="28"/>
    <x v="3"/>
    <n v="5"/>
  </r>
  <r>
    <n v="39"/>
    <n v="22"/>
    <x v="29"/>
    <x v="2"/>
    <n v="6"/>
  </r>
  <r>
    <n v="40"/>
    <m/>
    <x v="23"/>
    <x v="0"/>
    <n v="8"/>
  </r>
  <r>
    <n v="41"/>
    <m/>
    <x v="30"/>
    <x v="3"/>
    <n v="4"/>
  </r>
  <r>
    <n v="42"/>
    <m/>
    <x v="23"/>
    <x v="1"/>
    <n v="6"/>
  </r>
  <r>
    <n v="43"/>
    <m/>
    <x v="31"/>
    <x v="3"/>
    <n v="5"/>
  </r>
  <r>
    <n v="44"/>
    <m/>
    <x v="32"/>
    <x v="1"/>
    <n v="7"/>
  </r>
  <r>
    <n v="45"/>
    <m/>
    <x v="7"/>
    <x v="0"/>
    <n v="8"/>
  </r>
  <r>
    <n v="46"/>
    <m/>
    <x v="24"/>
    <x v="1"/>
    <n v="5"/>
  </r>
  <r>
    <n v="47"/>
    <m/>
    <x v="33"/>
    <x v="1"/>
    <n v="6"/>
  </r>
  <r>
    <n v="48"/>
    <m/>
    <x v="13"/>
    <x v="3"/>
    <n v="5"/>
  </r>
  <r>
    <n v="49"/>
    <m/>
    <x v="34"/>
    <x v="3"/>
    <n v="7"/>
  </r>
  <r>
    <n v="50"/>
    <n v="11"/>
    <x v="9"/>
    <x v="2"/>
    <n v="7"/>
  </r>
  <r>
    <n v="51"/>
    <m/>
    <x v="10"/>
    <x v="1"/>
    <n v="8"/>
  </r>
  <r>
    <n v="52"/>
    <m/>
    <x v="13"/>
    <x v="0"/>
    <n v="4"/>
  </r>
  <r>
    <n v="53"/>
    <m/>
    <x v="35"/>
    <x v="1"/>
    <n v="3"/>
  </r>
  <r>
    <n v="54"/>
    <m/>
    <x v="32"/>
    <x v="1"/>
    <n v="4"/>
  </r>
  <r>
    <n v="55"/>
    <m/>
    <x v="16"/>
    <x v="0"/>
    <n v="8"/>
  </r>
  <r>
    <n v="56"/>
    <m/>
    <x v="0"/>
    <x v="0"/>
    <n v="6"/>
  </r>
  <r>
    <n v="57"/>
    <m/>
    <x v="36"/>
    <x v="0"/>
    <n v="8"/>
  </r>
  <r>
    <n v="58"/>
    <m/>
    <x v="37"/>
    <x v="0"/>
    <n v="6"/>
  </r>
  <r>
    <n v="59"/>
    <n v="37"/>
    <x v="38"/>
    <x v="2"/>
    <n v="4"/>
  </r>
  <r>
    <n v="60"/>
    <m/>
    <x v="37"/>
    <x v="0"/>
    <n v="7"/>
  </r>
  <r>
    <n v="61"/>
    <m/>
    <x v="7"/>
    <x v="3"/>
    <n v="7"/>
  </r>
  <r>
    <n v="62"/>
    <m/>
    <x v="39"/>
    <x v="1"/>
    <n v="7"/>
  </r>
  <r>
    <n v="63"/>
    <m/>
    <x v="9"/>
    <x v="3"/>
    <n v="8"/>
  </r>
  <r>
    <n v="64"/>
    <m/>
    <x v="12"/>
    <x v="1"/>
    <n v="4"/>
  </r>
  <r>
    <n v="65"/>
    <m/>
    <x v="40"/>
    <x v="3"/>
    <n v="7"/>
  </r>
  <r>
    <n v="66"/>
    <n v="42"/>
    <x v="21"/>
    <x v="2"/>
    <n v="3"/>
  </r>
  <r>
    <n v="67"/>
    <m/>
    <x v="37"/>
    <x v="0"/>
    <n v="6"/>
  </r>
  <r>
    <n v="68"/>
    <n v="70"/>
    <x v="25"/>
    <x v="2"/>
    <n v="8"/>
  </r>
  <r>
    <n v="69"/>
    <m/>
    <x v="0"/>
    <x v="0"/>
    <n v="2"/>
  </r>
  <r>
    <n v="70"/>
    <n v="70"/>
    <x v="37"/>
    <x v="2"/>
    <n v="7"/>
  </r>
  <r>
    <n v="71"/>
    <m/>
    <x v="26"/>
    <x v="3"/>
    <n v="6"/>
  </r>
  <r>
    <n v="72"/>
    <n v="0"/>
    <x v="3"/>
    <x v="2"/>
    <n v="8"/>
  </r>
  <r>
    <n v="73"/>
    <m/>
    <x v="3"/>
    <x v="1"/>
    <n v="7"/>
  </r>
  <r>
    <n v="74"/>
    <n v="23"/>
    <x v="41"/>
    <x v="2"/>
    <n v="6"/>
  </r>
  <r>
    <n v="75"/>
    <m/>
    <x v="9"/>
    <x v="1"/>
    <n v="7"/>
  </r>
  <r>
    <n v="76"/>
    <n v="19"/>
    <x v="24"/>
    <x v="2"/>
    <n v="6"/>
  </r>
  <r>
    <n v="77"/>
    <m/>
    <x v="27"/>
    <x v="1"/>
    <n v="3"/>
  </r>
  <r>
    <n v="78"/>
    <m/>
    <x v="0"/>
    <x v="0"/>
    <n v="7"/>
  </r>
  <r>
    <n v="79"/>
    <m/>
    <x v="20"/>
    <x v="0"/>
    <n v="6"/>
  </r>
  <r>
    <n v="80"/>
    <n v="72"/>
    <x v="42"/>
    <x v="2"/>
    <n v="7"/>
  </r>
  <r>
    <n v="81"/>
    <m/>
    <x v="43"/>
    <x v="1"/>
    <n v="7"/>
  </r>
  <r>
    <n v="82"/>
    <n v="70"/>
    <x v="27"/>
    <x v="2"/>
    <n v="0"/>
  </r>
  <r>
    <n v="83"/>
    <m/>
    <x v="37"/>
    <x v="0"/>
    <n v="5"/>
  </r>
  <r>
    <n v="84"/>
    <m/>
    <x v="26"/>
    <x v="3"/>
    <n v="6"/>
  </r>
  <r>
    <n v="85"/>
    <n v="10"/>
    <x v="9"/>
    <x v="2"/>
    <n v="7"/>
  </r>
  <r>
    <n v="86"/>
    <n v="64"/>
    <x v="16"/>
    <x v="2"/>
    <n v="2"/>
  </r>
  <r>
    <n v="87"/>
    <m/>
    <x v="44"/>
    <x v="3"/>
    <n v="1"/>
  </r>
  <r>
    <n v="88"/>
    <m/>
    <x v="24"/>
    <x v="1"/>
    <n v="6"/>
  </r>
  <r>
    <n v="89"/>
    <m/>
    <x v="0"/>
    <x v="1"/>
    <n v="5"/>
  </r>
  <r>
    <n v="90"/>
    <m/>
    <x v="45"/>
    <x v="1"/>
    <n v="6"/>
  </r>
  <r>
    <n v="91"/>
    <m/>
    <x v="46"/>
    <x v="1"/>
    <n v="7"/>
  </r>
  <r>
    <n v="92"/>
    <n v="10"/>
    <x v="47"/>
    <x v="2"/>
    <n v="5"/>
  </r>
  <r>
    <n v="93"/>
    <m/>
    <x v="6"/>
    <x v="0"/>
    <n v="4"/>
  </r>
  <r>
    <n v="94"/>
    <m/>
    <x v="0"/>
    <x v="3"/>
    <n v="6"/>
  </r>
  <r>
    <n v="95"/>
    <m/>
    <x v="20"/>
    <x v="0"/>
    <n v="5"/>
  </r>
  <r>
    <n v="96"/>
    <m/>
    <x v="0"/>
    <x v="1"/>
    <n v="5"/>
  </r>
  <r>
    <n v="97"/>
    <m/>
    <x v="7"/>
    <x v="3"/>
    <n v="4"/>
  </r>
  <r>
    <n v="98"/>
    <m/>
    <x v="48"/>
    <x v="1"/>
    <n v="5"/>
  </r>
  <r>
    <n v="99"/>
    <m/>
    <x v="37"/>
    <x v="0"/>
    <n v="5"/>
  </r>
  <r>
    <n v="100"/>
    <m/>
    <x v="6"/>
    <x v="3"/>
    <n v="8"/>
  </r>
  <r>
    <n v="101"/>
    <n v="70"/>
    <x v="20"/>
    <x v="2"/>
    <n v="5"/>
  </r>
  <r>
    <n v="102"/>
    <m/>
    <x v="20"/>
    <x v="0"/>
    <n v="4"/>
  </r>
  <r>
    <n v="103"/>
    <n v="75"/>
    <x v="25"/>
    <x v="2"/>
    <n v="4"/>
  </r>
  <r>
    <n v="104"/>
    <m/>
    <x v="42"/>
    <x v="0"/>
    <n v="5"/>
  </r>
  <r>
    <n v="105"/>
    <m/>
    <x v="10"/>
    <x v="1"/>
    <n v="2"/>
  </r>
  <r>
    <n v="106"/>
    <m/>
    <x v="23"/>
    <x v="1"/>
    <n v="4"/>
  </r>
  <r>
    <n v="107"/>
    <m/>
    <x v="49"/>
    <x v="3"/>
    <n v="3"/>
  </r>
  <r>
    <n v="108"/>
    <m/>
    <x v="0"/>
    <x v="3"/>
    <n v="7"/>
  </r>
  <r>
    <n v="109"/>
    <n v="100"/>
    <x v="0"/>
    <x v="2"/>
    <n v="4"/>
  </r>
  <r>
    <n v="110"/>
    <m/>
    <x v="36"/>
    <x v="0"/>
    <n v="8"/>
  </r>
  <r>
    <n v="111"/>
    <n v="60"/>
    <x v="50"/>
    <x v="2"/>
    <n v="6"/>
  </r>
  <r>
    <n v="112"/>
    <m/>
    <x v="0"/>
    <x v="0"/>
    <n v="7"/>
  </r>
  <r>
    <n v="113"/>
    <m/>
    <x v="51"/>
    <x v="1"/>
    <n v="5"/>
  </r>
  <r>
    <n v="114"/>
    <m/>
    <x v="17"/>
    <x v="1"/>
    <n v="4"/>
  </r>
  <r>
    <n v="115"/>
    <m/>
    <x v="50"/>
    <x v="1"/>
    <n v="5"/>
  </r>
  <r>
    <n v="116"/>
    <m/>
    <x v="16"/>
    <x v="3"/>
    <n v="8"/>
  </r>
  <r>
    <n v="117"/>
    <m/>
    <x v="52"/>
    <x v="3"/>
    <n v="5"/>
  </r>
  <r>
    <n v="118"/>
    <n v="5"/>
    <x v="2"/>
    <x v="2"/>
    <n v="6"/>
  </r>
  <r>
    <n v="119"/>
    <m/>
    <x v="0"/>
    <x v="3"/>
    <n v="6"/>
  </r>
  <r>
    <n v="120"/>
    <m/>
    <x v="53"/>
    <x v="0"/>
    <n v="4"/>
  </r>
  <r>
    <n v="121"/>
    <n v="14"/>
    <x v="1"/>
    <x v="2"/>
    <n v="5"/>
  </r>
  <r>
    <n v="122"/>
    <m/>
    <x v="30"/>
    <x v="1"/>
    <n v="4"/>
  </r>
  <r>
    <n v="123"/>
    <m/>
    <x v="23"/>
    <x v="3"/>
    <n v="8"/>
  </r>
  <r>
    <n v="124"/>
    <n v="61"/>
    <x v="54"/>
    <x v="2"/>
    <n v="7"/>
  </r>
  <r>
    <n v="125"/>
    <n v="73"/>
    <x v="55"/>
    <x v="2"/>
    <n v="6"/>
  </r>
  <r>
    <n v="126"/>
    <n v="20"/>
    <x v="35"/>
    <x v="2"/>
    <n v="7"/>
  </r>
  <r>
    <n v="127"/>
    <n v="80"/>
    <x v="37"/>
    <x v="2"/>
    <n v="6"/>
  </r>
  <r>
    <n v="128"/>
    <n v="20"/>
    <x v="35"/>
    <x v="2"/>
    <n v="7"/>
  </r>
  <r>
    <n v="129"/>
    <m/>
    <x v="56"/>
    <x v="1"/>
    <n v="3"/>
  </r>
  <r>
    <n v="130"/>
    <m/>
    <x v="4"/>
    <x v="0"/>
    <n v="2"/>
  </r>
  <r>
    <n v="131"/>
    <n v="15"/>
    <x v="3"/>
    <x v="2"/>
    <n v="8"/>
  </r>
  <r>
    <n v="132"/>
    <m/>
    <x v="20"/>
    <x v="0"/>
    <n v="7"/>
  </r>
  <r>
    <n v="133"/>
    <m/>
    <x v="57"/>
    <x v="1"/>
    <n v="5"/>
  </r>
  <r>
    <n v="134"/>
    <n v="25"/>
    <x v="57"/>
    <x v="2"/>
    <n v="4"/>
  </r>
  <r>
    <n v="135"/>
    <m/>
    <x v="16"/>
    <x v="0"/>
    <n v="5"/>
  </r>
  <r>
    <n v="136"/>
    <m/>
    <x v="13"/>
    <x v="0"/>
    <n v="4"/>
  </r>
  <r>
    <n v="137"/>
    <m/>
    <x v="48"/>
    <x v="1"/>
    <n v="4"/>
  </r>
  <r>
    <n v="138"/>
    <m/>
    <x v="23"/>
    <x v="0"/>
    <n v="8"/>
  </r>
  <r>
    <n v="139"/>
    <n v="25"/>
    <x v="30"/>
    <x v="2"/>
    <n v="5"/>
  </r>
  <r>
    <n v="140"/>
    <m/>
    <x v="0"/>
    <x v="3"/>
    <n v="5"/>
  </r>
  <r>
    <n v="141"/>
    <m/>
    <x v="0"/>
    <x v="3"/>
    <n v="6"/>
  </r>
  <r>
    <n v="142"/>
    <n v="30"/>
    <x v="24"/>
    <x v="2"/>
    <n v="7"/>
  </r>
  <r>
    <n v="143"/>
    <m/>
    <x v="58"/>
    <x v="1"/>
    <n v="3"/>
  </r>
  <r>
    <n v="144"/>
    <m/>
    <x v="7"/>
    <x v="1"/>
    <n v="6"/>
  </r>
  <r>
    <n v="145"/>
    <m/>
    <x v="36"/>
    <x v="0"/>
    <n v="4"/>
  </r>
  <r>
    <n v="146"/>
    <m/>
    <x v="20"/>
    <x v="0"/>
    <n v="7"/>
  </r>
  <r>
    <n v="147"/>
    <n v="20"/>
    <x v="35"/>
    <x v="2"/>
    <n v="6"/>
  </r>
  <r>
    <n v="148"/>
    <m/>
    <x v="14"/>
    <x v="3"/>
    <n v="3"/>
  </r>
  <r>
    <n v="149"/>
    <m/>
    <x v="0"/>
    <x v="3"/>
    <n v="5"/>
  </r>
  <r>
    <n v="150"/>
    <m/>
    <x v="13"/>
    <x v="3"/>
    <n v="6"/>
  </r>
  <r>
    <n v="151"/>
    <m/>
    <x v="26"/>
    <x v="0"/>
    <n v="5"/>
  </r>
  <r>
    <n v="152"/>
    <m/>
    <x v="0"/>
    <x v="3"/>
    <n v="6"/>
  </r>
  <r>
    <n v="153"/>
    <n v="12"/>
    <x v="47"/>
    <x v="2"/>
    <n v="5"/>
  </r>
  <r>
    <n v="154"/>
    <m/>
    <x v="0"/>
    <x v="1"/>
    <n v="5"/>
  </r>
  <r>
    <n v="155"/>
    <m/>
    <x v="31"/>
    <x v="0"/>
    <n v="5"/>
  </r>
  <r>
    <n v="156"/>
    <m/>
    <x v="20"/>
    <x v="0"/>
    <n v="7"/>
  </r>
  <r>
    <n v="157"/>
    <m/>
    <x v="59"/>
    <x v="1"/>
    <n v="6"/>
  </r>
  <r>
    <n v="158"/>
    <m/>
    <x v="13"/>
    <x v="3"/>
    <n v="4"/>
  </r>
  <r>
    <n v="159"/>
    <m/>
    <x v="37"/>
    <x v="3"/>
    <n v="6"/>
  </r>
  <r>
    <n v="160"/>
    <m/>
    <x v="3"/>
    <x v="1"/>
    <n v="0"/>
  </r>
  <r>
    <n v="161"/>
    <m/>
    <x v="60"/>
    <x v="3"/>
    <n v="7"/>
  </r>
  <r>
    <n v="162"/>
    <m/>
    <x v="0"/>
    <x v="3"/>
    <n v="7"/>
  </r>
  <r>
    <n v="163"/>
    <m/>
    <x v="61"/>
    <x v="1"/>
    <n v="5"/>
  </r>
  <r>
    <n v="164"/>
    <m/>
    <x v="9"/>
    <x v="1"/>
    <n v="5"/>
  </r>
  <r>
    <n v="165"/>
    <m/>
    <x v="62"/>
    <x v="1"/>
    <n v="3"/>
  </r>
  <r>
    <n v="166"/>
    <m/>
    <x v="63"/>
    <x v="1"/>
    <n v="8"/>
  </r>
  <r>
    <n v="167"/>
    <m/>
    <x v="27"/>
    <x v="3"/>
    <n v="7"/>
  </r>
  <r>
    <n v="168"/>
    <m/>
    <x v="7"/>
    <x v="1"/>
    <n v="6"/>
  </r>
  <r>
    <n v="169"/>
    <m/>
    <x v="23"/>
    <x v="0"/>
    <n v="8"/>
  </r>
  <r>
    <n v="170"/>
    <n v="60"/>
    <x v="23"/>
    <x v="2"/>
    <n v="7"/>
  </r>
  <r>
    <n v="171"/>
    <m/>
    <x v="9"/>
    <x v="1"/>
    <n v="8"/>
  </r>
  <r>
    <n v="172"/>
    <n v="64"/>
    <x v="54"/>
    <x v="2"/>
    <n v="7"/>
  </r>
  <r>
    <n v="173"/>
    <m/>
    <x v="36"/>
    <x v="3"/>
    <n v="8"/>
  </r>
  <r>
    <n v="174"/>
    <m/>
    <x v="4"/>
    <x v="0"/>
    <n v="4"/>
  </r>
  <r>
    <n v="175"/>
    <m/>
    <x v="24"/>
    <x v="1"/>
    <n v="8"/>
  </r>
  <r>
    <n v="176"/>
    <m/>
    <x v="28"/>
    <x v="0"/>
    <n v="3"/>
  </r>
  <r>
    <n v="177"/>
    <n v="50"/>
    <x v="14"/>
    <x v="2"/>
    <n v="3"/>
  </r>
  <r>
    <n v="178"/>
    <m/>
    <x v="5"/>
    <x v="1"/>
    <n v="4"/>
  </r>
  <r>
    <n v="179"/>
    <n v="91"/>
    <x v="60"/>
    <x v="2"/>
    <n v="3"/>
  </r>
  <r>
    <n v="180"/>
    <n v="10"/>
    <x v="9"/>
    <x v="2"/>
    <n v="4"/>
  </r>
  <r>
    <n v="181"/>
    <n v="100"/>
    <x v="0"/>
    <x v="2"/>
    <n v="7"/>
  </r>
  <r>
    <n v="182"/>
    <m/>
    <x v="13"/>
    <x v="3"/>
    <n v="5"/>
  </r>
  <r>
    <n v="183"/>
    <n v="25"/>
    <x v="35"/>
    <x v="2"/>
    <n v="0"/>
  </r>
  <r>
    <n v="184"/>
    <m/>
    <x v="0"/>
    <x v="0"/>
    <n v="4"/>
  </r>
  <r>
    <n v="185"/>
    <m/>
    <x v="37"/>
    <x v="3"/>
    <n v="2"/>
  </r>
  <r>
    <n v="186"/>
    <m/>
    <x v="31"/>
    <x v="1"/>
    <n v="4"/>
  </r>
  <r>
    <n v="187"/>
    <m/>
    <x v="13"/>
    <x v="0"/>
    <n v="5"/>
  </r>
  <r>
    <n v="188"/>
    <m/>
    <x v="48"/>
    <x v="3"/>
    <n v="7"/>
  </r>
  <r>
    <n v="189"/>
    <m/>
    <x v="37"/>
    <x v="0"/>
    <n v="6"/>
  </r>
  <r>
    <n v="190"/>
    <m/>
    <x v="20"/>
    <x v="3"/>
    <n v="7"/>
  </r>
  <r>
    <n v="191"/>
    <n v="70"/>
    <x v="51"/>
    <x v="2"/>
    <n v="2"/>
  </r>
  <r>
    <n v="192"/>
    <m/>
    <x v="7"/>
    <x v="0"/>
    <n v="4"/>
  </r>
  <r>
    <n v="193"/>
    <n v="56"/>
    <x v="36"/>
    <x v="2"/>
    <n v="2"/>
  </r>
  <r>
    <n v="194"/>
    <m/>
    <x v="31"/>
    <x v="0"/>
    <n v="7"/>
  </r>
  <r>
    <n v="195"/>
    <n v="42"/>
    <x v="64"/>
    <x v="2"/>
    <n v="5"/>
  </r>
  <r>
    <n v="196"/>
    <m/>
    <x v="64"/>
    <x v="1"/>
    <n v="7"/>
  </r>
  <r>
    <n v="197"/>
    <n v="26"/>
    <x v="24"/>
    <x v="2"/>
    <n v="4"/>
  </r>
  <r>
    <n v="198"/>
    <n v="5"/>
    <x v="2"/>
    <x v="2"/>
    <n v="8"/>
  </r>
  <r>
    <n v="199"/>
    <m/>
    <x v="14"/>
    <x v="1"/>
    <n v="6"/>
  </r>
  <r>
    <n v="200"/>
    <m/>
    <x v="14"/>
    <x v="1"/>
    <n v="2"/>
  </r>
  <r>
    <n v="201"/>
    <n v="76"/>
    <x v="8"/>
    <x v="2"/>
    <n v="5"/>
  </r>
  <r>
    <n v="202"/>
    <m/>
    <x v="42"/>
    <x v="1"/>
    <n v="7"/>
  </r>
  <r>
    <n v="203"/>
    <m/>
    <x v="65"/>
    <x v="3"/>
    <n v="4"/>
  </r>
  <r>
    <n v="204"/>
    <m/>
    <x v="16"/>
    <x v="0"/>
    <n v="8"/>
  </r>
  <r>
    <n v="205"/>
    <m/>
    <x v="0"/>
    <x v="0"/>
    <n v="3"/>
  </r>
  <r>
    <n v="206"/>
    <m/>
    <x v="66"/>
    <x v="1"/>
    <n v="7"/>
  </r>
  <r>
    <n v="207"/>
    <m/>
    <x v="67"/>
    <x v="0"/>
    <n v="6"/>
  </r>
  <r>
    <n v="208"/>
    <n v="50"/>
    <x v="23"/>
    <x v="2"/>
    <n v="8"/>
  </r>
  <r>
    <n v="209"/>
    <m/>
    <x v="0"/>
    <x v="0"/>
    <n v="6"/>
  </r>
  <r>
    <n v="210"/>
    <n v="21"/>
    <x v="63"/>
    <x v="2"/>
    <n v="4"/>
  </r>
  <r>
    <n v="211"/>
    <n v="70"/>
    <x v="31"/>
    <x v="2"/>
    <n v="6"/>
  </r>
  <r>
    <n v="212"/>
    <m/>
    <x v="6"/>
    <x v="1"/>
    <n v="5"/>
  </r>
  <r>
    <n v="213"/>
    <m/>
    <x v="0"/>
    <x v="3"/>
    <n v="7"/>
  </r>
  <r>
    <n v="214"/>
    <m/>
    <x v="68"/>
    <x v="1"/>
    <n v="7"/>
  </r>
  <r>
    <n v="215"/>
    <n v="25"/>
    <x v="23"/>
    <x v="2"/>
    <n v="3"/>
  </r>
  <r>
    <n v="216"/>
    <m/>
    <x v="12"/>
    <x v="0"/>
    <n v="7"/>
  </r>
  <r>
    <n v="217"/>
    <m/>
    <x v="0"/>
    <x v="1"/>
    <n v="1"/>
  </r>
  <r>
    <n v="218"/>
    <m/>
    <x v="16"/>
    <x v="0"/>
    <n v="4"/>
  </r>
  <r>
    <n v="219"/>
    <m/>
    <x v="0"/>
    <x v="0"/>
    <n v="7"/>
  </r>
  <r>
    <n v="220"/>
    <m/>
    <x v="5"/>
    <x v="0"/>
    <n v="3"/>
  </r>
  <r>
    <n v="221"/>
    <m/>
    <x v="30"/>
    <x v="0"/>
    <n v="7"/>
  </r>
  <r>
    <n v="222"/>
    <n v="55"/>
    <x v="69"/>
    <x v="2"/>
    <n v="6"/>
  </r>
  <r>
    <n v="223"/>
    <n v="5"/>
    <x v="70"/>
    <x v="2"/>
    <n v="6"/>
  </r>
  <r>
    <n v="224"/>
    <m/>
    <x v="14"/>
    <x v="0"/>
    <n v="7"/>
  </r>
  <r>
    <n v="225"/>
    <m/>
    <x v="13"/>
    <x v="3"/>
    <n v="4"/>
  </r>
  <r>
    <n v="226"/>
    <m/>
    <x v="13"/>
    <x v="3"/>
    <n v="3"/>
  </r>
  <r>
    <n v="227"/>
    <m/>
    <x v="71"/>
    <x v="1"/>
    <n v="3"/>
  </r>
  <r>
    <n v="228"/>
    <n v="20"/>
    <x v="1"/>
    <x v="2"/>
    <n v="5"/>
  </r>
  <r>
    <n v="229"/>
    <m/>
    <x v="17"/>
    <x v="3"/>
    <n v="3"/>
  </r>
  <r>
    <n v="230"/>
    <m/>
    <x v="37"/>
    <x v="3"/>
    <n v="4"/>
  </r>
  <r>
    <n v="231"/>
    <m/>
    <x v="52"/>
    <x v="3"/>
    <n v="3"/>
  </r>
  <r>
    <n v="232"/>
    <m/>
    <x v="72"/>
    <x v="1"/>
    <n v="5"/>
  </r>
  <r>
    <n v="233"/>
    <m/>
    <x v="0"/>
    <x v="0"/>
    <n v="3"/>
  </r>
  <r>
    <n v="234"/>
    <n v="100"/>
    <x v="0"/>
    <x v="2"/>
    <n v="7"/>
  </r>
  <r>
    <n v="235"/>
    <m/>
    <x v="3"/>
    <x v="0"/>
    <n v="2"/>
  </r>
  <r>
    <n v="236"/>
    <n v="7"/>
    <x v="2"/>
    <x v="2"/>
    <n v="8"/>
  </r>
  <r>
    <n v="237"/>
    <m/>
    <x v="3"/>
    <x v="0"/>
    <n v="2"/>
  </r>
  <r>
    <n v="238"/>
    <m/>
    <x v="31"/>
    <x v="3"/>
    <n v="5"/>
  </r>
  <r>
    <n v="239"/>
    <m/>
    <x v="55"/>
    <x v="0"/>
    <n v="5"/>
  </r>
  <r>
    <n v="240"/>
    <m/>
    <x v="45"/>
    <x v="3"/>
    <n v="5"/>
  </r>
  <r>
    <n v="241"/>
    <m/>
    <x v="27"/>
    <x v="3"/>
    <n v="3"/>
  </r>
  <r>
    <n v="242"/>
    <m/>
    <x v="24"/>
    <x v="1"/>
    <n v="7"/>
  </r>
  <r>
    <n v="243"/>
    <m/>
    <x v="0"/>
    <x v="3"/>
    <n v="5"/>
  </r>
  <r>
    <n v="244"/>
    <m/>
    <x v="27"/>
    <x v="3"/>
    <n v="4"/>
  </r>
  <r>
    <n v="245"/>
    <m/>
    <x v="44"/>
    <x v="3"/>
    <n v="6"/>
  </r>
  <r>
    <n v="246"/>
    <m/>
    <x v="73"/>
    <x v="1"/>
    <n v="5"/>
  </r>
  <r>
    <n v="247"/>
    <m/>
    <x v="14"/>
    <x v="0"/>
    <n v="6"/>
  </r>
  <r>
    <n v="248"/>
    <m/>
    <x v="20"/>
    <x v="3"/>
    <n v="4"/>
  </r>
  <r>
    <n v="249"/>
    <m/>
    <x v="4"/>
    <x v="1"/>
    <n v="6"/>
  </r>
  <r>
    <n v="250"/>
    <m/>
    <x v="9"/>
    <x v="1"/>
    <n v="6"/>
  </r>
  <r>
    <n v="251"/>
    <m/>
    <x v="14"/>
    <x v="0"/>
    <n v="4"/>
  </r>
  <r>
    <n v="252"/>
    <m/>
    <x v="38"/>
    <x v="3"/>
    <n v="7"/>
  </r>
  <r>
    <n v="253"/>
    <n v="0"/>
    <x v="24"/>
    <x v="2"/>
    <n v="7"/>
  </r>
  <r>
    <n v="254"/>
    <n v="80"/>
    <x v="69"/>
    <x v="2"/>
    <n v="6"/>
  </r>
  <r>
    <n v="255"/>
    <m/>
    <x v="18"/>
    <x v="1"/>
    <n v="2"/>
  </r>
  <r>
    <n v="256"/>
    <m/>
    <x v="17"/>
    <x v="3"/>
    <n v="5"/>
  </r>
  <r>
    <n v="257"/>
    <m/>
    <x v="7"/>
    <x v="1"/>
    <n v="5"/>
  </r>
  <r>
    <n v="258"/>
    <n v="30"/>
    <x v="47"/>
    <x v="2"/>
    <n v="6"/>
  </r>
  <r>
    <n v="259"/>
    <m/>
    <x v="14"/>
    <x v="1"/>
    <n v="8"/>
  </r>
  <r>
    <n v="260"/>
    <n v="70"/>
    <x v="11"/>
    <x v="2"/>
    <n v="4"/>
  </r>
  <r>
    <n v="261"/>
    <m/>
    <x v="49"/>
    <x v="0"/>
    <n v="7"/>
  </r>
  <r>
    <n v="262"/>
    <m/>
    <x v="56"/>
    <x v="0"/>
    <n v="7"/>
  </r>
  <r>
    <n v="263"/>
    <m/>
    <x v="0"/>
    <x v="0"/>
    <n v="6"/>
  </r>
  <r>
    <n v="264"/>
    <m/>
    <x v="0"/>
    <x v="0"/>
    <n v="4"/>
  </r>
  <r>
    <n v="265"/>
    <m/>
    <x v="13"/>
    <x v="3"/>
    <n v="7"/>
  </r>
  <r>
    <n v="266"/>
    <m/>
    <x v="14"/>
    <x v="3"/>
    <n v="2"/>
  </r>
  <r>
    <n v="267"/>
    <m/>
    <x v="17"/>
    <x v="3"/>
    <n v="5"/>
  </r>
  <r>
    <n v="268"/>
    <m/>
    <x v="74"/>
    <x v="0"/>
    <n v="2"/>
  </r>
  <r>
    <n v="269"/>
    <m/>
    <x v="0"/>
    <x v="0"/>
    <n v="7"/>
  </r>
  <r>
    <n v="270"/>
    <m/>
    <x v="13"/>
    <x v="1"/>
    <n v="4"/>
  </r>
  <r>
    <n v="271"/>
    <m/>
    <x v="37"/>
    <x v="3"/>
    <n v="7"/>
  </r>
  <r>
    <n v="272"/>
    <m/>
    <x v="23"/>
    <x v="3"/>
    <n v="6"/>
  </r>
  <r>
    <n v="273"/>
    <m/>
    <x v="23"/>
    <x v="0"/>
    <n v="7"/>
  </r>
  <r>
    <n v="274"/>
    <m/>
    <x v="14"/>
    <x v="3"/>
    <n v="7"/>
  </r>
  <r>
    <n v="275"/>
    <m/>
    <x v="0"/>
    <x v="3"/>
    <n v="3"/>
  </r>
  <r>
    <n v="276"/>
    <m/>
    <x v="64"/>
    <x v="0"/>
    <n v="8"/>
  </r>
  <r>
    <n v="277"/>
    <m/>
    <x v="56"/>
    <x v="1"/>
    <n v="7"/>
  </r>
  <r>
    <n v="278"/>
    <n v="17"/>
    <x v="61"/>
    <x v="2"/>
    <n v="8"/>
  </r>
  <r>
    <n v="279"/>
    <m/>
    <x v="0"/>
    <x v="1"/>
    <n v="5"/>
  </r>
  <r>
    <n v="280"/>
    <n v="20"/>
    <x v="30"/>
    <x v="2"/>
    <n v="7"/>
  </r>
  <r>
    <n v="281"/>
    <m/>
    <x v="27"/>
    <x v="1"/>
    <n v="6"/>
  </r>
  <r>
    <n v="282"/>
    <n v="27"/>
    <x v="1"/>
    <x v="2"/>
    <n v="5"/>
  </r>
  <r>
    <n v="283"/>
    <m/>
    <x v="1"/>
    <x v="1"/>
    <n v="8"/>
  </r>
  <r>
    <n v="284"/>
    <m/>
    <x v="55"/>
    <x v="3"/>
    <n v="6"/>
  </r>
  <r>
    <n v="285"/>
    <m/>
    <x v="0"/>
    <x v="3"/>
    <n v="7"/>
  </r>
  <r>
    <n v="286"/>
    <n v="10"/>
    <x v="22"/>
    <x v="2"/>
    <n v="5"/>
  </r>
  <r>
    <n v="287"/>
    <m/>
    <x v="36"/>
    <x v="1"/>
    <n v="3"/>
  </r>
  <r>
    <n v="288"/>
    <n v="40"/>
    <x v="23"/>
    <x v="2"/>
    <n v="7"/>
  </r>
  <r>
    <n v="289"/>
    <m/>
    <x v="75"/>
    <x v="3"/>
    <n v="3"/>
  </r>
  <r>
    <n v="290"/>
    <m/>
    <x v="76"/>
    <x v="1"/>
    <n v="6"/>
  </r>
  <r>
    <n v="291"/>
    <m/>
    <x v="77"/>
    <x v="0"/>
    <n v="8"/>
  </r>
  <r>
    <n v="292"/>
    <m/>
    <x v="12"/>
    <x v="1"/>
    <n v="5"/>
  </r>
  <r>
    <n v="293"/>
    <m/>
    <x v="0"/>
    <x v="3"/>
    <n v="2"/>
  </r>
  <r>
    <n v="294"/>
    <m/>
    <x v="3"/>
    <x v="1"/>
    <n v="7"/>
  </r>
  <r>
    <n v="295"/>
    <m/>
    <x v="13"/>
    <x v="3"/>
    <n v="7"/>
  </r>
  <r>
    <n v="296"/>
    <m/>
    <x v="78"/>
    <x v="0"/>
    <n v="5"/>
  </r>
  <r>
    <n v="297"/>
    <m/>
    <x v="0"/>
    <x v="1"/>
    <n v="5"/>
  </r>
  <r>
    <n v="298"/>
    <m/>
    <x v="79"/>
    <x v="1"/>
    <n v="6"/>
  </r>
  <r>
    <n v="299"/>
    <n v="30"/>
    <x v="30"/>
    <x v="2"/>
    <n v="7"/>
  </r>
  <r>
    <n v="300"/>
    <m/>
    <x v="12"/>
    <x v="1"/>
    <n v="6"/>
  </r>
  <r>
    <n v="301"/>
    <n v="80"/>
    <x v="13"/>
    <x v="2"/>
    <n v="5"/>
  </r>
  <r>
    <n v="302"/>
    <n v="81"/>
    <x v="80"/>
    <x v="2"/>
    <n v="3"/>
  </r>
  <r>
    <n v="303"/>
    <m/>
    <x v="0"/>
    <x v="0"/>
    <n v="5"/>
  </r>
  <r>
    <n v="304"/>
    <m/>
    <x v="54"/>
    <x v="0"/>
    <n v="6"/>
  </r>
  <r>
    <n v="305"/>
    <m/>
    <x v="7"/>
    <x v="3"/>
    <n v="5"/>
  </r>
  <r>
    <n v="306"/>
    <n v="40"/>
    <x v="53"/>
    <x v="2"/>
    <n v="7"/>
  </r>
  <r>
    <n v="307"/>
    <n v="71"/>
    <x v="17"/>
    <x v="2"/>
    <n v="7"/>
  </r>
  <r>
    <n v="308"/>
    <m/>
    <x v="81"/>
    <x v="1"/>
    <n v="4"/>
  </r>
  <r>
    <n v="309"/>
    <n v="30"/>
    <x v="64"/>
    <x v="2"/>
    <n v="8"/>
  </r>
  <r>
    <n v="310"/>
    <m/>
    <x v="82"/>
    <x v="3"/>
    <n v="2"/>
  </r>
  <r>
    <n v="311"/>
    <m/>
    <x v="23"/>
    <x v="0"/>
    <n v="5"/>
  </r>
  <r>
    <n v="312"/>
    <m/>
    <x v="83"/>
    <x v="1"/>
    <n v="6"/>
  </r>
  <r>
    <n v="313"/>
    <n v="76"/>
    <x v="16"/>
    <x v="2"/>
    <n v="2"/>
  </r>
  <r>
    <n v="314"/>
    <m/>
    <x v="59"/>
    <x v="1"/>
    <n v="7"/>
  </r>
  <r>
    <n v="315"/>
    <m/>
    <x v="20"/>
    <x v="1"/>
    <n v="7"/>
  </r>
  <r>
    <n v="316"/>
    <m/>
    <x v="37"/>
    <x v="0"/>
    <n v="7"/>
  </r>
  <r>
    <n v="317"/>
    <m/>
    <x v="3"/>
    <x v="1"/>
    <n v="4"/>
  </r>
  <r>
    <n v="318"/>
    <m/>
    <x v="55"/>
    <x v="1"/>
    <n v="3"/>
  </r>
  <r>
    <n v="319"/>
    <m/>
    <x v="1"/>
    <x v="1"/>
    <n v="6"/>
  </r>
  <r>
    <n v="320"/>
    <m/>
    <x v="25"/>
    <x v="0"/>
    <n v="3"/>
  </r>
  <r>
    <n v="321"/>
    <m/>
    <x v="56"/>
    <x v="3"/>
    <n v="6"/>
  </r>
  <r>
    <n v="322"/>
    <m/>
    <x v="5"/>
    <x v="0"/>
    <n v="8"/>
  </r>
  <r>
    <n v="323"/>
    <m/>
    <x v="7"/>
    <x v="0"/>
    <n v="6"/>
  </r>
  <r>
    <n v="324"/>
    <n v="76"/>
    <x v="20"/>
    <x v="2"/>
    <n v="3"/>
  </r>
  <r>
    <n v="325"/>
    <n v="6"/>
    <x v="2"/>
    <x v="2"/>
    <n v="7"/>
  </r>
  <r>
    <n v="326"/>
    <n v="25"/>
    <x v="24"/>
    <x v="2"/>
    <n v="7"/>
  </r>
  <r>
    <n v="327"/>
    <m/>
    <x v="11"/>
    <x v="3"/>
    <n v="6"/>
  </r>
  <r>
    <n v="328"/>
    <m/>
    <x v="4"/>
    <x v="3"/>
    <n v="7"/>
  </r>
  <r>
    <n v="329"/>
    <m/>
    <x v="0"/>
    <x v="3"/>
    <n v="7"/>
  </r>
  <r>
    <n v="330"/>
    <m/>
    <x v="9"/>
    <x v="1"/>
    <n v="8"/>
  </r>
  <r>
    <n v="331"/>
    <m/>
    <x v="45"/>
    <x v="3"/>
    <n v="6"/>
  </r>
  <r>
    <n v="332"/>
    <n v="0"/>
    <x v="3"/>
    <x v="2"/>
    <n v="5"/>
  </r>
  <r>
    <n v="333"/>
    <n v="100"/>
    <x v="0"/>
    <x v="2"/>
    <n v="6"/>
  </r>
  <r>
    <n v="334"/>
    <m/>
    <x v="17"/>
    <x v="3"/>
    <n v="2"/>
  </r>
  <r>
    <n v="335"/>
    <m/>
    <x v="23"/>
    <x v="0"/>
    <n v="5"/>
  </r>
  <r>
    <n v="336"/>
    <m/>
    <x v="0"/>
    <x v="0"/>
    <n v="4"/>
  </r>
  <r>
    <n v="337"/>
    <m/>
    <x v="23"/>
    <x v="1"/>
    <n v="5"/>
  </r>
  <r>
    <n v="338"/>
    <m/>
    <x v="5"/>
    <x v="0"/>
    <n v="5"/>
  </r>
  <r>
    <n v="339"/>
    <m/>
    <x v="8"/>
    <x v="3"/>
    <n v="7"/>
  </r>
  <r>
    <n v="340"/>
    <m/>
    <x v="84"/>
    <x v="1"/>
    <n v="5"/>
  </r>
  <r>
    <n v="341"/>
    <n v="69"/>
    <x v="25"/>
    <x v="2"/>
    <n v="5"/>
  </r>
  <r>
    <n v="342"/>
    <n v="50"/>
    <x v="14"/>
    <x v="2"/>
    <n v="3"/>
  </r>
  <r>
    <n v="343"/>
    <m/>
    <x v="0"/>
    <x v="1"/>
    <n v="4"/>
  </r>
  <r>
    <n v="344"/>
    <n v="15"/>
    <x v="35"/>
    <x v="2"/>
    <n v="5"/>
  </r>
  <r>
    <n v="345"/>
    <m/>
    <x v="20"/>
    <x v="0"/>
    <n v="7"/>
  </r>
  <r>
    <n v="346"/>
    <m/>
    <x v="9"/>
    <x v="1"/>
    <n v="7"/>
  </r>
  <r>
    <n v="347"/>
    <m/>
    <x v="24"/>
    <x v="1"/>
    <n v="6"/>
  </r>
  <r>
    <n v="348"/>
    <n v="14"/>
    <x v="85"/>
    <x v="2"/>
    <n v="7"/>
  </r>
  <r>
    <n v="349"/>
    <n v="81"/>
    <x v="36"/>
    <x v="2"/>
    <n v="4"/>
  </r>
  <r>
    <n v="350"/>
    <n v="75"/>
    <x v="5"/>
    <x v="2"/>
    <n v="5"/>
  </r>
  <r>
    <n v="351"/>
    <m/>
    <x v="36"/>
    <x v="3"/>
    <n v="5"/>
  </r>
  <r>
    <n v="352"/>
    <m/>
    <x v="0"/>
    <x v="0"/>
    <n v="5"/>
  </r>
  <r>
    <n v="353"/>
    <m/>
    <x v="23"/>
    <x v="3"/>
    <n v="7"/>
  </r>
  <r>
    <n v="354"/>
    <m/>
    <x v="28"/>
    <x v="0"/>
    <n v="3"/>
  </r>
  <r>
    <n v="355"/>
    <m/>
    <x v="13"/>
    <x v="3"/>
    <n v="5"/>
  </r>
  <r>
    <n v="356"/>
    <m/>
    <x v="86"/>
    <x v="3"/>
    <n v="5"/>
  </r>
  <r>
    <n v="357"/>
    <m/>
    <x v="37"/>
    <x v="3"/>
    <n v="7"/>
  </r>
  <r>
    <n v="358"/>
    <n v="80"/>
    <x v="27"/>
    <x v="2"/>
    <n v="4"/>
  </r>
  <r>
    <n v="359"/>
    <m/>
    <x v="77"/>
    <x v="1"/>
    <n v="7"/>
  </r>
  <r>
    <n v="360"/>
    <n v="81"/>
    <x v="60"/>
    <x v="2"/>
    <n v="6"/>
  </r>
  <r>
    <n v="361"/>
    <m/>
    <x v="75"/>
    <x v="0"/>
    <n v="7"/>
  </r>
  <r>
    <n v="362"/>
    <m/>
    <x v="1"/>
    <x v="1"/>
    <n v="7"/>
  </r>
  <r>
    <n v="363"/>
    <m/>
    <x v="0"/>
    <x v="0"/>
    <n v="7"/>
  </r>
  <r>
    <n v="364"/>
    <n v="85"/>
    <x v="13"/>
    <x v="2"/>
    <n v="7"/>
  </r>
  <r>
    <n v="365"/>
    <m/>
    <x v="20"/>
    <x v="1"/>
    <n v="5"/>
  </r>
  <r>
    <n v="366"/>
    <m/>
    <x v="0"/>
    <x v="0"/>
    <n v="4"/>
  </r>
  <r>
    <n v="367"/>
    <m/>
    <x v="20"/>
    <x v="0"/>
    <n v="8"/>
  </r>
  <r>
    <n v="368"/>
    <n v="5"/>
    <x v="70"/>
    <x v="2"/>
    <n v="8"/>
  </r>
  <r>
    <n v="369"/>
    <m/>
    <x v="3"/>
    <x v="1"/>
    <n v="6"/>
  </r>
  <r>
    <n v="370"/>
    <m/>
    <x v="50"/>
    <x v="0"/>
    <n v="4"/>
  </r>
  <r>
    <n v="371"/>
    <m/>
    <x v="71"/>
    <x v="3"/>
    <n v="4"/>
  </r>
  <r>
    <n v="372"/>
    <n v="74"/>
    <x v="87"/>
    <x v="2"/>
    <n v="3"/>
  </r>
  <r>
    <n v="373"/>
    <m/>
    <x v="36"/>
    <x v="0"/>
    <n v="3"/>
  </r>
  <r>
    <n v="374"/>
    <n v="65"/>
    <x v="20"/>
    <x v="2"/>
    <n v="6"/>
  </r>
  <r>
    <n v="375"/>
    <m/>
    <x v="27"/>
    <x v="1"/>
    <n v="4"/>
  </r>
  <r>
    <n v="376"/>
    <m/>
    <x v="75"/>
    <x v="3"/>
    <n v="2"/>
  </r>
  <r>
    <n v="377"/>
    <m/>
    <x v="25"/>
    <x v="1"/>
    <n v="6"/>
  </r>
  <r>
    <n v="378"/>
    <m/>
    <x v="33"/>
    <x v="1"/>
    <n v="3"/>
  </r>
  <r>
    <n v="379"/>
    <m/>
    <x v="54"/>
    <x v="0"/>
    <n v="2"/>
  </r>
  <r>
    <n v="380"/>
    <m/>
    <x v="35"/>
    <x v="0"/>
    <n v="6"/>
  </r>
  <r>
    <n v="381"/>
    <n v="25"/>
    <x v="88"/>
    <x v="2"/>
    <n v="7"/>
  </r>
  <r>
    <n v="382"/>
    <m/>
    <x v="27"/>
    <x v="0"/>
    <n v="4"/>
  </r>
  <r>
    <n v="383"/>
    <m/>
    <x v="13"/>
    <x v="0"/>
    <n v="7"/>
  </r>
  <r>
    <n v="384"/>
    <m/>
    <x v="12"/>
    <x v="1"/>
    <n v="6"/>
  </r>
  <r>
    <n v="385"/>
    <m/>
    <x v="0"/>
    <x v="3"/>
    <n v="3"/>
  </r>
  <r>
    <n v="386"/>
    <m/>
    <x v="6"/>
    <x v="1"/>
    <n v="5"/>
  </r>
  <r>
    <n v="387"/>
    <m/>
    <x v="0"/>
    <x v="3"/>
    <n v="7"/>
  </r>
  <r>
    <n v="388"/>
    <m/>
    <x v="13"/>
    <x v="3"/>
    <n v="7"/>
  </r>
  <r>
    <n v="389"/>
    <m/>
    <x v="0"/>
    <x v="0"/>
    <n v="2"/>
  </r>
  <r>
    <n v="390"/>
    <m/>
    <x v="7"/>
    <x v="3"/>
    <n v="6"/>
  </r>
  <r>
    <n v="391"/>
    <m/>
    <x v="10"/>
    <x v="0"/>
    <n v="6"/>
  </r>
  <r>
    <n v="392"/>
    <n v="41"/>
    <x v="86"/>
    <x v="2"/>
    <n v="6"/>
  </r>
  <r>
    <n v="393"/>
    <m/>
    <x v="25"/>
    <x v="3"/>
    <n v="7"/>
  </r>
  <r>
    <n v="394"/>
    <n v="70"/>
    <x v="7"/>
    <x v="2"/>
    <n v="4"/>
  </r>
  <r>
    <n v="395"/>
    <m/>
    <x v="20"/>
    <x v="0"/>
    <n v="6"/>
  </r>
  <r>
    <n v="396"/>
    <m/>
    <x v="0"/>
    <x v="3"/>
    <n v="1"/>
  </r>
  <r>
    <n v="397"/>
    <n v="43"/>
    <x v="58"/>
    <x v="2"/>
    <n v="7"/>
  </r>
  <r>
    <n v="398"/>
    <n v="60"/>
    <x v="23"/>
    <x v="2"/>
    <n v="6"/>
  </r>
  <r>
    <n v="399"/>
    <n v="82"/>
    <x v="15"/>
    <x v="2"/>
    <n v="6"/>
  </r>
  <r>
    <n v="400"/>
    <m/>
    <x v="89"/>
    <x v="0"/>
    <n v="7"/>
  </r>
  <r>
    <m/>
    <m/>
    <x v="90"/>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6" firstHeaderRow="1" firstDataRow="3" firstDataCol="0"/>
  <pivotFields count="5">
    <pivotField showAll="0"/>
    <pivotField showAll="0"/>
    <pivotField dataField="1" showAll="0">
      <items count="92">
        <item x="3"/>
        <item x="70"/>
        <item x="29"/>
        <item x="72"/>
        <item x="2"/>
        <item x="61"/>
        <item x="85"/>
        <item x="22"/>
        <item x="9"/>
        <item x="47"/>
        <item x="46"/>
        <item x="32"/>
        <item x="1"/>
        <item x="10"/>
        <item x="74"/>
        <item x="53"/>
        <item x="24"/>
        <item x="62"/>
        <item x="43"/>
        <item x="88"/>
        <item x="35"/>
        <item x="39"/>
        <item x="76"/>
        <item x="66"/>
        <item x="30"/>
        <item x="21"/>
        <item x="59"/>
        <item x="57"/>
        <item x="89"/>
        <item x="64"/>
        <item x="41"/>
        <item x="33"/>
        <item x="78"/>
        <item x="82"/>
        <item x="12"/>
        <item x="79"/>
        <item x="58"/>
        <item x="63"/>
        <item x="77"/>
        <item x="68"/>
        <item x="71"/>
        <item x="86"/>
        <item x="14"/>
        <item x="45"/>
        <item x="81"/>
        <item x="84"/>
        <item x="83"/>
        <item x="69"/>
        <item x="73"/>
        <item x="38"/>
        <item x="23"/>
        <item x="5"/>
        <item x="51"/>
        <item x="54"/>
        <item x="25"/>
        <item x="50"/>
        <item x="48"/>
        <item x="56"/>
        <item x="19"/>
        <item x="20"/>
        <item x="17"/>
        <item x="42"/>
        <item x="4"/>
        <item x="44"/>
        <item x="16"/>
        <item x="40"/>
        <item x="55"/>
        <item x="52"/>
        <item x="36"/>
        <item x="37"/>
        <item x="26"/>
        <item x="27"/>
        <item x="34"/>
        <item x="67"/>
        <item x="7"/>
        <item x="60"/>
        <item x="49"/>
        <item x="75"/>
        <item x="18"/>
        <item x="13"/>
        <item x="31"/>
        <item x="8"/>
        <item x="87"/>
        <item x="11"/>
        <item x="6"/>
        <item x="28"/>
        <item x="15"/>
        <item x="80"/>
        <item x="65"/>
        <item x="0"/>
        <item x="90"/>
        <item t="default"/>
      </items>
    </pivotField>
    <pivotField axis="axisCol" showAll="0">
      <items count="6">
        <item x="0"/>
        <item x="3"/>
        <item x="1"/>
        <item x="2"/>
        <item x="4"/>
        <item t="default"/>
      </items>
    </pivotField>
    <pivotField showAll="0"/>
  </pivotFields>
  <rowItems count="1">
    <i/>
  </rowItems>
  <colFields count="2">
    <field x="3"/>
    <field x="-2"/>
  </colFields>
  <colItems count="12">
    <i>
      <x/>
      <x/>
    </i>
    <i r="1" i="1">
      <x v="1"/>
    </i>
    <i>
      <x v="1"/>
      <x/>
    </i>
    <i r="1" i="1">
      <x v="1"/>
    </i>
    <i>
      <x v="2"/>
      <x/>
    </i>
    <i r="1" i="1">
      <x v="1"/>
    </i>
    <i>
      <x v="3"/>
      <x/>
    </i>
    <i r="1" i="1">
      <x v="1"/>
    </i>
    <i>
      <x v="4"/>
      <x/>
    </i>
    <i r="1" i="1">
      <x v="1"/>
    </i>
    <i t="grand">
      <x/>
    </i>
    <i t="grand" i="1">
      <x/>
    </i>
  </colItems>
  <dataFields count="2">
    <dataField name="Average of Recommendation" fld="2" subtotal="average" baseField="0" baseItem="0"/>
    <dataField name="StdDev of Recommendation" fld="2"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03"/>
  <sheetViews>
    <sheetView topLeftCell="S1" workbookViewId="0">
      <selection activeCell="E403" sqref="E4:E403"/>
    </sheetView>
  </sheetViews>
  <sheetFormatPr baseColWidth="10" defaultRowHeight="16"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I1" t="s">
        <v>1940</v>
      </c>
    </row>
    <row r="2" spans="1:35" ht="170" x14ac:dyDescent="0.2">
      <c r="A2" t="s">
        <v>33</v>
      </c>
      <c r="B2" t="s">
        <v>34</v>
      </c>
      <c r="C2" t="s">
        <v>35</v>
      </c>
      <c r="D2" t="s">
        <v>36</v>
      </c>
      <c r="E2" t="s">
        <v>4</v>
      </c>
      <c r="F2" t="s">
        <v>5</v>
      </c>
      <c r="G2" t="s">
        <v>6</v>
      </c>
      <c r="H2" t="s">
        <v>37</v>
      </c>
      <c r="I2" t="s">
        <v>38</v>
      </c>
      <c r="J2" t="s">
        <v>39</v>
      </c>
      <c r="K2" t="s">
        <v>40</v>
      </c>
      <c r="L2" t="s">
        <v>41</v>
      </c>
      <c r="M2" t="s">
        <v>42</v>
      </c>
      <c r="N2" t="s">
        <v>43</v>
      </c>
      <c r="O2" t="s">
        <v>44</v>
      </c>
      <c r="P2" t="s">
        <v>45</v>
      </c>
      <c r="Q2" t="s">
        <v>46</v>
      </c>
      <c r="R2" s="1" t="s">
        <v>47</v>
      </c>
      <c r="S2" t="s">
        <v>48</v>
      </c>
      <c r="T2" t="s">
        <v>49</v>
      </c>
      <c r="U2" t="s">
        <v>50</v>
      </c>
      <c r="V2" t="s">
        <v>51</v>
      </c>
      <c r="W2" t="s">
        <v>52</v>
      </c>
      <c r="X2" t="s">
        <v>53</v>
      </c>
      <c r="Y2" t="s">
        <v>54</v>
      </c>
      <c r="Z2" t="s">
        <v>55</v>
      </c>
      <c r="AA2" t="s">
        <v>56</v>
      </c>
      <c r="AB2" t="s">
        <v>57</v>
      </c>
      <c r="AC2" t="s">
        <v>58</v>
      </c>
      <c r="AD2" t="s">
        <v>59</v>
      </c>
      <c r="AE2" t="s">
        <v>60</v>
      </c>
      <c r="AF2" t="s">
        <v>31</v>
      </c>
      <c r="AG2" t="s">
        <v>61</v>
      </c>
    </row>
    <row r="3" spans="1:35" x14ac:dyDescent="0.2">
      <c r="A3" t="s">
        <v>62</v>
      </c>
      <c r="B3" t="s">
        <v>63</v>
      </c>
      <c r="C3" t="s">
        <v>64</v>
      </c>
      <c r="D3" t="s">
        <v>65</v>
      </c>
      <c r="E3" t="s">
        <v>66</v>
      </c>
      <c r="F3" t="s">
        <v>67</v>
      </c>
      <c r="G3" t="s">
        <v>68</v>
      </c>
      <c r="H3" t="s">
        <v>69</v>
      </c>
      <c r="I3" t="s">
        <v>70</v>
      </c>
      <c r="J3" t="s">
        <v>71</v>
      </c>
      <c r="K3" t="s">
        <v>72</v>
      </c>
      <c r="L3" t="s">
        <v>73</v>
      </c>
      <c r="M3" t="s">
        <v>74</v>
      </c>
      <c r="N3" t="s">
        <v>75</v>
      </c>
      <c r="O3" t="s">
        <v>76</v>
      </c>
      <c r="P3" t="s">
        <v>77</v>
      </c>
      <c r="Q3" t="s">
        <v>78</v>
      </c>
      <c r="R3" t="s">
        <v>79</v>
      </c>
      <c r="S3" t="s">
        <v>80</v>
      </c>
      <c r="T3" t="s">
        <v>81</v>
      </c>
      <c r="U3" t="s">
        <v>82</v>
      </c>
      <c r="V3" t="s">
        <v>83</v>
      </c>
      <c r="W3" t="s">
        <v>84</v>
      </c>
      <c r="X3" t="s">
        <v>85</v>
      </c>
      <c r="Y3" t="s">
        <v>86</v>
      </c>
      <c r="Z3" t="s">
        <v>87</v>
      </c>
      <c r="AA3" t="s">
        <v>88</v>
      </c>
      <c r="AB3" t="s">
        <v>89</v>
      </c>
      <c r="AC3" t="s">
        <v>90</v>
      </c>
      <c r="AD3" t="s">
        <v>91</v>
      </c>
      <c r="AE3" t="s">
        <v>92</v>
      </c>
      <c r="AF3" t="s">
        <v>93</v>
      </c>
      <c r="AG3" t="s">
        <v>94</v>
      </c>
    </row>
    <row r="4" spans="1:35" x14ac:dyDescent="0.2">
      <c r="A4" s="2">
        <v>45009.46371527778</v>
      </c>
      <c r="B4" s="2">
        <v>45009.465937499997</v>
      </c>
      <c r="C4" t="s">
        <v>36</v>
      </c>
      <c r="D4" t="s">
        <v>98</v>
      </c>
      <c r="E4">
        <v>100</v>
      </c>
      <c r="F4">
        <v>191</v>
      </c>
      <c r="G4" t="b">
        <v>1</v>
      </c>
      <c r="H4" s="2">
        <v>45009.465937499997</v>
      </c>
      <c r="I4" t="s">
        <v>99</v>
      </c>
      <c r="N4">
        <v>40.792400000000001</v>
      </c>
      <c r="O4">
        <v>-74.009600000000006</v>
      </c>
      <c r="P4" t="s">
        <v>100</v>
      </c>
      <c r="Q4" t="s">
        <v>95</v>
      </c>
      <c r="R4" t="s">
        <v>101</v>
      </c>
      <c r="S4" t="s">
        <v>96</v>
      </c>
      <c r="V4">
        <v>100</v>
      </c>
      <c r="W4" t="s">
        <v>102</v>
      </c>
      <c r="X4">
        <v>500</v>
      </c>
      <c r="Y4">
        <v>10</v>
      </c>
      <c r="Z4">
        <v>0.1</v>
      </c>
      <c r="AA4">
        <v>20</v>
      </c>
      <c r="AB4">
        <v>100</v>
      </c>
      <c r="AC4" t="s">
        <v>103</v>
      </c>
      <c r="AD4">
        <v>0.05</v>
      </c>
      <c r="AE4" t="s">
        <v>104</v>
      </c>
      <c r="AF4" t="s">
        <v>101</v>
      </c>
      <c r="AG4" t="s">
        <v>105</v>
      </c>
    </row>
    <row r="5" spans="1:35" x14ac:dyDescent="0.2">
      <c r="A5" s="2">
        <v>45009.488136574073</v>
      </c>
      <c r="B5" s="2">
        <v>45009.491412037038</v>
      </c>
      <c r="C5" t="s">
        <v>36</v>
      </c>
      <c r="D5" t="s">
        <v>106</v>
      </c>
      <c r="E5">
        <v>100</v>
      </c>
      <c r="F5">
        <v>283</v>
      </c>
      <c r="G5" t="b">
        <v>1</v>
      </c>
      <c r="H5" s="2">
        <v>45009.491423611114</v>
      </c>
      <c r="I5" t="s">
        <v>107</v>
      </c>
      <c r="N5">
        <v>45.547199999999997</v>
      </c>
      <c r="O5">
        <v>-122.6417</v>
      </c>
      <c r="P5" t="s">
        <v>100</v>
      </c>
      <c r="Q5" t="s">
        <v>95</v>
      </c>
      <c r="R5" t="s">
        <v>108</v>
      </c>
      <c r="S5" t="s">
        <v>96</v>
      </c>
      <c r="V5">
        <v>15</v>
      </c>
      <c r="W5" t="s">
        <v>109</v>
      </c>
      <c r="X5" s="3">
        <v>0.5</v>
      </c>
      <c r="Y5" t="s">
        <v>110</v>
      </c>
      <c r="Z5" s="4">
        <v>1E-3</v>
      </c>
      <c r="AA5" s="3">
        <v>0.2</v>
      </c>
      <c r="AB5" s="3">
        <v>0.01</v>
      </c>
      <c r="AC5" s="3">
        <v>0.5</v>
      </c>
      <c r="AD5" s="5">
        <v>0.05</v>
      </c>
      <c r="AE5" t="s">
        <v>104</v>
      </c>
      <c r="AF5" t="s">
        <v>108</v>
      </c>
      <c r="AG5" t="s">
        <v>111</v>
      </c>
    </row>
    <row r="6" spans="1:35" ht="409.5" x14ac:dyDescent="0.2">
      <c r="A6" s="2">
        <v>45009.481354166666</v>
      </c>
      <c r="B6" s="2">
        <v>45009.491585648146</v>
      </c>
      <c r="C6" t="s">
        <v>36</v>
      </c>
      <c r="D6" t="s">
        <v>112</v>
      </c>
      <c r="E6">
        <v>100</v>
      </c>
      <c r="F6">
        <v>883</v>
      </c>
      <c r="G6" t="b">
        <v>1</v>
      </c>
      <c r="H6" s="2">
        <v>45009.491585648146</v>
      </c>
      <c r="I6" t="s">
        <v>113</v>
      </c>
      <c r="N6">
        <v>39.187600000000003</v>
      </c>
      <c r="O6">
        <v>-78.185699999999997</v>
      </c>
      <c r="P6" t="s">
        <v>100</v>
      </c>
      <c r="Q6" t="s">
        <v>95</v>
      </c>
      <c r="R6" t="s">
        <v>114</v>
      </c>
      <c r="S6" t="s">
        <v>96</v>
      </c>
      <c r="V6">
        <v>5</v>
      </c>
      <c r="W6" s="1" t="s">
        <v>115</v>
      </c>
      <c r="X6">
        <v>500</v>
      </c>
      <c r="Y6">
        <v>10</v>
      </c>
      <c r="Z6" s="4">
        <v>1E-3</v>
      </c>
      <c r="AA6" s="3">
        <v>0.2</v>
      </c>
      <c r="AB6">
        <v>100</v>
      </c>
      <c r="AC6">
        <v>20</v>
      </c>
      <c r="AD6">
        <v>0.05</v>
      </c>
      <c r="AE6" t="s">
        <v>104</v>
      </c>
      <c r="AF6" t="s">
        <v>114</v>
      </c>
      <c r="AG6" t="s">
        <v>111</v>
      </c>
    </row>
    <row r="7" spans="1:35" x14ac:dyDescent="0.2">
      <c r="A7" s="2">
        <v>45009.484537037039</v>
      </c>
      <c r="B7" s="2">
        <v>45009.491898148146</v>
      </c>
      <c r="C7" t="s">
        <v>36</v>
      </c>
      <c r="D7" t="s">
        <v>116</v>
      </c>
      <c r="E7">
        <v>100</v>
      </c>
      <c r="F7">
        <v>636</v>
      </c>
      <c r="G7" t="b">
        <v>1</v>
      </c>
      <c r="H7" s="2">
        <v>45009.491898148146</v>
      </c>
      <c r="I7" t="s">
        <v>117</v>
      </c>
      <c r="N7">
        <v>29.814299999999999</v>
      </c>
      <c r="O7">
        <v>-95.804900000000004</v>
      </c>
      <c r="P7" t="s">
        <v>100</v>
      </c>
      <c r="Q7" t="s">
        <v>95</v>
      </c>
      <c r="R7" t="s">
        <v>118</v>
      </c>
      <c r="S7" t="s">
        <v>96</v>
      </c>
      <c r="T7">
        <v>7</v>
      </c>
      <c r="U7" s="3">
        <v>0.4</v>
      </c>
      <c r="V7">
        <v>0</v>
      </c>
      <c r="W7" t="s">
        <v>119</v>
      </c>
      <c r="X7" t="s">
        <v>120</v>
      </c>
      <c r="Y7" s="3">
        <v>0.1</v>
      </c>
      <c r="Z7" t="s">
        <v>121</v>
      </c>
      <c r="AA7" t="s">
        <v>122</v>
      </c>
      <c r="AB7">
        <v>100</v>
      </c>
      <c r="AC7" s="3">
        <v>0.9</v>
      </c>
      <c r="AD7" t="s">
        <v>123</v>
      </c>
      <c r="AE7" t="s">
        <v>124</v>
      </c>
      <c r="AF7" t="s">
        <v>118</v>
      </c>
      <c r="AG7" t="s">
        <v>125</v>
      </c>
    </row>
    <row r="8" spans="1:35" x14ac:dyDescent="0.2">
      <c r="A8" s="2">
        <v>45009.486932870372</v>
      </c>
      <c r="B8" s="2">
        <v>45009.495312500003</v>
      </c>
      <c r="C8" t="s">
        <v>36</v>
      </c>
      <c r="D8" t="s">
        <v>126</v>
      </c>
      <c r="E8">
        <v>100</v>
      </c>
      <c r="F8">
        <v>723</v>
      </c>
      <c r="G8" t="b">
        <v>1</v>
      </c>
      <c r="H8" s="2">
        <v>45009.495324074072</v>
      </c>
      <c r="I8" t="s">
        <v>127</v>
      </c>
      <c r="N8">
        <v>28.543600000000001</v>
      </c>
      <c r="O8">
        <v>-81.373800000000003</v>
      </c>
      <c r="P8" t="s">
        <v>100</v>
      </c>
      <c r="Q8" t="s">
        <v>95</v>
      </c>
      <c r="R8" t="s">
        <v>128</v>
      </c>
      <c r="S8" t="s">
        <v>96</v>
      </c>
      <c r="V8">
        <v>73</v>
      </c>
      <c r="W8" t="s">
        <v>129</v>
      </c>
      <c r="X8">
        <v>50</v>
      </c>
      <c r="Y8">
        <v>10</v>
      </c>
      <c r="Z8">
        <v>1020</v>
      </c>
      <c r="AA8">
        <v>20</v>
      </c>
      <c r="AB8">
        <v>100</v>
      </c>
      <c r="AC8">
        <v>1</v>
      </c>
      <c r="AD8">
        <v>0.1</v>
      </c>
      <c r="AE8">
        <v>5</v>
      </c>
      <c r="AF8" t="s">
        <v>128</v>
      </c>
      <c r="AG8" t="s">
        <v>97</v>
      </c>
    </row>
    <row r="9" spans="1:35" ht="323" x14ac:dyDescent="0.2">
      <c r="A9" s="2">
        <v>45009.490960648145</v>
      </c>
      <c r="B9" s="2">
        <v>45009.497384259259</v>
      </c>
      <c r="C9" t="s">
        <v>36</v>
      </c>
      <c r="D9" t="s">
        <v>130</v>
      </c>
      <c r="E9">
        <v>100</v>
      </c>
      <c r="F9">
        <v>554</v>
      </c>
      <c r="G9" t="b">
        <v>1</v>
      </c>
      <c r="H9" s="2">
        <v>45009.497384259259</v>
      </c>
      <c r="I9" t="s">
        <v>131</v>
      </c>
      <c r="N9">
        <v>44.0197</v>
      </c>
      <c r="O9">
        <v>-123.10080000000001</v>
      </c>
      <c r="P9" t="s">
        <v>100</v>
      </c>
      <c r="Q9" t="s">
        <v>95</v>
      </c>
      <c r="R9" t="s">
        <v>132</v>
      </c>
      <c r="S9" t="s">
        <v>96</v>
      </c>
      <c r="T9">
        <v>60</v>
      </c>
      <c r="V9">
        <v>61</v>
      </c>
      <c r="W9" s="1" t="s">
        <v>133</v>
      </c>
      <c r="X9" s="1" t="s">
        <v>134</v>
      </c>
      <c r="Y9" t="s">
        <v>135</v>
      </c>
      <c r="Z9" s="4">
        <v>1E-4</v>
      </c>
      <c r="AA9">
        <v>20</v>
      </c>
      <c r="AB9">
        <v>100</v>
      </c>
      <c r="AC9" s="3">
        <v>0.1</v>
      </c>
      <c r="AD9" s="5">
        <v>0.05</v>
      </c>
      <c r="AE9" t="s">
        <v>136</v>
      </c>
      <c r="AF9" t="s">
        <v>132</v>
      </c>
      <c r="AG9" t="s">
        <v>125</v>
      </c>
    </row>
    <row r="10" spans="1:35" x14ac:dyDescent="0.2">
      <c r="A10" s="2">
        <v>45009.485821759263</v>
      </c>
      <c r="B10" s="2">
        <v>45009.49763888889</v>
      </c>
      <c r="C10" t="s">
        <v>36</v>
      </c>
      <c r="D10" t="s">
        <v>137</v>
      </c>
      <c r="E10">
        <v>100</v>
      </c>
      <c r="F10">
        <v>1021</v>
      </c>
      <c r="G10" t="b">
        <v>1</v>
      </c>
      <c r="H10" s="2">
        <v>45009.497650462959</v>
      </c>
      <c r="I10" t="s">
        <v>138</v>
      </c>
      <c r="N10">
        <v>38.661999999999999</v>
      </c>
      <c r="O10">
        <v>-90.288899999999998</v>
      </c>
      <c r="P10" t="s">
        <v>100</v>
      </c>
      <c r="Q10" t="s">
        <v>95</v>
      </c>
      <c r="R10" t="s">
        <v>139</v>
      </c>
      <c r="S10" t="s">
        <v>96</v>
      </c>
      <c r="V10">
        <v>95</v>
      </c>
      <c r="W10" t="s">
        <v>140</v>
      </c>
      <c r="X10">
        <v>500</v>
      </c>
      <c r="Y10">
        <v>10</v>
      </c>
      <c r="Z10" s="4">
        <v>1E-3</v>
      </c>
      <c r="AA10" s="3">
        <v>0.2</v>
      </c>
      <c r="AB10">
        <v>100</v>
      </c>
      <c r="AC10" s="4">
        <v>1.7999999999999999E-2</v>
      </c>
      <c r="AD10">
        <v>0.1</v>
      </c>
      <c r="AE10">
        <v>5</v>
      </c>
      <c r="AF10" t="s">
        <v>139</v>
      </c>
      <c r="AG10" t="s">
        <v>105</v>
      </c>
    </row>
    <row r="11" spans="1:35" x14ac:dyDescent="0.2">
      <c r="A11" s="2">
        <v>45009.496608796297</v>
      </c>
      <c r="B11" s="2">
        <v>45009.499027777776</v>
      </c>
      <c r="C11" t="s">
        <v>36</v>
      </c>
      <c r="D11" t="s">
        <v>141</v>
      </c>
      <c r="E11">
        <v>100</v>
      </c>
      <c r="F11">
        <v>209</v>
      </c>
      <c r="G11" t="b">
        <v>1</v>
      </c>
      <c r="H11" s="2">
        <v>45009.499039351853</v>
      </c>
      <c r="I11" t="s">
        <v>142</v>
      </c>
      <c r="N11">
        <v>42.558199999999999</v>
      </c>
      <c r="O11">
        <v>-114.4659</v>
      </c>
      <c r="P11" t="s">
        <v>100</v>
      </c>
      <c r="Q11" t="s">
        <v>95</v>
      </c>
      <c r="R11" t="s">
        <v>143</v>
      </c>
      <c r="S11" t="s">
        <v>96</v>
      </c>
      <c r="V11">
        <v>85</v>
      </c>
      <c r="W11" t="s">
        <v>144</v>
      </c>
      <c r="X11">
        <v>550</v>
      </c>
      <c r="Y11">
        <v>1</v>
      </c>
      <c r="Z11">
        <v>1</v>
      </c>
      <c r="AA11">
        <v>20</v>
      </c>
      <c r="AB11">
        <v>1</v>
      </c>
      <c r="AC11">
        <v>90</v>
      </c>
      <c r="AD11">
        <v>0.1</v>
      </c>
      <c r="AE11">
        <v>1</v>
      </c>
      <c r="AF11" t="s">
        <v>143</v>
      </c>
      <c r="AG11" t="s">
        <v>105</v>
      </c>
    </row>
    <row r="12" spans="1:35" x14ac:dyDescent="0.2">
      <c r="A12" s="2">
        <v>45009.494479166664</v>
      </c>
      <c r="B12" s="2">
        <v>45009.499293981484</v>
      </c>
      <c r="C12" t="s">
        <v>36</v>
      </c>
      <c r="D12" t="s">
        <v>145</v>
      </c>
      <c r="E12">
        <v>100</v>
      </c>
      <c r="F12">
        <v>415</v>
      </c>
      <c r="G12" t="b">
        <v>1</v>
      </c>
      <c r="H12" s="2">
        <v>45009.499293981484</v>
      </c>
      <c r="I12" t="s">
        <v>146</v>
      </c>
      <c r="N12">
        <v>34.700200000000002</v>
      </c>
      <c r="O12">
        <v>-77.134</v>
      </c>
      <c r="P12" t="s">
        <v>100</v>
      </c>
      <c r="Q12" t="s">
        <v>95</v>
      </c>
      <c r="R12" t="s">
        <v>147</v>
      </c>
      <c r="S12" t="s">
        <v>96</v>
      </c>
      <c r="V12">
        <v>92</v>
      </c>
      <c r="W12" t="s">
        <v>148</v>
      </c>
      <c r="X12">
        <v>500</v>
      </c>
      <c r="Y12">
        <v>500</v>
      </c>
      <c r="Z12" s="3">
        <v>0.01</v>
      </c>
      <c r="AA12" s="3">
        <v>0.2</v>
      </c>
      <c r="AB12">
        <v>100</v>
      </c>
      <c r="AC12" s="3">
        <v>0.1</v>
      </c>
      <c r="AD12">
        <v>0.1</v>
      </c>
      <c r="AE12" t="s">
        <v>149</v>
      </c>
      <c r="AF12" t="s">
        <v>147</v>
      </c>
      <c r="AG12" t="s">
        <v>105</v>
      </c>
    </row>
    <row r="13" spans="1:35" x14ac:dyDescent="0.2">
      <c r="A13" s="2">
        <v>45009.496064814812</v>
      </c>
      <c r="B13" s="2">
        <v>45009.499328703707</v>
      </c>
      <c r="C13" t="s">
        <v>36</v>
      </c>
      <c r="D13" t="s">
        <v>150</v>
      </c>
      <c r="E13">
        <v>100</v>
      </c>
      <c r="F13">
        <v>281</v>
      </c>
      <c r="G13" t="b">
        <v>1</v>
      </c>
      <c r="H13" s="2">
        <v>45009.499340277776</v>
      </c>
      <c r="I13" t="s">
        <v>151</v>
      </c>
      <c r="N13">
        <v>32.459899999999998</v>
      </c>
      <c r="O13">
        <v>-83.724400000000003</v>
      </c>
      <c r="P13" t="s">
        <v>100</v>
      </c>
      <c r="Q13" t="s">
        <v>95</v>
      </c>
      <c r="R13" t="s">
        <v>152</v>
      </c>
      <c r="S13" t="s">
        <v>96</v>
      </c>
      <c r="V13">
        <v>5</v>
      </c>
      <c r="W13" t="s">
        <v>153</v>
      </c>
      <c r="X13">
        <v>500</v>
      </c>
      <c r="Y13">
        <v>10</v>
      </c>
      <c r="Z13" s="4">
        <v>1E-3</v>
      </c>
      <c r="AA13">
        <v>20</v>
      </c>
      <c r="AB13">
        <v>100</v>
      </c>
      <c r="AC13" t="s">
        <v>154</v>
      </c>
      <c r="AD13" s="5">
        <v>0.05</v>
      </c>
      <c r="AE13">
        <v>100</v>
      </c>
      <c r="AF13" t="s">
        <v>152</v>
      </c>
      <c r="AG13" t="s">
        <v>111</v>
      </c>
    </row>
    <row r="14" spans="1:35" x14ac:dyDescent="0.2">
      <c r="A14" s="2">
        <v>45009.495972222219</v>
      </c>
      <c r="B14" s="2">
        <v>45009.499756944446</v>
      </c>
      <c r="C14" t="s">
        <v>36</v>
      </c>
      <c r="D14" t="s">
        <v>155</v>
      </c>
      <c r="E14">
        <v>100</v>
      </c>
      <c r="F14">
        <v>327</v>
      </c>
      <c r="G14" t="b">
        <v>1</v>
      </c>
      <c r="H14" s="2">
        <v>45009.499768518515</v>
      </c>
      <c r="I14" t="s">
        <v>156</v>
      </c>
      <c r="N14">
        <v>42.082500000000003</v>
      </c>
      <c r="O14">
        <v>-72.562100000000001</v>
      </c>
      <c r="P14" t="s">
        <v>100</v>
      </c>
      <c r="Q14" t="s">
        <v>95</v>
      </c>
      <c r="R14" t="s">
        <v>157</v>
      </c>
      <c r="S14" t="s">
        <v>96</v>
      </c>
      <c r="V14">
        <v>92</v>
      </c>
      <c r="W14" t="s">
        <v>158</v>
      </c>
      <c r="X14">
        <v>500</v>
      </c>
      <c r="Y14">
        <v>10</v>
      </c>
      <c r="Z14" s="3">
        <v>0.01</v>
      </c>
      <c r="AA14">
        <v>20</v>
      </c>
      <c r="AB14">
        <v>100</v>
      </c>
      <c r="AC14" s="3">
        <v>0.9</v>
      </c>
      <c r="AD14" t="s">
        <v>159</v>
      </c>
      <c r="AE14" t="s">
        <v>160</v>
      </c>
      <c r="AF14" t="s">
        <v>157</v>
      </c>
      <c r="AG14" t="s">
        <v>97</v>
      </c>
    </row>
    <row r="15" spans="1:35" x14ac:dyDescent="0.2">
      <c r="A15" s="2">
        <v>45009.496921296297</v>
      </c>
      <c r="B15" s="2">
        <v>45009.501099537039</v>
      </c>
      <c r="C15" t="s">
        <v>36</v>
      </c>
      <c r="D15" t="s">
        <v>161</v>
      </c>
      <c r="E15">
        <v>100</v>
      </c>
      <c r="F15">
        <v>361</v>
      </c>
      <c r="G15" t="b">
        <v>1</v>
      </c>
      <c r="H15" s="2">
        <v>45009.501111111109</v>
      </c>
      <c r="I15" t="s">
        <v>162</v>
      </c>
      <c r="N15">
        <v>40.750300000000003</v>
      </c>
      <c r="O15">
        <v>-74.001400000000004</v>
      </c>
      <c r="P15" t="s">
        <v>100</v>
      </c>
      <c r="Q15" t="s">
        <v>95</v>
      </c>
      <c r="R15" t="s">
        <v>163</v>
      </c>
      <c r="S15" t="s">
        <v>96</v>
      </c>
      <c r="T15">
        <v>5</v>
      </c>
      <c r="U15" s="3">
        <v>0.4</v>
      </c>
      <c r="V15">
        <v>10</v>
      </c>
      <c r="W15" t="s">
        <v>164</v>
      </c>
      <c r="X15">
        <v>500</v>
      </c>
      <c r="Y15">
        <v>1</v>
      </c>
      <c r="Z15">
        <v>1E-3</v>
      </c>
      <c r="AA15">
        <v>5</v>
      </c>
      <c r="AB15">
        <v>100</v>
      </c>
      <c r="AC15" t="s">
        <v>165</v>
      </c>
      <c r="AD15">
        <v>0.1</v>
      </c>
      <c r="AE15" t="s">
        <v>104</v>
      </c>
      <c r="AF15" t="s">
        <v>163</v>
      </c>
      <c r="AG15" t="s">
        <v>125</v>
      </c>
    </row>
    <row r="16" spans="1:35" x14ac:dyDescent="0.2">
      <c r="A16" s="2">
        <v>45009.479039351849</v>
      </c>
      <c r="B16" s="2">
        <v>45009.501759259256</v>
      </c>
      <c r="C16" t="s">
        <v>36</v>
      </c>
      <c r="D16" t="s">
        <v>166</v>
      </c>
      <c r="E16">
        <v>100</v>
      </c>
      <c r="F16">
        <v>1962</v>
      </c>
      <c r="G16" t="b">
        <v>1</v>
      </c>
      <c r="H16" s="2">
        <v>45009.501759259256</v>
      </c>
      <c r="I16" t="s">
        <v>167</v>
      </c>
      <c r="N16">
        <v>29.764600000000002</v>
      </c>
      <c r="O16">
        <v>-95.365700000000004</v>
      </c>
      <c r="P16" t="s">
        <v>100</v>
      </c>
      <c r="Q16" t="s">
        <v>95</v>
      </c>
      <c r="R16" t="s">
        <v>168</v>
      </c>
      <c r="S16" t="s">
        <v>96</v>
      </c>
      <c r="T16">
        <v>22</v>
      </c>
      <c r="U16" t="s">
        <v>169</v>
      </c>
      <c r="V16">
        <v>16</v>
      </c>
      <c r="W16" t="s">
        <v>170</v>
      </c>
      <c r="X16">
        <v>500</v>
      </c>
      <c r="Y16">
        <v>10</v>
      </c>
      <c r="Z16" s="4">
        <v>1E-3</v>
      </c>
      <c r="AA16">
        <v>20</v>
      </c>
      <c r="AB16">
        <v>100</v>
      </c>
      <c r="AC16" s="3">
        <v>0.1</v>
      </c>
      <c r="AD16" s="5">
        <v>0.05</v>
      </c>
      <c r="AE16">
        <v>5</v>
      </c>
      <c r="AF16" t="s">
        <v>168</v>
      </c>
      <c r="AG16" t="s">
        <v>125</v>
      </c>
    </row>
    <row r="17" spans="1:33" x14ac:dyDescent="0.2">
      <c r="A17" s="2">
        <v>45009.49732638889</v>
      </c>
      <c r="B17" s="2">
        <v>45009.503506944442</v>
      </c>
      <c r="C17" t="s">
        <v>36</v>
      </c>
      <c r="D17" t="s">
        <v>171</v>
      </c>
      <c r="E17">
        <v>100</v>
      </c>
      <c r="F17">
        <v>534</v>
      </c>
      <c r="G17" t="b">
        <v>1</v>
      </c>
      <c r="H17" s="2">
        <v>45009.503506944442</v>
      </c>
      <c r="I17" t="s">
        <v>172</v>
      </c>
      <c r="N17">
        <v>41.384700000000002</v>
      </c>
      <c r="O17">
        <v>-81.798199999999994</v>
      </c>
      <c r="P17" t="s">
        <v>100</v>
      </c>
      <c r="Q17" t="s">
        <v>95</v>
      </c>
      <c r="R17" t="s">
        <v>173</v>
      </c>
      <c r="S17" t="s">
        <v>96</v>
      </c>
      <c r="V17">
        <v>100</v>
      </c>
      <c r="W17" t="s">
        <v>174</v>
      </c>
      <c r="X17">
        <v>452</v>
      </c>
      <c r="Y17">
        <v>10</v>
      </c>
      <c r="Z17" s="4">
        <v>1.0000000000000001E-5</v>
      </c>
      <c r="AA17" s="4">
        <v>2E-3</v>
      </c>
      <c r="AB17">
        <v>100</v>
      </c>
      <c r="AC17" t="s">
        <v>175</v>
      </c>
      <c r="AD17">
        <v>0.1</v>
      </c>
      <c r="AE17">
        <v>20</v>
      </c>
      <c r="AF17" t="s">
        <v>173</v>
      </c>
      <c r="AG17" t="s">
        <v>97</v>
      </c>
    </row>
    <row r="18" spans="1:33" x14ac:dyDescent="0.2">
      <c r="A18" s="2">
        <v>45009.500856481478</v>
      </c>
      <c r="B18" s="2">
        <v>45009.503680555557</v>
      </c>
      <c r="C18" t="s">
        <v>36</v>
      </c>
      <c r="D18" t="s">
        <v>176</v>
      </c>
      <c r="E18">
        <v>100</v>
      </c>
      <c r="F18">
        <v>243</v>
      </c>
      <c r="G18" t="b">
        <v>1</v>
      </c>
      <c r="H18" s="2">
        <v>45009.503680555557</v>
      </c>
      <c r="I18" t="s">
        <v>177</v>
      </c>
      <c r="N18">
        <v>41.198799999999999</v>
      </c>
      <c r="O18">
        <v>-75.905299999999997</v>
      </c>
      <c r="P18" t="s">
        <v>100</v>
      </c>
      <c r="Q18" t="s">
        <v>95</v>
      </c>
      <c r="R18" t="s">
        <v>178</v>
      </c>
      <c r="S18" t="s">
        <v>96</v>
      </c>
      <c r="V18">
        <v>94</v>
      </c>
      <c r="W18" t="s">
        <v>179</v>
      </c>
      <c r="X18">
        <v>450</v>
      </c>
      <c r="Y18">
        <v>100000</v>
      </c>
      <c r="Z18" s="3">
        <v>0.01</v>
      </c>
      <c r="AA18">
        <v>20</v>
      </c>
      <c r="AB18">
        <v>10</v>
      </c>
      <c r="AC18">
        <v>10</v>
      </c>
      <c r="AD18">
        <v>0.1</v>
      </c>
      <c r="AE18">
        <v>500</v>
      </c>
      <c r="AF18" t="s">
        <v>178</v>
      </c>
      <c r="AG18" t="s">
        <v>97</v>
      </c>
    </row>
    <row r="19" spans="1:33" x14ac:dyDescent="0.2">
      <c r="A19" s="2">
        <v>45009.48746527778</v>
      </c>
      <c r="B19" s="2">
        <v>45009.503993055558</v>
      </c>
      <c r="C19" t="s">
        <v>36</v>
      </c>
      <c r="D19" t="s">
        <v>180</v>
      </c>
      <c r="E19">
        <v>100</v>
      </c>
      <c r="F19">
        <v>1427</v>
      </c>
      <c r="G19" t="b">
        <v>1</v>
      </c>
      <c r="H19" s="2">
        <v>45009.503993055558</v>
      </c>
      <c r="I19" t="s">
        <v>181</v>
      </c>
      <c r="N19">
        <v>42.347200000000001</v>
      </c>
      <c r="O19">
        <v>-83.032300000000006</v>
      </c>
      <c r="P19" t="s">
        <v>100</v>
      </c>
      <c r="Q19" t="s">
        <v>95</v>
      </c>
      <c r="R19" t="s">
        <v>182</v>
      </c>
      <c r="S19" t="s">
        <v>96</v>
      </c>
      <c r="V19">
        <v>40</v>
      </c>
      <c r="W19" t="s">
        <v>183</v>
      </c>
      <c r="X19">
        <v>500</v>
      </c>
      <c r="Y19">
        <v>10</v>
      </c>
      <c r="Z19">
        <v>1</v>
      </c>
      <c r="AA19">
        <v>10</v>
      </c>
      <c r="AB19">
        <v>100</v>
      </c>
      <c r="AC19">
        <v>80</v>
      </c>
      <c r="AD19">
        <v>0.5</v>
      </c>
      <c r="AE19">
        <v>500</v>
      </c>
      <c r="AF19" t="s">
        <v>182</v>
      </c>
      <c r="AG19" t="s">
        <v>111</v>
      </c>
    </row>
    <row r="20" spans="1:33" x14ac:dyDescent="0.2">
      <c r="A20" s="2">
        <v>45009.500277777777</v>
      </c>
      <c r="B20" s="2">
        <v>45009.504745370374</v>
      </c>
      <c r="C20" t="s">
        <v>36</v>
      </c>
      <c r="D20" t="s">
        <v>184</v>
      </c>
      <c r="E20">
        <v>100</v>
      </c>
      <c r="F20">
        <v>385</v>
      </c>
      <c r="G20" t="b">
        <v>1</v>
      </c>
      <c r="H20" s="2">
        <v>45009.504756944443</v>
      </c>
      <c r="I20" t="s">
        <v>185</v>
      </c>
      <c r="N20">
        <v>36.524000000000001</v>
      </c>
      <c r="O20">
        <v>-82.516300000000001</v>
      </c>
      <c r="P20" t="s">
        <v>100</v>
      </c>
      <c r="Q20" t="s">
        <v>95</v>
      </c>
      <c r="R20" t="s">
        <v>186</v>
      </c>
      <c r="S20" t="s">
        <v>96</v>
      </c>
      <c r="V20">
        <v>90</v>
      </c>
      <c r="W20" t="s">
        <v>187</v>
      </c>
      <c r="X20">
        <v>500</v>
      </c>
      <c r="Y20">
        <v>10</v>
      </c>
      <c r="Z20" s="4">
        <v>1E-4</v>
      </c>
      <c r="AA20">
        <v>20</v>
      </c>
      <c r="AB20">
        <v>100</v>
      </c>
      <c r="AC20" s="3">
        <v>0.1</v>
      </c>
      <c r="AD20">
        <v>0.05</v>
      </c>
      <c r="AE20" t="s">
        <v>188</v>
      </c>
      <c r="AF20" t="s">
        <v>186</v>
      </c>
      <c r="AG20" t="s">
        <v>105</v>
      </c>
    </row>
    <row r="21" spans="1:33" x14ac:dyDescent="0.2">
      <c r="A21" s="2">
        <v>45009.501655092594</v>
      </c>
      <c r="B21" s="2">
        <v>45009.505381944444</v>
      </c>
      <c r="C21" t="s">
        <v>36</v>
      </c>
      <c r="D21" t="s">
        <v>189</v>
      </c>
      <c r="E21">
        <v>100</v>
      </c>
      <c r="F21">
        <v>321</v>
      </c>
      <c r="G21" t="b">
        <v>1</v>
      </c>
      <c r="H21" s="2">
        <v>45009.505393518521</v>
      </c>
      <c r="I21" t="s">
        <v>190</v>
      </c>
      <c r="N21">
        <v>39.946399999999997</v>
      </c>
      <c r="O21">
        <v>-75.051699999999997</v>
      </c>
      <c r="P21" t="s">
        <v>100</v>
      </c>
      <c r="Q21" t="s">
        <v>95</v>
      </c>
      <c r="R21" t="s">
        <v>191</v>
      </c>
      <c r="S21" t="s">
        <v>96</v>
      </c>
      <c r="V21">
        <v>50</v>
      </c>
      <c r="W21" t="s">
        <v>192</v>
      </c>
      <c r="X21">
        <v>500</v>
      </c>
      <c r="Y21">
        <v>10</v>
      </c>
      <c r="Z21">
        <v>0.1</v>
      </c>
      <c r="AA21">
        <v>20</v>
      </c>
      <c r="AB21">
        <v>100</v>
      </c>
      <c r="AC21">
        <v>9</v>
      </c>
      <c r="AD21">
        <v>0.1</v>
      </c>
      <c r="AE21" t="s">
        <v>104</v>
      </c>
      <c r="AF21" t="s">
        <v>191</v>
      </c>
      <c r="AG21" t="s">
        <v>105</v>
      </c>
    </row>
    <row r="22" spans="1:33" x14ac:dyDescent="0.2">
      <c r="A22" s="2">
        <v>45009.504004629627</v>
      </c>
      <c r="B22" s="2">
        <v>45009.506516203706</v>
      </c>
      <c r="C22" t="s">
        <v>36</v>
      </c>
      <c r="D22" t="s">
        <v>193</v>
      </c>
      <c r="E22">
        <v>100</v>
      </c>
      <c r="F22">
        <v>217</v>
      </c>
      <c r="G22" t="b">
        <v>1</v>
      </c>
      <c r="H22" s="2">
        <v>45009.506516203706</v>
      </c>
      <c r="I22" t="s">
        <v>194</v>
      </c>
      <c r="N22">
        <v>35.930599999999998</v>
      </c>
      <c r="O22">
        <v>-86.878799999999998</v>
      </c>
      <c r="P22" t="s">
        <v>100</v>
      </c>
      <c r="Q22" t="s">
        <v>95</v>
      </c>
      <c r="R22" t="s">
        <v>195</v>
      </c>
      <c r="S22" t="s">
        <v>96</v>
      </c>
      <c r="V22">
        <v>97</v>
      </c>
      <c r="W22" t="s">
        <v>196</v>
      </c>
      <c r="X22">
        <v>525</v>
      </c>
      <c r="Y22">
        <v>10</v>
      </c>
      <c r="Z22" s="3">
        <v>0.1</v>
      </c>
      <c r="AA22" s="3">
        <v>0.2</v>
      </c>
      <c r="AB22">
        <v>100</v>
      </c>
      <c r="AC22" s="3">
        <v>0.1</v>
      </c>
      <c r="AD22">
        <v>0.1</v>
      </c>
      <c r="AE22">
        <v>100</v>
      </c>
      <c r="AF22" t="s">
        <v>195</v>
      </c>
      <c r="AG22" t="s">
        <v>97</v>
      </c>
    </row>
    <row r="23" spans="1:33" x14ac:dyDescent="0.2">
      <c r="A23" s="2">
        <v>45009.498796296299</v>
      </c>
      <c r="B23" s="2">
        <v>45009.507048611114</v>
      </c>
      <c r="C23" t="s">
        <v>36</v>
      </c>
      <c r="D23" t="s">
        <v>197</v>
      </c>
      <c r="E23">
        <v>100</v>
      </c>
      <c r="F23">
        <v>713</v>
      </c>
      <c r="G23" t="b">
        <v>1</v>
      </c>
      <c r="H23" s="2">
        <v>45009.507060185184</v>
      </c>
      <c r="I23" t="s">
        <v>198</v>
      </c>
      <c r="N23">
        <v>30.4421</v>
      </c>
      <c r="O23">
        <v>-97.633899999999997</v>
      </c>
      <c r="P23" t="s">
        <v>100</v>
      </c>
      <c r="Q23" t="s">
        <v>95</v>
      </c>
      <c r="R23" s="6" t="s">
        <v>199</v>
      </c>
      <c r="S23" t="s">
        <v>96</v>
      </c>
      <c r="T23">
        <v>10</v>
      </c>
      <c r="U23" s="3">
        <v>0.2</v>
      </c>
      <c r="V23">
        <v>10</v>
      </c>
      <c r="W23" t="s">
        <v>200</v>
      </c>
      <c r="X23">
        <v>500</v>
      </c>
      <c r="Y23">
        <v>10</v>
      </c>
      <c r="Z23">
        <v>0.1</v>
      </c>
      <c r="AA23">
        <v>20</v>
      </c>
      <c r="AB23">
        <v>100</v>
      </c>
      <c r="AC23" s="3">
        <v>0.5</v>
      </c>
      <c r="AD23" s="5">
        <v>0.05</v>
      </c>
      <c r="AE23" t="s">
        <v>104</v>
      </c>
      <c r="AF23" s="6" t="s">
        <v>199</v>
      </c>
      <c r="AG23" t="s">
        <v>125</v>
      </c>
    </row>
    <row r="24" spans="1:33" x14ac:dyDescent="0.2">
      <c r="A24" s="2">
        <v>45009.503078703703</v>
      </c>
      <c r="B24" s="2">
        <v>45009.507337962961</v>
      </c>
      <c r="C24" t="s">
        <v>36</v>
      </c>
      <c r="D24" t="s">
        <v>201</v>
      </c>
      <c r="E24">
        <v>100</v>
      </c>
      <c r="F24">
        <v>368</v>
      </c>
      <c r="G24" t="b">
        <v>1</v>
      </c>
      <c r="H24" s="2">
        <v>45009.507349537038</v>
      </c>
      <c r="I24" t="s">
        <v>202</v>
      </c>
      <c r="N24">
        <v>41.395699999999998</v>
      </c>
      <c r="O24">
        <v>-81.815700000000007</v>
      </c>
      <c r="P24" t="s">
        <v>100</v>
      </c>
      <c r="Q24" t="s">
        <v>95</v>
      </c>
      <c r="R24" s="6" t="s">
        <v>203</v>
      </c>
      <c r="S24" t="s">
        <v>96</v>
      </c>
      <c r="T24">
        <v>60</v>
      </c>
      <c r="V24">
        <v>75</v>
      </c>
      <c r="W24" t="s">
        <v>204</v>
      </c>
      <c r="X24">
        <v>500</v>
      </c>
      <c r="Y24">
        <v>10</v>
      </c>
      <c r="Z24">
        <v>0.1</v>
      </c>
      <c r="AA24">
        <v>20</v>
      </c>
      <c r="AB24">
        <v>100</v>
      </c>
      <c r="AC24">
        <v>18</v>
      </c>
      <c r="AD24">
        <v>10</v>
      </c>
      <c r="AE24">
        <v>5</v>
      </c>
      <c r="AF24" s="6" t="s">
        <v>203</v>
      </c>
      <c r="AG24" t="s">
        <v>125</v>
      </c>
    </row>
    <row r="25" spans="1:33" x14ac:dyDescent="0.2">
      <c r="A25" s="2">
        <v>45009.50340277778</v>
      </c>
      <c r="B25" s="2">
        <v>45009.507418981484</v>
      </c>
      <c r="C25" t="s">
        <v>36</v>
      </c>
      <c r="D25" t="s">
        <v>205</v>
      </c>
      <c r="E25">
        <v>100</v>
      </c>
      <c r="F25">
        <v>347</v>
      </c>
      <c r="G25" t="b">
        <v>1</v>
      </c>
      <c r="H25" s="2">
        <v>45009.507418981484</v>
      </c>
      <c r="I25" t="s">
        <v>206</v>
      </c>
      <c r="N25">
        <v>27.325399999999998</v>
      </c>
      <c r="O25">
        <v>-82.473299999999995</v>
      </c>
      <c r="P25" t="s">
        <v>100</v>
      </c>
      <c r="Q25" t="s">
        <v>95</v>
      </c>
      <c r="R25" t="s">
        <v>207</v>
      </c>
      <c r="S25" t="s">
        <v>96</v>
      </c>
      <c r="V25">
        <v>71</v>
      </c>
      <c r="W25" t="s">
        <v>208</v>
      </c>
      <c r="X25">
        <v>500</v>
      </c>
      <c r="Y25">
        <v>10</v>
      </c>
      <c r="Z25">
        <v>0.01</v>
      </c>
      <c r="AA25">
        <v>20</v>
      </c>
      <c r="AB25">
        <v>100</v>
      </c>
      <c r="AC25">
        <v>10</v>
      </c>
      <c r="AD25">
        <v>0.05</v>
      </c>
      <c r="AE25">
        <v>5</v>
      </c>
      <c r="AF25" t="s">
        <v>207</v>
      </c>
      <c r="AG25" t="s">
        <v>97</v>
      </c>
    </row>
    <row r="26" spans="1:33" x14ac:dyDescent="0.2">
      <c r="A26" s="2">
        <v>45009.505173611113</v>
      </c>
      <c r="B26" s="2">
        <v>45009.50818287037</v>
      </c>
      <c r="C26" t="s">
        <v>36</v>
      </c>
      <c r="D26" t="s">
        <v>209</v>
      </c>
      <c r="E26">
        <v>100</v>
      </c>
      <c r="F26">
        <v>260</v>
      </c>
      <c r="G26" t="b">
        <v>1</v>
      </c>
      <c r="H26" s="2">
        <v>45009.508194444446</v>
      </c>
      <c r="I26" t="s">
        <v>210</v>
      </c>
      <c r="N26">
        <v>21.319500000000001</v>
      </c>
      <c r="O26">
        <v>-157.85249999999999</v>
      </c>
      <c r="P26" t="s">
        <v>100</v>
      </c>
      <c r="Q26" t="s">
        <v>95</v>
      </c>
      <c r="R26" t="s">
        <v>211</v>
      </c>
      <c r="S26" t="s">
        <v>96</v>
      </c>
      <c r="V26">
        <v>89</v>
      </c>
      <c r="W26" t="s">
        <v>212</v>
      </c>
      <c r="X26">
        <v>500</v>
      </c>
      <c r="Y26">
        <v>10</v>
      </c>
      <c r="Z26">
        <v>0.1</v>
      </c>
      <c r="AA26">
        <v>20</v>
      </c>
      <c r="AB26">
        <v>100</v>
      </c>
      <c r="AC26">
        <v>90</v>
      </c>
      <c r="AD26">
        <v>5</v>
      </c>
      <c r="AE26">
        <v>5</v>
      </c>
      <c r="AF26" t="s">
        <v>211</v>
      </c>
      <c r="AG26" t="s">
        <v>105</v>
      </c>
    </row>
    <row r="27" spans="1:33" x14ac:dyDescent="0.2">
      <c r="A27" s="2">
        <v>45009.503182870372</v>
      </c>
      <c r="B27" s="2">
        <v>45009.508587962962</v>
      </c>
      <c r="C27" t="s">
        <v>36</v>
      </c>
      <c r="D27" t="s">
        <v>213</v>
      </c>
      <c r="E27">
        <v>100</v>
      </c>
      <c r="F27">
        <v>466</v>
      </c>
      <c r="G27" t="b">
        <v>1</v>
      </c>
      <c r="H27" s="2">
        <v>45009.508599537039</v>
      </c>
      <c r="I27" t="s">
        <v>214</v>
      </c>
      <c r="N27">
        <v>32.4011</v>
      </c>
      <c r="O27">
        <v>-83.3202</v>
      </c>
      <c r="P27" t="s">
        <v>100</v>
      </c>
      <c r="Q27" t="s">
        <v>95</v>
      </c>
      <c r="R27" t="s">
        <v>215</v>
      </c>
      <c r="S27" t="s">
        <v>96</v>
      </c>
      <c r="V27">
        <v>69</v>
      </c>
      <c r="W27" t="s">
        <v>216</v>
      </c>
      <c r="X27">
        <v>500</v>
      </c>
      <c r="Y27">
        <v>10</v>
      </c>
      <c r="Z27">
        <v>1</v>
      </c>
      <c r="AA27">
        <v>20</v>
      </c>
      <c r="AB27">
        <v>100</v>
      </c>
      <c r="AC27" t="s">
        <v>217</v>
      </c>
      <c r="AD27">
        <v>0.1</v>
      </c>
      <c r="AE27">
        <v>100</v>
      </c>
      <c r="AF27" t="s">
        <v>215</v>
      </c>
      <c r="AG27" t="s">
        <v>105</v>
      </c>
    </row>
    <row r="28" spans="1:33" x14ac:dyDescent="0.2">
      <c r="A28" s="2">
        <v>45009.506215277775</v>
      </c>
      <c r="B28" s="2">
        <v>45009.508784722224</v>
      </c>
      <c r="C28" t="s">
        <v>36</v>
      </c>
      <c r="D28" t="s">
        <v>218</v>
      </c>
      <c r="E28">
        <v>100</v>
      </c>
      <c r="F28">
        <v>221</v>
      </c>
      <c r="G28" t="b">
        <v>1</v>
      </c>
      <c r="H28" s="2">
        <v>45009.508784722224</v>
      </c>
      <c r="I28" t="s">
        <v>219</v>
      </c>
      <c r="N28">
        <v>40.444200000000002</v>
      </c>
      <c r="O28">
        <v>-79.955699999999993</v>
      </c>
      <c r="P28" t="s">
        <v>100</v>
      </c>
      <c r="Q28" t="s">
        <v>95</v>
      </c>
      <c r="R28" s="6" t="s">
        <v>220</v>
      </c>
      <c r="S28" t="s">
        <v>96</v>
      </c>
      <c r="V28">
        <v>70</v>
      </c>
      <c r="W28" t="s">
        <v>221</v>
      </c>
      <c r="X28">
        <v>500</v>
      </c>
      <c r="Y28">
        <v>10</v>
      </c>
      <c r="Z28" s="4">
        <v>1E-3</v>
      </c>
      <c r="AA28">
        <v>20</v>
      </c>
      <c r="AB28">
        <v>100</v>
      </c>
      <c r="AC28">
        <v>50</v>
      </c>
      <c r="AD28">
        <v>0.05</v>
      </c>
      <c r="AE28">
        <v>5</v>
      </c>
      <c r="AF28" s="6" t="s">
        <v>220</v>
      </c>
      <c r="AG28" t="s">
        <v>97</v>
      </c>
    </row>
    <row r="29" spans="1:33" x14ac:dyDescent="0.2">
      <c r="A29" s="2">
        <v>45009.502453703702</v>
      </c>
      <c r="B29" s="2">
        <v>45009.508796296293</v>
      </c>
      <c r="C29" t="s">
        <v>36</v>
      </c>
      <c r="D29" t="s">
        <v>222</v>
      </c>
      <c r="E29">
        <v>100</v>
      </c>
      <c r="F29">
        <v>547</v>
      </c>
      <c r="G29" t="b">
        <v>1</v>
      </c>
      <c r="H29" s="2">
        <v>45009.508796296293</v>
      </c>
      <c r="I29" t="s">
        <v>223</v>
      </c>
      <c r="N29">
        <v>40.476100000000002</v>
      </c>
      <c r="O29">
        <v>-76.894900000000007</v>
      </c>
      <c r="P29" t="s">
        <v>100</v>
      </c>
      <c r="Q29" t="s">
        <v>95</v>
      </c>
      <c r="R29" t="s">
        <v>224</v>
      </c>
      <c r="S29" t="s">
        <v>96</v>
      </c>
      <c r="T29">
        <v>0</v>
      </c>
      <c r="U29">
        <v>50</v>
      </c>
      <c r="V29">
        <v>0</v>
      </c>
      <c r="W29" t="s">
        <v>225</v>
      </c>
      <c r="X29">
        <v>500</v>
      </c>
      <c r="Y29">
        <v>2</v>
      </c>
      <c r="Z29">
        <v>1</v>
      </c>
      <c r="AA29">
        <v>20</v>
      </c>
      <c r="AB29">
        <v>10</v>
      </c>
      <c r="AC29">
        <v>99</v>
      </c>
      <c r="AD29">
        <v>0.1</v>
      </c>
      <c r="AE29">
        <v>100</v>
      </c>
      <c r="AF29" t="s">
        <v>224</v>
      </c>
      <c r="AG29" t="s">
        <v>125</v>
      </c>
    </row>
    <row r="30" spans="1:33" x14ac:dyDescent="0.2">
      <c r="A30" s="2">
        <v>45009.503506944442</v>
      </c>
      <c r="B30" s="2">
        <v>45009.50922453704</v>
      </c>
      <c r="C30" t="s">
        <v>36</v>
      </c>
      <c r="D30" t="s">
        <v>226</v>
      </c>
      <c r="E30">
        <v>100</v>
      </c>
      <c r="F30">
        <v>493</v>
      </c>
      <c r="G30" t="b">
        <v>1</v>
      </c>
      <c r="H30" s="2">
        <v>45009.509236111109</v>
      </c>
      <c r="I30" t="s">
        <v>227</v>
      </c>
      <c r="N30">
        <v>40.851999999999997</v>
      </c>
      <c r="O30">
        <v>-74.284199999999998</v>
      </c>
      <c r="P30" t="s">
        <v>100</v>
      </c>
      <c r="Q30" t="s">
        <v>95</v>
      </c>
      <c r="R30" t="s">
        <v>228</v>
      </c>
      <c r="S30" t="s">
        <v>96</v>
      </c>
      <c r="V30">
        <v>31</v>
      </c>
      <c r="W30" t="s">
        <v>229</v>
      </c>
      <c r="X30">
        <v>500</v>
      </c>
      <c r="Y30">
        <v>10</v>
      </c>
      <c r="Z30">
        <v>0.1</v>
      </c>
      <c r="AA30">
        <v>20</v>
      </c>
      <c r="AB30">
        <v>100</v>
      </c>
      <c r="AC30" t="s">
        <v>230</v>
      </c>
      <c r="AD30" t="s">
        <v>231</v>
      </c>
      <c r="AE30" t="s">
        <v>232</v>
      </c>
      <c r="AF30" t="s">
        <v>228</v>
      </c>
      <c r="AG30" t="s">
        <v>111</v>
      </c>
    </row>
    <row r="31" spans="1:33" x14ac:dyDescent="0.2">
      <c r="A31" s="2">
        <v>45009.505324074074</v>
      </c>
      <c r="B31" s="2">
        <v>45009.509826388887</v>
      </c>
      <c r="C31" t="s">
        <v>36</v>
      </c>
      <c r="D31" t="s">
        <v>233</v>
      </c>
      <c r="E31">
        <v>100</v>
      </c>
      <c r="F31">
        <v>388</v>
      </c>
      <c r="G31" t="b">
        <v>1</v>
      </c>
      <c r="H31" s="2">
        <v>45009.509826388887</v>
      </c>
      <c r="I31" t="s">
        <v>234</v>
      </c>
      <c r="N31">
        <v>29.764600000000002</v>
      </c>
      <c r="O31">
        <v>-95.365700000000004</v>
      </c>
      <c r="P31" t="s">
        <v>100</v>
      </c>
      <c r="Q31" t="s">
        <v>95</v>
      </c>
      <c r="R31" t="s">
        <v>235</v>
      </c>
      <c r="S31" t="s">
        <v>96</v>
      </c>
      <c r="V31">
        <v>9</v>
      </c>
      <c r="W31" t="s">
        <v>236</v>
      </c>
      <c r="X31">
        <v>500</v>
      </c>
      <c r="Y31">
        <v>10</v>
      </c>
      <c r="Z31">
        <v>0.1</v>
      </c>
      <c r="AA31">
        <v>20</v>
      </c>
      <c r="AB31">
        <v>100</v>
      </c>
      <c r="AC31" t="s">
        <v>237</v>
      </c>
      <c r="AD31">
        <v>0.05</v>
      </c>
      <c r="AE31">
        <v>5</v>
      </c>
      <c r="AF31" t="s">
        <v>235</v>
      </c>
      <c r="AG31" t="s">
        <v>111</v>
      </c>
    </row>
    <row r="32" spans="1:33" x14ac:dyDescent="0.2">
      <c r="A32" s="2">
        <v>45009.507754629631</v>
      </c>
      <c r="B32" s="2">
        <v>45009.51</v>
      </c>
      <c r="C32" t="s">
        <v>36</v>
      </c>
      <c r="D32" t="s">
        <v>238</v>
      </c>
      <c r="E32">
        <v>100</v>
      </c>
      <c r="F32">
        <v>194</v>
      </c>
      <c r="G32" t="b">
        <v>1</v>
      </c>
      <c r="H32" s="2">
        <v>45009.510011574072</v>
      </c>
      <c r="I32" t="s">
        <v>239</v>
      </c>
      <c r="N32">
        <v>37.545299999999997</v>
      </c>
      <c r="O32">
        <v>-77.918700000000001</v>
      </c>
      <c r="P32" t="s">
        <v>100</v>
      </c>
      <c r="Q32" t="s">
        <v>95</v>
      </c>
      <c r="R32" t="s">
        <v>240</v>
      </c>
      <c r="S32" t="s">
        <v>96</v>
      </c>
      <c r="V32">
        <v>60</v>
      </c>
      <c r="W32" t="s">
        <v>241</v>
      </c>
      <c r="X32">
        <v>500</v>
      </c>
      <c r="Y32">
        <v>10</v>
      </c>
      <c r="Z32">
        <v>0.1</v>
      </c>
      <c r="AA32">
        <v>20</v>
      </c>
      <c r="AB32">
        <v>100</v>
      </c>
      <c r="AC32">
        <v>50</v>
      </c>
      <c r="AD32">
        <v>0.05</v>
      </c>
      <c r="AE32" t="s">
        <v>104</v>
      </c>
      <c r="AF32" t="s">
        <v>240</v>
      </c>
      <c r="AG32" t="s">
        <v>111</v>
      </c>
    </row>
    <row r="33" spans="1:33" ht="85" x14ac:dyDescent="0.2">
      <c r="A33" s="2">
        <v>45009.504791666666</v>
      </c>
      <c r="B33" s="2">
        <v>45009.510127314818</v>
      </c>
      <c r="C33" t="s">
        <v>36</v>
      </c>
      <c r="D33" t="s">
        <v>242</v>
      </c>
      <c r="E33">
        <v>100</v>
      </c>
      <c r="F33">
        <v>461</v>
      </c>
      <c r="G33" t="b">
        <v>1</v>
      </c>
      <c r="H33" s="2">
        <v>45009.510138888887</v>
      </c>
      <c r="I33" t="s">
        <v>243</v>
      </c>
      <c r="N33">
        <v>33.820599999999999</v>
      </c>
      <c r="O33">
        <v>-118.03400000000001</v>
      </c>
      <c r="P33" t="s">
        <v>100</v>
      </c>
      <c r="Q33" t="s">
        <v>95</v>
      </c>
      <c r="R33" t="s">
        <v>244</v>
      </c>
      <c r="S33" t="s">
        <v>96</v>
      </c>
      <c r="T33">
        <v>61</v>
      </c>
      <c r="V33">
        <v>20</v>
      </c>
      <c r="W33" t="s">
        <v>245</v>
      </c>
      <c r="X33">
        <v>500</v>
      </c>
      <c r="Y33">
        <v>10</v>
      </c>
      <c r="Z33" t="s">
        <v>246</v>
      </c>
      <c r="AA33">
        <v>20</v>
      </c>
      <c r="AB33">
        <v>100</v>
      </c>
      <c r="AC33" s="1" t="s">
        <v>247</v>
      </c>
      <c r="AD33" t="s">
        <v>123</v>
      </c>
      <c r="AE33" t="s">
        <v>136</v>
      </c>
      <c r="AF33" t="s">
        <v>244</v>
      </c>
      <c r="AG33" t="s">
        <v>125</v>
      </c>
    </row>
    <row r="34" spans="1:33" x14ac:dyDescent="0.2">
      <c r="A34" s="2">
        <v>45009.5078587963</v>
      </c>
      <c r="B34" s="2">
        <v>45009.510439814818</v>
      </c>
      <c r="C34" t="s">
        <v>36</v>
      </c>
      <c r="D34" t="s">
        <v>248</v>
      </c>
      <c r="E34">
        <v>100</v>
      </c>
      <c r="F34">
        <v>222</v>
      </c>
      <c r="G34" t="b">
        <v>1</v>
      </c>
      <c r="H34" s="2">
        <v>45009.510439814818</v>
      </c>
      <c r="I34" t="s">
        <v>249</v>
      </c>
      <c r="N34">
        <v>40.6372</v>
      </c>
      <c r="O34">
        <v>-73.903700000000001</v>
      </c>
      <c r="P34" t="s">
        <v>100</v>
      </c>
      <c r="Q34" t="s">
        <v>95</v>
      </c>
      <c r="R34" t="s">
        <v>250</v>
      </c>
      <c r="S34" t="s">
        <v>96</v>
      </c>
      <c r="V34">
        <v>65</v>
      </c>
      <c r="W34" t="s">
        <v>251</v>
      </c>
      <c r="X34">
        <v>500</v>
      </c>
      <c r="Y34">
        <v>10</v>
      </c>
      <c r="Z34" s="4">
        <v>1E-3</v>
      </c>
      <c r="AA34">
        <v>20</v>
      </c>
      <c r="AB34">
        <v>100</v>
      </c>
      <c r="AC34" s="3">
        <v>0.18</v>
      </c>
      <c r="AD34">
        <v>1.05</v>
      </c>
      <c r="AE34" t="s">
        <v>252</v>
      </c>
      <c r="AF34" t="s">
        <v>250</v>
      </c>
      <c r="AG34" t="s">
        <v>97</v>
      </c>
    </row>
    <row r="35" spans="1:33" x14ac:dyDescent="0.2">
      <c r="A35" s="2">
        <v>45009.507048611114</v>
      </c>
      <c r="B35" s="2">
        <v>45009.510462962964</v>
      </c>
      <c r="C35" t="s">
        <v>36</v>
      </c>
      <c r="D35" t="s">
        <v>253</v>
      </c>
      <c r="E35">
        <v>100</v>
      </c>
      <c r="F35">
        <v>294</v>
      </c>
      <c r="G35" t="b">
        <v>1</v>
      </c>
      <c r="H35" s="2">
        <v>45009.510462962964</v>
      </c>
      <c r="I35" t="s">
        <v>254</v>
      </c>
      <c r="N35">
        <v>40.802199999999999</v>
      </c>
      <c r="O35">
        <v>-74.191400000000002</v>
      </c>
      <c r="P35" t="s">
        <v>100</v>
      </c>
      <c r="Q35" t="s">
        <v>95</v>
      </c>
      <c r="R35" s="6" t="s">
        <v>255</v>
      </c>
      <c r="S35" t="s">
        <v>96</v>
      </c>
      <c r="V35">
        <v>81</v>
      </c>
      <c r="W35" t="s">
        <v>256</v>
      </c>
      <c r="X35">
        <v>500</v>
      </c>
      <c r="Y35">
        <v>10</v>
      </c>
      <c r="Z35" s="4">
        <v>1E-3</v>
      </c>
      <c r="AA35">
        <v>20</v>
      </c>
      <c r="AB35">
        <v>100</v>
      </c>
      <c r="AC35">
        <v>90</v>
      </c>
      <c r="AD35" s="5">
        <v>0.05</v>
      </c>
      <c r="AE35" t="s">
        <v>252</v>
      </c>
      <c r="AF35" s="6" t="s">
        <v>255</v>
      </c>
      <c r="AG35" t="s">
        <v>97</v>
      </c>
    </row>
    <row r="36" spans="1:33" x14ac:dyDescent="0.2">
      <c r="A36" s="2">
        <v>45009.507025462961</v>
      </c>
      <c r="B36" s="2">
        <v>45009.510752314818</v>
      </c>
      <c r="C36" t="s">
        <v>36</v>
      </c>
      <c r="D36" t="s">
        <v>257</v>
      </c>
      <c r="E36">
        <v>100</v>
      </c>
      <c r="F36">
        <v>321</v>
      </c>
      <c r="G36" t="b">
        <v>1</v>
      </c>
      <c r="H36" s="2">
        <v>45009.510752314818</v>
      </c>
      <c r="I36" t="s">
        <v>258</v>
      </c>
      <c r="N36">
        <v>34.032200000000003</v>
      </c>
      <c r="O36">
        <v>-118.28360000000001</v>
      </c>
      <c r="P36" t="s">
        <v>100</v>
      </c>
      <c r="Q36" t="s">
        <v>95</v>
      </c>
      <c r="R36" s="6" t="s">
        <v>259</v>
      </c>
      <c r="S36" t="s">
        <v>96</v>
      </c>
      <c r="V36">
        <v>15</v>
      </c>
      <c r="W36" t="s">
        <v>260</v>
      </c>
      <c r="X36">
        <v>500</v>
      </c>
      <c r="Y36">
        <v>10</v>
      </c>
      <c r="Z36" s="4">
        <v>1E-3</v>
      </c>
      <c r="AA36" s="3">
        <v>0.2</v>
      </c>
      <c r="AB36">
        <v>100</v>
      </c>
      <c r="AC36" s="3">
        <v>0.5</v>
      </c>
      <c r="AD36">
        <v>0.05</v>
      </c>
      <c r="AE36" t="s">
        <v>104</v>
      </c>
      <c r="AF36" s="6" t="s">
        <v>259</v>
      </c>
      <c r="AG36" t="s">
        <v>111</v>
      </c>
    </row>
    <row r="37" spans="1:33" x14ac:dyDescent="0.2">
      <c r="A37" s="2">
        <v>45009.505486111113</v>
      </c>
      <c r="B37" s="2">
        <v>45009.510833333334</v>
      </c>
      <c r="C37" t="s">
        <v>36</v>
      </c>
      <c r="D37" t="s">
        <v>261</v>
      </c>
      <c r="E37">
        <v>100</v>
      </c>
      <c r="F37">
        <v>462</v>
      </c>
      <c r="G37" t="b">
        <v>1</v>
      </c>
      <c r="H37" s="2">
        <v>45009.510844907411</v>
      </c>
      <c r="I37" t="s">
        <v>262</v>
      </c>
      <c r="N37">
        <v>30.2121</v>
      </c>
      <c r="O37">
        <v>-95.526300000000006</v>
      </c>
      <c r="P37" t="s">
        <v>100</v>
      </c>
      <c r="Q37" t="s">
        <v>95</v>
      </c>
      <c r="R37" t="s">
        <v>263</v>
      </c>
      <c r="S37" t="s">
        <v>96</v>
      </c>
      <c r="V37">
        <v>100</v>
      </c>
      <c r="W37" t="s">
        <v>264</v>
      </c>
      <c r="X37">
        <v>300</v>
      </c>
      <c r="Y37">
        <v>10</v>
      </c>
      <c r="Z37">
        <v>1</v>
      </c>
      <c r="AA37">
        <v>20</v>
      </c>
      <c r="AB37">
        <v>100</v>
      </c>
      <c r="AC37" t="s">
        <v>265</v>
      </c>
      <c r="AD37">
        <v>0.1</v>
      </c>
      <c r="AE37" t="s">
        <v>266</v>
      </c>
      <c r="AF37" t="s">
        <v>263</v>
      </c>
      <c r="AG37" t="s">
        <v>97</v>
      </c>
    </row>
    <row r="38" spans="1:33" x14ac:dyDescent="0.2">
      <c r="A38" s="2">
        <v>45009.5078125</v>
      </c>
      <c r="B38" s="2">
        <v>45009.510891203703</v>
      </c>
      <c r="C38" t="s">
        <v>36</v>
      </c>
      <c r="D38" t="s">
        <v>267</v>
      </c>
      <c r="E38">
        <v>100</v>
      </c>
      <c r="F38">
        <v>265</v>
      </c>
      <c r="G38" t="b">
        <v>1</v>
      </c>
      <c r="H38" s="2">
        <v>45009.510891203703</v>
      </c>
      <c r="I38" t="s">
        <v>268</v>
      </c>
      <c r="N38">
        <v>28.793500000000002</v>
      </c>
      <c r="O38">
        <v>-81.286799999999999</v>
      </c>
      <c r="P38" t="s">
        <v>100</v>
      </c>
      <c r="Q38" t="s">
        <v>95</v>
      </c>
      <c r="R38" t="s">
        <v>269</v>
      </c>
      <c r="S38" t="s">
        <v>96</v>
      </c>
      <c r="V38">
        <v>82</v>
      </c>
      <c r="W38" t="s">
        <v>270</v>
      </c>
      <c r="X38">
        <v>500</v>
      </c>
      <c r="Y38">
        <v>10</v>
      </c>
      <c r="Z38">
        <v>0.1</v>
      </c>
      <c r="AA38">
        <v>20</v>
      </c>
      <c r="AB38">
        <v>100</v>
      </c>
      <c r="AC38">
        <v>90</v>
      </c>
      <c r="AD38">
        <v>0.1</v>
      </c>
      <c r="AE38">
        <v>100</v>
      </c>
      <c r="AF38" t="s">
        <v>269</v>
      </c>
      <c r="AG38" t="s">
        <v>97</v>
      </c>
    </row>
    <row r="39" spans="1:33" x14ac:dyDescent="0.2">
      <c r="A39" s="2">
        <v>45009.507615740738</v>
      </c>
      <c r="B39" s="2">
        <v>45009.510914351849</v>
      </c>
      <c r="C39" t="s">
        <v>36</v>
      </c>
      <c r="D39" t="s">
        <v>271</v>
      </c>
      <c r="E39">
        <v>100</v>
      </c>
      <c r="F39">
        <v>284</v>
      </c>
      <c r="G39" t="b">
        <v>1</v>
      </c>
      <c r="H39" s="2">
        <v>45009.510914351849</v>
      </c>
      <c r="I39" t="s">
        <v>272</v>
      </c>
      <c r="N39">
        <v>37.528100000000002</v>
      </c>
      <c r="O39">
        <v>-121.97320000000001</v>
      </c>
      <c r="P39" t="s">
        <v>100</v>
      </c>
      <c r="Q39" t="s">
        <v>95</v>
      </c>
      <c r="R39" t="s">
        <v>273</v>
      </c>
      <c r="S39" t="s">
        <v>96</v>
      </c>
      <c r="T39">
        <v>24</v>
      </c>
      <c r="U39" t="s">
        <v>274</v>
      </c>
      <c r="V39">
        <v>15</v>
      </c>
      <c r="W39" t="s">
        <v>275</v>
      </c>
      <c r="X39" s="3">
        <v>0.5</v>
      </c>
      <c r="Y39">
        <v>10</v>
      </c>
      <c r="Z39" s="4">
        <v>1E-3</v>
      </c>
      <c r="AA39" s="3">
        <v>0.2</v>
      </c>
      <c r="AB39">
        <v>100</v>
      </c>
      <c r="AC39" s="3">
        <v>0.1</v>
      </c>
      <c r="AD39" s="5">
        <v>0.05</v>
      </c>
      <c r="AE39" t="s">
        <v>266</v>
      </c>
      <c r="AF39" t="s">
        <v>273</v>
      </c>
      <c r="AG39" t="s">
        <v>125</v>
      </c>
    </row>
    <row r="40" spans="1:33" x14ac:dyDescent="0.2">
      <c r="A40" s="2">
        <v>45009.508472222224</v>
      </c>
      <c r="B40" s="2">
        <v>45009.511111111111</v>
      </c>
      <c r="C40" t="s">
        <v>36</v>
      </c>
      <c r="D40" t="s">
        <v>276</v>
      </c>
      <c r="E40">
        <v>100</v>
      </c>
      <c r="F40">
        <v>227</v>
      </c>
      <c r="G40" t="b">
        <v>1</v>
      </c>
      <c r="H40" s="2">
        <v>45009.511111111111</v>
      </c>
      <c r="I40" t="s">
        <v>277</v>
      </c>
      <c r="N40">
        <v>38.221299999999999</v>
      </c>
      <c r="O40">
        <v>-85.739599999999996</v>
      </c>
      <c r="P40" t="s">
        <v>100</v>
      </c>
      <c r="Q40" t="s">
        <v>95</v>
      </c>
      <c r="R40" t="s">
        <v>278</v>
      </c>
      <c r="S40" t="s">
        <v>96</v>
      </c>
      <c r="V40">
        <v>70</v>
      </c>
      <c r="W40" t="s">
        <v>279</v>
      </c>
      <c r="X40">
        <v>500</v>
      </c>
      <c r="Y40">
        <v>10</v>
      </c>
      <c r="Z40">
        <v>1E-3</v>
      </c>
      <c r="AA40">
        <v>20</v>
      </c>
      <c r="AB40">
        <v>100</v>
      </c>
      <c r="AC40" s="3">
        <v>0.5</v>
      </c>
      <c r="AD40">
        <v>0.05</v>
      </c>
      <c r="AE40" t="s">
        <v>104</v>
      </c>
      <c r="AF40" t="s">
        <v>278</v>
      </c>
      <c r="AG40" t="s">
        <v>105</v>
      </c>
    </row>
    <row r="41" spans="1:33" x14ac:dyDescent="0.2">
      <c r="A41" s="2">
        <v>45009.509270833332</v>
      </c>
      <c r="B41" s="2">
        <v>45009.51121527778</v>
      </c>
      <c r="C41" t="s">
        <v>36</v>
      </c>
      <c r="D41" t="s">
        <v>280</v>
      </c>
      <c r="E41">
        <v>100</v>
      </c>
      <c r="F41">
        <v>167</v>
      </c>
      <c r="G41" t="b">
        <v>1</v>
      </c>
      <c r="H41" s="2">
        <v>45009.51121527778</v>
      </c>
      <c r="I41" t="s">
        <v>281</v>
      </c>
      <c r="N41">
        <v>30.445699999999999</v>
      </c>
      <c r="O41">
        <v>-91.180099999999996</v>
      </c>
      <c r="P41" t="s">
        <v>100</v>
      </c>
      <c r="Q41" t="s">
        <v>95</v>
      </c>
      <c r="R41" t="s">
        <v>282</v>
      </c>
      <c r="S41" t="s">
        <v>96</v>
      </c>
      <c r="V41">
        <v>96</v>
      </c>
      <c r="W41" t="s">
        <v>283</v>
      </c>
      <c r="X41">
        <v>500</v>
      </c>
      <c r="Y41">
        <v>10</v>
      </c>
      <c r="Z41" s="4">
        <v>1E-3</v>
      </c>
      <c r="AA41">
        <v>20</v>
      </c>
      <c r="AB41">
        <v>1</v>
      </c>
      <c r="AC41" s="3">
        <v>0.1</v>
      </c>
      <c r="AD41" s="5">
        <v>0.1</v>
      </c>
      <c r="AE41" t="s">
        <v>104</v>
      </c>
      <c r="AF41" t="s">
        <v>282</v>
      </c>
      <c r="AG41" t="s">
        <v>97</v>
      </c>
    </row>
    <row r="42" spans="1:33" x14ac:dyDescent="0.2">
      <c r="A42" s="2">
        <v>45009.508171296293</v>
      </c>
      <c r="B42" s="2">
        <v>45009.511331018519</v>
      </c>
      <c r="C42" t="s">
        <v>36</v>
      </c>
      <c r="D42" t="s">
        <v>284</v>
      </c>
      <c r="E42">
        <v>100</v>
      </c>
      <c r="F42">
        <v>272</v>
      </c>
      <c r="G42" t="b">
        <v>1</v>
      </c>
      <c r="H42" s="2">
        <v>45009.511331018519</v>
      </c>
      <c r="I42" t="s">
        <v>285</v>
      </c>
      <c r="N42">
        <v>41.8872</v>
      </c>
      <c r="O42">
        <v>-72.143600000000006</v>
      </c>
      <c r="P42" t="s">
        <v>100</v>
      </c>
      <c r="Q42" t="s">
        <v>95</v>
      </c>
      <c r="R42" t="s">
        <v>286</v>
      </c>
      <c r="S42" t="s">
        <v>96</v>
      </c>
      <c r="T42">
        <v>22</v>
      </c>
      <c r="U42" s="3">
        <v>0.15</v>
      </c>
      <c r="V42">
        <v>3</v>
      </c>
      <c r="W42" t="s">
        <v>287</v>
      </c>
      <c r="X42">
        <v>500</v>
      </c>
      <c r="Y42">
        <v>10</v>
      </c>
      <c r="Z42" s="4">
        <v>1E-3</v>
      </c>
      <c r="AA42">
        <v>20</v>
      </c>
      <c r="AB42">
        <v>100</v>
      </c>
      <c r="AC42" t="s">
        <v>288</v>
      </c>
      <c r="AD42">
        <v>0.05</v>
      </c>
      <c r="AE42">
        <v>100</v>
      </c>
      <c r="AF42" t="s">
        <v>286</v>
      </c>
      <c r="AG42" t="s">
        <v>125</v>
      </c>
    </row>
    <row r="43" spans="1:33" x14ac:dyDescent="0.2">
      <c r="A43" s="2">
        <v>45009.507881944446</v>
      </c>
      <c r="B43" s="2">
        <v>45009.511377314811</v>
      </c>
      <c r="C43" t="s">
        <v>36</v>
      </c>
      <c r="D43" t="s">
        <v>289</v>
      </c>
      <c r="E43">
        <v>100</v>
      </c>
      <c r="F43">
        <v>301</v>
      </c>
      <c r="G43" t="b">
        <v>1</v>
      </c>
      <c r="H43" s="2">
        <v>45009.511377314811</v>
      </c>
      <c r="I43" t="s">
        <v>290</v>
      </c>
      <c r="N43">
        <v>40.258400000000002</v>
      </c>
      <c r="O43">
        <v>-111.6591</v>
      </c>
      <c r="P43" t="s">
        <v>100</v>
      </c>
      <c r="Q43" t="s">
        <v>95</v>
      </c>
      <c r="R43" t="s">
        <v>291</v>
      </c>
      <c r="S43" t="s">
        <v>96</v>
      </c>
      <c r="V43">
        <v>60</v>
      </c>
      <c r="W43" t="s">
        <v>292</v>
      </c>
      <c r="X43">
        <v>500</v>
      </c>
      <c r="Y43">
        <v>10</v>
      </c>
      <c r="Z43" s="4">
        <v>1E-3</v>
      </c>
      <c r="AA43">
        <v>20</v>
      </c>
      <c r="AB43">
        <v>100</v>
      </c>
      <c r="AC43" s="3">
        <v>0.5</v>
      </c>
      <c r="AD43">
        <v>0.05</v>
      </c>
      <c r="AE43" t="s">
        <v>104</v>
      </c>
      <c r="AF43" t="s">
        <v>291</v>
      </c>
      <c r="AG43" t="s">
        <v>105</v>
      </c>
    </row>
    <row r="44" spans="1:33" x14ac:dyDescent="0.2">
      <c r="A44" s="2">
        <v>45009.508483796293</v>
      </c>
      <c r="B44" s="2">
        <v>45009.511423611111</v>
      </c>
      <c r="C44" t="s">
        <v>36</v>
      </c>
      <c r="D44" t="s">
        <v>293</v>
      </c>
      <c r="E44">
        <v>100</v>
      </c>
      <c r="F44">
        <v>253</v>
      </c>
      <c r="G44" t="b">
        <v>1</v>
      </c>
      <c r="H44" s="2">
        <v>45009.511435185188</v>
      </c>
      <c r="I44" t="s">
        <v>294</v>
      </c>
      <c r="N44">
        <v>40.735900000000001</v>
      </c>
      <c r="O44">
        <v>-73.990399999999994</v>
      </c>
      <c r="P44" t="s">
        <v>100</v>
      </c>
      <c r="Q44" t="s">
        <v>95</v>
      </c>
      <c r="R44" t="s">
        <v>295</v>
      </c>
      <c r="S44" t="s">
        <v>96</v>
      </c>
      <c r="V44">
        <v>30</v>
      </c>
      <c r="W44" t="s">
        <v>296</v>
      </c>
      <c r="X44">
        <v>500</v>
      </c>
      <c r="Y44">
        <v>10</v>
      </c>
      <c r="Z44" s="3">
        <v>0.01</v>
      </c>
      <c r="AA44">
        <v>20</v>
      </c>
      <c r="AB44">
        <v>100</v>
      </c>
      <c r="AC44" s="3">
        <v>0.9</v>
      </c>
      <c r="AD44" t="s">
        <v>297</v>
      </c>
      <c r="AE44" t="s">
        <v>252</v>
      </c>
      <c r="AF44" t="s">
        <v>295</v>
      </c>
      <c r="AG44" t="s">
        <v>97</v>
      </c>
    </row>
    <row r="45" spans="1:33" x14ac:dyDescent="0.2">
      <c r="A45" s="2">
        <v>45009.508460648147</v>
      </c>
      <c r="B45" s="2">
        <v>45009.51152777778</v>
      </c>
      <c r="C45" t="s">
        <v>36</v>
      </c>
      <c r="D45" t="s">
        <v>298</v>
      </c>
      <c r="E45">
        <v>100</v>
      </c>
      <c r="F45">
        <v>264</v>
      </c>
      <c r="G45" t="b">
        <v>1</v>
      </c>
      <c r="H45" s="2">
        <v>45009.51152777778</v>
      </c>
      <c r="I45" t="s">
        <v>299</v>
      </c>
      <c r="N45">
        <v>43.081200000000003</v>
      </c>
      <c r="O45">
        <v>-89.384500000000003</v>
      </c>
      <c r="P45" t="s">
        <v>100</v>
      </c>
      <c r="Q45" t="s">
        <v>95</v>
      </c>
      <c r="R45" t="s">
        <v>300</v>
      </c>
      <c r="S45" t="s">
        <v>96</v>
      </c>
      <c r="V45">
        <v>60</v>
      </c>
      <c r="W45" t="s">
        <v>301</v>
      </c>
      <c r="X45">
        <v>500</v>
      </c>
      <c r="Y45">
        <v>10</v>
      </c>
      <c r="Z45" s="4">
        <v>1E-3</v>
      </c>
      <c r="AA45" s="3">
        <v>0.2</v>
      </c>
      <c r="AB45">
        <v>100</v>
      </c>
      <c r="AC45" s="3">
        <v>0.5</v>
      </c>
      <c r="AD45" s="5">
        <v>0.1</v>
      </c>
      <c r="AE45" t="s">
        <v>266</v>
      </c>
      <c r="AF45" t="s">
        <v>300</v>
      </c>
      <c r="AG45" t="s">
        <v>111</v>
      </c>
    </row>
    <row r="46" spans="1:33" x14ac:dyDescent="0.2">
      <c r="A46" s="2">
        <v>45009.507233796299</v>
      </c>
      <c r="B46" s="2">
        <v>45009.511620370373</v>
      </c>
      <c r="C46" t="s">
        <v>36</v>
      </c>
      <c r="D46" t="s">
        <v>302</v>
      </c>
      <c r="E46">
        <v>100</v>
      </c>
      <c r="F46">
        <v>378</v>
      </c>
      <c r="G46" t="b">
        <v>1</v>
      </c>
      <c r="H46" s="2">
        <v>45009.511620370373</v>
      </c>
      <c r="I46" t="s">
        <v>303</v>
      </c>
      <c r="N46">
        <v>39.745800000000003</v>
      </c>
      <c r="O46">
        <v>-75.581000000000003</v>
      </c>
      <c r="P46" t="s">
        <v>100</v>
      </c>
      <c r="Q46" t="s">
        <v>95</v>
      </c>
      <c r="R46" t="s">
        <v>304</v>
      </c>
      <c r="S46" t="s">
        <v>96</v>
      </c>
      <c r="V46">
        <v>91</v>
      </c>
      <c r="W46" t="s">
        <v>305</v>
      </c>
      <c r="X46">
        <v>500</v>
      </c>
      <c r="Y46">
        <v>10</v>
      </c>
      <c r="Z46" s="4">
        <v>1E-3</v>
      </c>
      <c r="AA46">
        <v>20</v>
      </c>
      <c r="AB46">
        <v>100</v>
      </c>
      <c r="AC46" s="3">
        <v>0.9</v>
      </c>
      <c r="AD46">
        <v>0.1</v>
      </c>
      <c r="AE46">
        <v>1000</v>
      </c>
      <c r="AF46" t="s">
        <v>304</v>
      </c>
      <c r="AG46" t="s">
        <v>97</v>
      </c>
    </row>
    <row r="47" spans="1:33" x14ac:dyDescent="0.2">
      <c r="A47" s="2">
        <v>45009.508414351854</v>
      </c>
      <c r="B47" s="2">
        <v>45009.511678240742</v>
      </c>
      <c r="C47" t="s">
        <v>36</v>
      </c>
      <c r="D47" t="s">
        <v>306</v>
      </c>
      <c r="E47">
        <v>100</v>
      </c>
      <c r="F47">
        <v>281</v>
      </c>
      <c r="G47" t="b">
        <v>1</v>
      </c>
      <c r="H47" s="2">
        <v>45009.511678240742</v>
      </c>
      <c r="I47" t="s">
        <v>307</v>
      </c>
      <c r="N47">
        <v>39.5473</v>
      </c>
      <c r="O47">
        <v>-76.679299999999998</v>
      </c>
      <c r="P47" t="s">
        <v>100</v>
      </c>
      <c r="Q47" t="s">
        <v>95</v>
      </c>
      <c r="R47" t="s">
        <v>308</v>
      </c>
      <c r="S47" t="s">
        <v>96</v>
      </c>
      <c r="V47">
        <v>13</v>
      </c>
      <c r="W47" t="s">
        <v>309</v>
      </c>
      <c r="X47">
        <v>500</v>
      </c>
      <c r="Y47">
        <v>10</v>
      </c>
      <c r="Z47" s="4">
        <v>1E-3</v>
      </c>
      <c r="AA47">
        <v>20</v>
      </c>
      <c r="AB47">
        <v>100</v>
      </c>
      <c r="AC47" s="3">
        <v>0.52</v>
      </c>
      <c r="AD47">
        <v>0.05</v>
      </c>
      <c r="AE47" t="s">
        <v>104</v>
      </c>
      <c r="AF47" t="s">
        <v>308</v>
      </c>
      <c r="AG47" t="s">
        <v>111</v>
      </c>
    </row>
    <row r="48" spans="1:33" x14ac:dyDescent="0.2">
      <c r="A48" s="2">
        <v>45009.509409722225</v>
      </c>
      <c r="B48" s="2">
        <v>45009.511782407404</v>
      </c>
      <c r="C48" t="s">
        <v>36</v>
      </c>
      <c r="D48" t="s">
        <v>310</v>
      </c>
      <c r="E48">
        <v>100</v>
      </c>
      <c r="F48">
        <v>205</v>
      </c>
      <c r="G48" t="b">
        <v>1</v>
      </c>
      <c r="H48" s="2">
        <v>45009.511793981481</v>
      </c>
      <c r="I48" t="s">
        <v>311</v>
      </c>
      <c r="N48">
        <v>35.21</v>
      </c>
      <c r="O48">
        <v>-80.851200000000006</v>
      </c>
      <c r="P48" t="s">
        <v>100</v>
      </c>
      <c r="Q48" t="s">
        <v>95</v>
      </c>
      <c r="R48" t="s">
        <v>312</v>
      </c>
      <c r="S48" t="s">
        <v>96</v>
      </c>
      <c r="V48">
        <v>85</v>
      </c>
      <c r="W48" t="s">
        <v>313</v>
      </c>
      <c r="X48">
        <v>500</v>
      </c>
      <c r="Y48">
        <v>10</v>
      </c>
      <c r="Z48" s="4">
        <v>1E-3</v>
      </c>
      <c r="AA48" s="3">
        <v>0.2</v>
      </c>
      <c r="AB48">
        <v>100</v>
      </c>
      <c r="AC48" s="3">
        <v>0.5</v>
      </c>
      <c r="AD48" s="5">
        <v>0.05</v>
      </c>
      <c r="AE48" t="s">
        <v>104</v>
      </c>
      <c r="AF48" t="s">
        <v>312</v>
      </c>
      <c r="AG48" t="s">
        <v>105</v>
      </c>
    </row>
    <row r="49" spans="1:33" x14ac:dyDescent="0.2">
      <c r="A49" s="2">
        <v>45009.505706018521</v>
      </c>
      <c r="B49" s="2">
        <v>45009.512071759258</v>
      </c>
      <c r="C49" t="s">
        <v>36</v>
      </c>
      <c r="D49" t="s">
        <v>314</v>
      </c>
      <c r="E49">
        <v>100</v>
      </c>
      <c r="F49">
        <v>549</v>
      </c>
      <c r="G49" t="b">
        <v>1</v>
      </c>
      <c r="H49" s="2">
        <v>45009.512071759258</v>
      </c>
      <c r="I49" t="s">
        <v>315</v>
      </c>
      <c r="N49">
        <v>39.738799999999998</v>
      </c>
      <c r="O49">
        <v>-104.9868</v>
      </c>
      <c r="P49" t="s">
        <v>100</v>
      </c>
      <c r="Q49" t="s">
        <v>95</v>
      </c>
      <c r="R49" t="s">
        <v>316</v>
      </c>
      <c r="S49" t="s">
        <v>96</v>
      </c>
      <c r="V49">
        <v>20</v>
      </c>
      <c r="W49" t="s">
        <v>317</v>
      </c>
      <c r="X49">
        <v>500</v>
      </c>
      <c r="Y49">
        <v>10</v>
      </c>
      <c r="Z49" s="3">
        <v>0.01</v>
      </c>
      <c r="AA49">
        <v>20</v>
      </c>
      <c r="AB49">
        <v>100</v>
      </c>
      <c r="AC49" s="3">
        <v>0.09</v>
      </c>
      <c r="AD49">
        <v>0.1</v>
      </c>
      <c r="AE49" t="s">
        <v>104</v>
      </c>
      <c r="AF49" t="s">
        <v>316</v>
      </c>
      <c r="AG49" t="s">
        <v>111</v>
      </c>
    </row>
    <row r="50" spans="1:33" x14ac:dyDescent="0.2">
      <c r="A50" s="2">
        <v>45009.509965277779</v>
      </c>
      <c r="B50" s="2">
        <v>45009.512152777781</v>
      </c>
      <c r="C50" t="s">
        <v>36</v>
      </c>
      <c r="D50" t="s">
        <v>318</v>
      </c>
      <c r="E50">
        <v>100</v>
      </c>
      <c r="F50">
        <v>188</v>
      </c>
      <c r="G50" t="b">
        <v>1</v>
      </c>
      <c r="H50" s="2">
        <v>45009.512152777781</v>
      </c>
      <c r="I50" t="s">
        <v>319</v>
      </c>
      <c r="N50">
        <v>39.159199999999998</v>
      </c>
      <c r="O50">
        <v>-123.19629999999999</v>
      </c>
      <c r="P50" t="s">
        <v>100</v>
      </c>
      <c r="Q50" t="s">
        <v>95</v>
      </c>
      <c r="R50" t="s">
        <v>320</v>
      </c>
      <c r="S50" t="s">
        <v>96</v>
      </c>
      <c r="V50">
        <v>37</v>
      </c>
      <c r="W50" t="s">
        <v>321</v>
      </c>
      <c r="X50">
        <v>500</v>
      </c>
      <c r="Y50">
        <v>10</v>
      </c>
      <c r="Z50">
        <v>0.1</v>
      </c>
      <c r="AA50">
        <v>20</v>
      </c>
      <c r="AB50">
        <v>100</v>
      </c>
      <c r="AC50" s="3">
        <v>0.18</v>
      </c>
      <c r="AD50">
        <v>1.05</v>
      </c>
      <c r="AE50" t="s">
        <v>104</v>
      </c>
      <c r="AF50" t="s">
        <v>320</v>
      </c>
      <c r="AG50" t="s">
        <v>111</v>
      </c>
    </row>
    <row r="51" spans="1:33" x14ac:dyDescent="0.2">
      <c r="A51" s="2">
        <v>45009.508298611108</v>
      </c>
      <c r="B51" s="2">
        <v>45009.512187499997</v>
      </c>
      <c r="C51" t="s">
        <v>36</v>
      </c>
      <c r="D51" t="s">
        <v>322</v>
      </c>
      <c r="E51">
        <v>100</v>
      </c>
      <c r="F51">
        <v>336</v>
      </c>
      <c r="G51" t="b">
        <v>1</v>
      </c>
      <c r="H51" s="2">
        <v>45009.512187499997</v>
      </c>
      <c r="I51" t="s">
        <v>323</v>
      </c>
      <c r="N51">
        <v>40.295999999999999</v>
      </c>
      <c r="O51">
        <v>-75.989400000000003</v>
      </c>
      <c r="P51" t="s">
        <v>100</v>
      </c>
      <c r="Q51" t="s">
        <v>95</v>
      </c>
      <c r="R51" t="s">
        <v>324</v>
      </c>
      <c r="S51" t="s">
        <v>96</v>
      </c>
      <c r="V51">
        <v>90</v>
      </c>
      <c r="W51" t="s">
        <v>325</v>
      </c>
      <c r="X51">
        <v>500</v>
      </c>
      <c r="Y51">
        <v>10</v>
      </c>
      <c r="Z51">
        <v>1</v>
      </c>
      <c r="AA51">
        <v>20</v>
      </c>
      <c r="AB51">
        <v>100</v>
      </c>
      <c r="AC51">
        <v>10</v>
      </c>
      <c r="AD51">
        <v>0.1</v>
      </c>
      <c r="AE51">
        <v>5</v>
      </c>
      <c r="AF51" t="s">
        <v>324</v>
      </c>
      <c r="AG51" t="s">
        <v>97</v>
      </c>
    </row>
    <row r="52" spans="1:33" x14ac:dyDescent="0.2">
      <c r="A52" s="2">
        <v>45009.509942129633</v>
      </c>
      <c r="B52" s="2">
        <v>45009.51226851852</v>
      </c>
      <c r="C52" t="s">
        <v>36</v>
      </c>
      <c r="D52" t="s">
        <v>326</v>
      </c>
      <c r="E52">
        <v>100</v>
      </c>
      <c r="F52">
        <v>201</v>
      </c>
      <c r="G52" t="b">
        <v>1</v>
      </c>
      <c r="H52" s="2">
        <v>45009.512280092589</v>
      </c>
      <c r="I52" t="s">
        <v>327</v>
      </c>
      <c r="N52">
        <v>37.145699999999998</v>
      </c>
      <c r="O52">
        <v>-113.36150000000001</v>
      </c>
      <c r="P52" t="s">
        <v>100</v>
      </c>
      <c r="Q52" t="s">
        <v>95</v>
      </c>
      <c r="R52" t="s">
        <v>328</v>
      </c>
      <c r="S52" t="s">
        <v>96</v>
      </c>
      <c r="V52">
        <v>83</v>
      </c>
      <c r="W52" t="s">
        <v>329</v>
      </c>
      <c r="X52">
        <v>500</v>
      </c>
      <c r="Y52">
        <v>10</v>
      </c>
      <c r="Z52">
        <v>0.1</v>
      </c>
      <c r="AA52">
        <v>20</v>
      </c>
      <c r="AB52">
        <v>100</v>
      </c>
      <c r="AC52" s="3">
        <v>0.9</v>
      </c>
      <c r="AD52">
        <v>0.05</v>
      </c>
      <c r="AE52" t="s">
        <v>330</v>
      </c>
      <c r="AF52" t="s">
        <v>328</v>
      </c>
      <c r="AG52" t="s">
        <v>97</v>
      </c>
    </row>
    <row r="53" spans="1:33" x14ac:dyDescent="0.2">
      <c r="A53" s="2">
        <v>45009.510104166664</v>
      </c>
      <c r="B53" s="2">
        <v>45009.512280092589</v>
      </c>
      <c r="C53" t="s">
        <v>36</v>
      </c>
      <c r="D53" t="s">
        <v>331</v>
      </c>
      <c r="E53">
        <v>100</v>
      </c>
      <c r="F53">
        <v>187</v>
      </c>
      <c r="G53" t="b">
        <v>1</v>
      </c>
      <c r="H53" s="2">
        <v>45009.512280092589</v>
      </c>
      <c r="I53" t="s">
        <v>332</v>
      </c>
      <c r="N53">
        <v>34.028399999999998</v>
      </c>
      <c r="O53">
        <v>-117.2872</v>
      </c>
      <c r="P53" t="s">
        <v>100</v>
      </c>
      <c r="Q53" t="s">
        <v>95</v>
      </c>
      <c r="R53" t="s">
        <v>333</v>
      </c>
      <c r="S53" t="s">
        <v>96</v>
      </c>
      <c r="T53">
        <v>11</v>
      </c>
      <c r="U53">
        <v>10</v>
      </c>
      <c r="V53">
        <v>10</v>
      </c>
      <c r="W53" t="s">
        <v>334</v>
      </c>
      <c r="X53">
        <v>500</v>
      </c>
      <c r="Y53">
        <v>100</v>
      </c>
      <c r="Z53">
        <v>0.1</v>
      </c>
      <c r="AA53">
        <v>20</v>
      </c>
      <c r="AB53">
        <v>100</v>
      </c>
      <c r="AC53" s="7">
        <v>44928</v>
      </c>
      <c r="AD53">
        <v>0.05</v>
      </c>
      <c r="AE53">
        <v>5</v>
      </c>
      <c r="AF53" t="s">
        <v>333</v>
      </c>
      <c r="AG53" t="s">
        <v>125</v>
      </c>
    </row>
    <row r="54" spans="1:33" x14ac:dyDescent="0.2">
      <c r="A54" s="2">
        <v>45009.509594907409</v>
      </c>
      <c r="B54" s="2">
        <v>45009.512395833335</v>
      </c>
      <c r="C54" t="s">
        <v>36</v>
      </c>
      <c r="D54" t="s">
        <v>335</v>
      </c>
      <c r="E54">
        <v>100</v>
      </c>
      <c r="F54">
        <v>241</v>
      </c>
      <c r="G54" t="b">
        <v>1</v>
      </c>
      <c r="H54" s="2">
        <v>45009.512395833335</v>
      </c>
      <c r="I54" t="s">
        <v>336</v>
      </c>
      <c r="N54">
        <v>43.183399999999999</v>
      </c>
      <c r="O54">
        <v>-89.763300000000001</v>
      </c>
      <c r="P54" t="s">
        <v>100</v>
      </c>
      <c r="Q54" t="s">
        <v>95</v>
      </c>
      <c r="R54" t="s">
        <v>337</v>
      </c>
      <c r="S54" t="s">
        <v>96</v>
      </c>
      <c r="V54">
        <v>16</v>
      </c>
      <c r="W54" t="s">
        <v>338</v>
      </c>
      <c r="X54">
        <v>500</v>
      </c>
      <c r="Y54">
        <v>10</v>
      </c>
      <c r="Z54" s="4">
        <v>1E-3</v>
      </c>
      <c r="AA54">
        <v>20</v>
      </c>
      <c r="AB54">
        <v>100</v>
      </c>
      <c r="AC54" s="3">
        <v>0.5</v>
      </c>
      <c r="AD54">
        <v>0.05</v>
      </c>
      <c r="AE54" t="s">
        <v>104</v>
      </c>
      <c r="AF54" t="s">
        <v>337</v>
      </c>
      <c r="AG54" t="s">
        <v>111</v>
      </c>
    </row>
    <row r="55" spans="1:33" x14ac:dyDescent="0.2">
      <c r="A55" s="2">
        <v>45009.508715277778</v>
      </c>
      <c r="B55" s="2">
        <v>45009.51253472222</v>
      </c>
      <c r="C55" t="s">
        <v>36</v>
      </c>
      <c r="D55" t="s">
        <v>339</v>
      </c>
      <c r="E55">
        <v>100</v>
      </c>
      <c r="F55">
        <v>330</v>
      </c>
      <c r="G55" t="b">
        <v>1</v>
      </c>
      <c r="H55" s="2">
        <v>45009.512546296297</v>
      </c>
      <c r="I55" t="s">
        <v>340</v>
      </c>
      <c r="N55">
        <v>21.313300000000002</v>
      </c>
      <c r="O55">
        <v>-157.82300000000001</v>
      </c>
      <c r="P55" t="s">
        <v>100</v>
      </c>
      <c r="Q55" t="s">
        <v>95</v>
      </c>
      <c r="R55" t="s">
        <v>341</v>
      </c>
      <c r="S55" t="s">
        <v>96</v>
      </c>
      <c r="V55">
        <v>90</v>
      </c>
      <c r="W55" t="s">
        <v>342</v>
      </c>
      <c r="X55">
        <v>40</v>
      </c>
      <c r="Y55">
        <v>10</v>
      </c>
      <c r="Z55" s="3">
        <v>0.01</v>
      </c>
      <c r="AA55">
        <v>20</v>
      </c>
      <c r="AB55">
        <v>100</v>
      </c>
      <c r="AC55" s="3">
        <v>0.1</v>
      </c>
      <c r="AD55">
        <v>0.1</v>
      </c>
      <c r="AE55" t="s">
        <v>330</v>
      </c>
      <c r="AF55" t="s">
        <v>341</v>
      </c>
      <c r="AG55" t="s">
        <v>105</v>
      </c>
    </row>
    <row r="56" spans="1:33" x14ac:dyDescent="0.2">
      <c r="A56" s="2">
        <v>45009.497673611113</v>
      </c>
      <c r="B56" s="2">
        <v>45009.512638888889</v>
      </c>
      <c r="C56" t="s">
        <v>36</v>
      </c>
      <c r="D56" t="s">
        <v>343</v>
      </c>
      <c r="E56">
        <v>100</v>
      </c>
      <c r="F56">
        <v>1292</v>
      </c>
      <c r="G56" t="b">
        <v>1</v>
      </c>
      <c r="H56" s="2">
        <v>45009.512638888889</v>
      </c>
      <c r="I56" t="s">
        <v>344</v>
      </c>
      <c r="N56">
        <v>37.750999999999998</v>
      </c>
      <c r="O56">
        <v>-97.822000000000003</v>
      </c>
      <c r="P56" t="s">
        <v>100</v>
      </c>
      <c r="Q56" t="s">
        <v>95</v>
      </c>
      <c r="R56" t="s">
        <v>345</v>
      </c>
      <c r="S56" t="s">
        <v>96</v>
      </c>
      <c r="V56">
        <v>25</v>
      </c>
      <c r="W56" t="s">
        <v>346</v>
      </c>
      <c r="X56">
        <v>500</v>
      </c>
      <c r="Y56">
        <v>1</v>
      </c>
      <c r="Z56">
        <v>0.1</v>
      </c>
      <c r="AA56">
        <v>20</v>
      </c>
      <c r="AB56">
        <v>200</v>
      </c>
      <c r="AC56">
        <v>10</v>
      </c>
      <c r="AD56">
        <v>0.1</v>
      </c>
      <c r="AE56">
        <v>100</v>
      </c>
      <c r="AF56" t="s">
        <v>345</v>
      </c>
      <c r="AG56" t="s">
        <v>111</v>
      </c>
    </row>
    <row r="57" spans="1:33" x14ac:dyDescent="0.2">
      <c r="A57" s="2">
        <v>45009.507881944446</v>
      </c>
      <c r="B57" s="2">
        <v>45009.512777777774</v>
      </c>
      <c r="C57" t="s">
        <v>36</v>
      </c>
      <c r="D57" t="s">
        <v>347</v>
      </c>
      <c r="E57">
        <v>100</v>
      </c>
      <c r="F57">
        <v>423</v>
      </c>
      <c r="G57" t="b">
        <v>1</v>
      </c>
      <c r="H57" s="2">
        <v>45009.512777777774</v>
      </c>
      <c r="I57" t="s">
        <v>348</v>
      </c>
      <c r="N57">
        <v>33.4512</v>
      </c>
      <c r="O57">
        <v>-112.08759999999999</v>
      </c>
      <c r="P57" t="s">
        <v>100</v>
      </c>
      <c r="Q57" t="s">
        <v>95</v>
      </c>
      <c r="R57" t="s">
        <v>349</v>
      </c>
      <c r="S57" t="s">
        <v>96</v>
      </c>
      <c r="V57">
        <v>13</v>
      </c>
      <c r="W57" t="s">
        <v>350</v>
      </c>
      <c r="X57">
        <v>500</v>
      </c>
      <c r="Y57">
        <v>0</v>
      </c>
      <c r="Z57">
        <v>0.01</v>
      </c>
      <c r="AA57">
        <v>20</v>
      </c>
      <c r="AB57">
        <v>100</v>
      </c>
      <c r="AC57" t="s">
        <v>351</v>
      </c>
      <c r="AD57">
        <v>0.1</v>
      </c>
      <c r="AE57">
        <v>5</v>
      </c>
      <c r="AF57" t="s">
        <v>349</v>
      </c>
      <c r="AG57" t="s">
        <v>111</v>
      </c>
    </row>
    <row r="58" spans="1:33" x14ac:dyDescent="0.2">
      <c r="A58" s="2">
        <v>45009.506967592592</v>
      </c>
      <c r="B58" s="2">
        <v>45009.512812499997</v>
      </c>
      <c r="C58" t="s">
        <v>36</v>
      </c>
      <c r="D58" t="s">
        <v>352</v>
      </c>
      <c r="E58">
        <v>100</v>
      </c>
      <c r="F58">
        <v>505</v>
      </c>
      <c r="G58" t="b">
        <v>1</v>
      </c>
      <c r="H58" s="2">
        <v>45009.512824074074</v>
      </c>
      <c r="I58" t="s">
        <v>353</v>
      </c>
      <c r="N58">
        <v>30.2881</v>
      </c>
      <c r="O58">
        <v>-97.763999999999996</v>
      </c>
      <c r="P58" t="s">
        <v>100</v>
      </c>
      <c r="Q58" t="s">
        <v>95</v>
      </c>
      <c r="R58" t="s">
        <v>354</v>
      </c>
      <c r="S58" t="s">
        <v>96</v>
      </c>
      <c r="V58">
        <v>75</v>
      </c>
      <c r="W58" t="s">
        <v>355</v>
      </c>
      <c r="X58">
        <v>500</v>
      </c>
      <c r="Y58">
        <v>10</v>
      </c>
      <c r="Z58">
        <v>0.1</v>
      </c>
      <c r="AA58">
        <v>20</v>
      </c>
      <c r="AB58">
        <v>100</v>
      </c>
      <c r="AC58" s="3">
        <v>0.5</v>
      </c>
      <c r="AD58" s="5">
        <v>0.05</v>
      </c>
      <c r="AE58" t="s">
        <v>104</v>
      </c>
      <c r="AF58" t="s">
        <v>354</v>
      </c>
      <c r="AG58" t="s">
        <v>105</v>
      </c>
    </row>
    <row r="59" spans="1:33" x14ac:dyDescent="0.2">
      <c r="A59" s="2">
        <v>45009.508981481478</v>
      </c>
      <c r="B59" s="2">
        <v>45009.512997685182</v>
      </c>
      <c r="C59" t="s">
        <v>36</v>
      </c>
      <c r="D59" t="s">
        <v>356</v>
      </c>
      <c r="E59">
        <v>100</v>
      </c>
      <c r="F59">
        <v>346</v>
      </c>
      <c r="G59" t="b">
        <v>1</v>
      </c>
      <c r="H59" s="2">
        <v>45009.513009259259</v>
      </c>
      <c r="I59" t="s">
        <v>357</v>
      </c>
      <c r="N59">
        <v>33.808100000000003</v>
      </c>
      <c r="O59">
        <v>-85.785200000000003</v>
      </c>
      <c r="P59" t="s">
        <v>100</v>
      </c>
      <c r="Q59" t="s">
        <v>95</v>
      </c>
      <c r="R59" t="s">
        <v>358</v>
      </c>
      <c r="S59" t="s">
        <v>96</v>
      </c>
      <c r="V59">
        <v>100</v>
      </c>
      <c r="W59" t="s">
        <v>359</v>
      </c>
      <c r="X59">
        <v>500</v>
      </c>
      <c r="Y59">
        <v>10</v>
      </c>
      <c r="Z59">
        <v>1E-3</v>
      </c>
      <c r="AA59">
        <v>20</v>
      </c>
      <c r="AB59">
        <v>100</v>
      </c>
      <c r="AC59" s="3">
        <v>0.5</v>
      </c>
      <c r="AD59" t="s">
        <v>297</v>
      </c>
      <c r="AE59" t="s">
        <v>266</v>
      </c>
      <c r="AF59" t="s">
        <v>358</v>
      </c>
      <c r="AG59" t="s">
        <v>105</v>
      </c>
    </row>
    <row r="60" spans="1:33" x14ac:dyDescent="0.2">
      <c r="A60" s="2">
        <v>45009.508634259262</v>
      </c>
      <c r="B60" s="2">
        <v>45009.513043981482</v>
      </c>
      <c r="C60" t="s">
        <v>36</v>
      </c>
      <c r="D60" t="s">
        <v>360</v>
      </c>
      <c r="E60">
        <v>100</v>
      </c>
      <c r="F60">
        <v>381</v>
      </c>
      <c r="G60" t="b">
        <v>1</v>
      </c>
      <c r="H60" s="2">
        <v>45009.513055555559</v>
      </c>
      <c r="I60" t="s">
        <v>361</v>
      </c>
      <c r="N60">
        <v>32.478299999999997</v>
      </c>
      <c r="O60">
        <v>-84.898499999999999</v>
      </c>
      <c r="P60" t="s">
        <v>100</v>
      </c>
      <c r="Q60" t="s">
        <v>95</v>
      </c>
      <c r="R60" t="s">
        <v>362</v>
      </c>
      <c r="S60" t="s">
        <v>96</v>
      </c>
      <c r="V60">
        <v>79</v>
      </c>
      <c r="W60" t="s">
        <v>363</v>
      </c>
      <c r="X60">
        <v>500</v>
      </c>
      <c r="Y60">
        <v>10</v>
      </c>
      <c r="Z60">
        <v>0.1</v>
      </c>
      <c r="AA60">
        <v>20</v>
      </c>
      <c r="AB60">
        <v>100</v>
      </c>
      <c r="AC60">
        <v>50</v>
      </c>
      <c r="AD60">
        <v>0.05</v>
      </c>
      <c r="AE60">
        <v>5</v>
      </c>
      <c r="AF60" t="s">
        <v>362</v>
      </c>
      <c r="AG60" t="s">
        <v>105</v>
      </c>
    </row>
    <row r="61" spans="1:33" x14ac:dyDescent="0.2">
      <c r="A61" s="2">
        <v>45009.509409722225</v>
      </c>
      <c r="B61" s="2">
        <v>45009.513067129628</v>
      </c>
      <c r="C61" t="s">
        <v>36</v>
      </c>
      <c r="D61" t="s">
        <v>364</v>
      </c>
      <c r="E61">
        <v>100</v>
      </c>
      <c r="F61">
        <v>316</v>
      </c>
      <c r="G61" t="b">
        <v>1</v>
      </c>
      <c r="H61" s="2">
        <v>45009.513078703705</v>
      </c>
      <c r="I61" t="s">
        <v>365</v>
      </c>
      <c r="N61">
        <v>35.106299999999997</v>
      </c>
      <c r="O61">
        <v>-114.5925</v>
      </c>
      <c r="P61" t="s">
        <v>100</v>
      </c>
      <c r="Q61" t="s">
        <v>95</v>
      </c>
      <c r="R61" t="s">
        <v>366</v>
      </c>
      <c r="S61" t="s">
        <v>96</v>
      </c>
      <c r="V61">
        <v>80</v>
      </c>
      <c r="W61" t="s">
        <v>367</v>
      </c>
      <c r="X61">
        <v>500</v>
      </c>
      <c r="Y61">
        <v>10</v>
      </c>
      <c r="Z61">
        <v>0.1</v>
      </c>
      <c r="AA61">
        <v>20</v>
      </c>
      <c r="AB61">
        <v>10</v>
      </c>
      <c r="AC61" s="3">
        <v>0.5</v>
      </c>
      <c r="AD61">
        <v>1.05</v>
      </c>
      <c r="AE61" t="s">
        <v>104</v>
      </c>
      <c r="AF61" t="s">
        <v>366</v>
      </c>
      <c r="AG61" t="s">
        <v>105</v>
      </c>
    </row>
    <row r="62" spans="1:33" x14ac:dyDescent="0.2">
      <c r="A62" s="2">
        <v>45009.508773148147</v>
      </c>
      <c r="B62" s="2">
        <v>45009.513101851851</v>
      </c>
      <c r="C62" t="s">
        <v>36</v>
      </c>
      <c r="D62" t="s">
        <v>368</v>
      </c>
      <c r="E62">
        <v>100</v>
      </c>
      <c r="F62">
        <v>373</v>
      </c>
      <c r="G62" t="b">
        <v>1</v>
      </c>
      <c r="H62" s="2">
        <v>45009.513101851851</v>
      </c>
      <c r="I62" t="s">
        <v>369</v>
      </c>
      <c r="N62">
        <v>34.054400000000001</v>
      </c>
      <c r="O62">
        <v>-118.244</v>
      </c>
      <c r="P62" t="s">
        <v>100</v>
      </c>
      <c r="Q62" t="s">
        <v>95</v>
      </c>
      <c r="R62" t="s">
        <v>370</v>
      </c>
      <c r="S62" t="s">
        <v>96</v>
      </c>
      <c r="T62">
        <v>37</v>
      </c>
      <c r="U62" s="3">
        <v>0.15</v>
      </c>
      <c r="V62">
        <v>57</v>
      </c>
      <c r="W62" t="s">
        <v>371</v>
      </c>
      <c r="X62">
        <v>500</v>
      </c>
      <c r="Y62">
        <v>10</v>
      </c>
      <c r="Z62">
        <v>0.01</v>
      </c>
      <c r="AA62">
        <v>20</v>
      </c>
      <c r="AB62">
        <v>10</v>
      </c>
      <c r="AC62" s="3">
        <v>0.1</v>
      </c>
      <c r="AD62">
        <v>1.05</v>
      </c>
      <c r="AE62" t="s">
        <v>104</v>
      </c>
      <c r="AF62" t="s">
        <v>370</v>
      </c>
      <c r="AG62" t="s">
        <v>125</v>
      </c>
    </row>
    <row r="63" spans="1:33" x14ac:dyDescent="0.2">
      <c r="A63" s="2">
        <v>45009.506712962961</v>
      </c>
      <c r="B63" s="2">
        <v>45009.513113425928</v>
      </c>
      <c r="C63" t="s">
        <v>36</v>
      </c>
      <c r="D63" t="s">
        <v>372</v>
      </c>
      <c r="E63">
        <v>100</v>
      </c>
      <c r="F63">
        <v>552</v>
      </c>
      <c r="G63" t="b">
        <v>1</v>
      </c>
      <c r="H63" s="2">
        <v>45009.513113425928</v>
      </c>
      <c r="I63" t="s">
        <v>373</v>
      </c>
      <c r="N63">
        <v>39.0169</v>
      </c>
      <c r="O63">
        <v>-94.313699999999997</v>
      </c>
      <c r="P63" t="s">
        <v>100</v>
      </c>
      <c r="Q63" t="s">
        <v>95</v>
      </c>
      <c r="R63" t="s">
        <v>374</v>
      </c>
      <c r="S63" t="s">
        <v>96</v>
      </c>
      <c r="V63">
        <v>80</v>
      </c>
      <c r="W63" t="s">
        <v>375</v>
      </c>
      <c r="X63">
        <v>500</v>
      </c>
      <c r="Y63">
        <v>10</v>
      </c>
      <c r="Z63">
        <v>0.1</v>
      </c>
      <c r="AA63">
        <v>20</v>
      </c>
      <c r="AB63">
        <v>100</v>
      </c>
      <c r="AC63" s="4">
        <v>0.98799999999999999</v>
      </c>
      <c r="AD63" t="s">
        <v>159</v>
      </c>
      <c r="AE63" t="s">
        <v>104</v>
      </c>
      <c r="AF63" t="s">
        <v>374</v>
      </c>
      <c r="AG63" t="s">
        <v>105</v>
      </c>
    </row>
    <row r="64" spans="1:33" x14ac:dyDescent="0.2">
      <c r="A64" s="2">
        <v>45009.508831018517</v>
      </c>
      <c r="B64" s="2">
        <v>45009.513240740744</v>
      </c>
      <c r="C64" t="s">
        <v>36</v>
      </c>
      <c r="D64" t="s">
        <v>376</v>
      </c>
      <c r="E64">
        <v>100</v>
      </c>
      <c r="F64">
        <v>381</v>
      </c>
      <c r="G64" t="b">
        <v>1</v>
      </c>
      <c r="H64" s="2">
        <v>45009.513252314813</v>
      </c>
      <c r="I64" t="s">
        <v>377</v>
      </c>
      <c r="N64">
        <v>36.052700000000002</v>
      </c>
      <c r="O64">
        <v>-85.013800000000003</v>
      </c>
      <c r="P64" t="s">
        <v>100</v>
      </c>
      <c r="Q64" t="s">
        <v>95</v>
      </c>
      <c r="R64" t="s">
        <v>378</v>
      </c>
      <c r="S64" t="s">
        <v>96</v>
      </c>
      <c r="V64">
        <v>85</v>
      </c>
      <c r="W64" t="s">
        <v>379</v>
      </c>
      <c r="X64">
        <v>500</v>
      </c>
      <c r="Y64">
        <v>10</v>
      </c>
      <c r="Z64">
        <v>0.1</v>
      </c>
      <c r="AA64">
        <v>20</v>
      </c>
      <c r="AB64">
        <v>100</v>
      </c>
      <c r="AC64" t="s">
        <v>380</v>
      </c>
      <c r="AD64">
        <v>0.05</v>
      </c>
      <c r="AE64">
        <v>5</v>
      </c>
      <c r="AF64" t="s">
        <v>378</v>
      </c>
      <c r="AG64" t="s">
        <v>97</v>
      </c>
    </row>
    <row r="65" spans="1:33" x14ac:dyDescent="0.2">
      <c r="A65" s="2">
        <v>45009.509259259263</v>
      </c>
      <c r="B65" s="2">
        <v>45009.51326388889</v>
      </c>
      <c r="C65" t="s">
        <v>36</v>
      </c>
      <c r="D65" t="s">
        <v>381</v>
      </c>
      <c r="E65">
        <v>100</v>
      </c>
      <c r="F65">
        <v>345</v>
      </c>
      <c r="G65" t="b">
        <v>1</v>
      </c>
      <c r="H65" s="2">
        <v>45009.51326388889</v>
      </c>
      <c r="I65" t="s">
        <v>382</v>
      </c>
      <c r="N65">
        <v>36.732799999999997</v>
      </c>
      <c r="O65">
        <v>-76.589799999999997</v>
      </c>
      <c r="P65" t="s">
        <v>100</v>
      </c>
      <c r="Q65" t="s">
        <v>95</v>
      </c>
      <c r="R65" t="s">
        <v>383</v>
      </c>
      <c r="S65" t="s">
        <v>96</v>
      </c>
      <c r="V65">
        <v>27</v>
      </c>
      <c r="W65" t="s">
        <v>384</v>
      </c>
      <c r="X65">
        <v>500</v>
      </c>
      <c r="Y65">
        <v>10</v>
      </c>
      <c r="Z65">
        <v>0.1</v>
      </c>
      <c r="AA65">
        <v>20</v>
      </c>
      <c r="AB65">
        <v>100</v>
      </c>
      <c r="AC65" t="s">
        <v>385</v>
      </c>
      <c r="AD65">
        <v>0.1</v>
      </c>
      <c r="AE65" t="s">
        <v>104</v>
      </c>
      <c r="AF65" t="s">
        <v>383</v>
      </c>
      <c r="AG65" t="s">
        <v>111</v>
      </c>
    </row>
    <row r="66" spans="1:33" x14ac:dyDescent="0.2">
      <c r="A66" s="2">
        <v>45009.509467592594</v>
      </c>
      <c r="B66" s="2">
        <v>45009.513333333336</v>
      </c>
      <c r="C66" t="s">
        <v>36</v>
      </c>
      <c r="D66" t="s">
        <v>386</v>
      </c>
      <c r="E66">
        <v>100</v>
      </c>
      <c r="F66">
        <v>333</v>
      </c>
      <c r="G66" t="b">
        <v>1</v>
      </c>
      <c r="H66" s="2">
        <v>45009.513333333336</v>
      </c>
      <c r="I66" t="s">
        <v>387</v>
      </c>
      <c r="N66">
        <v>33.587899999999998</v>
      </c>
      <c r="O66">
        <v>-117.6974</v>
      </c>
      <c r="P66" t="s">
        <v>100</v>
      </c>
      <c r="Q66" t="s">
        <v>95</v>
      </c>
      <c r="R66" t="s">
        <v>388</v>
      </c>
      <c r="S66" t="s">
        <v>96</v>
      </c>
      <c r="V66">
        <v>10</v>
      </c>
      <c r="W66" t="s">
        <v>389</v>
      </c>
      <c r="X66">
        <v>500</v>
      </c>
      <c r="Y66">
        <v>10</v>
      </c>
      <c r="Z66">
        <v>0.1</v>
      </c>
      <c r="AA66">
        <v>20</v>
      </c>
      <c r="AB66">
        <v>100</v>
      </c>
      <c r="AC66" s="3">
        <v>0.5</v>
      </c>
      <c r="AD66">
        <v>0.05</v>
      </c>
      <c r="AE66">
        <v>5</v>
      </c>
      <c r="AF66" t="s">
        <v>388</v>
      </c>
      <c r="AG66" t="s">
        <v>97</v>
      </c>
    </row>
    <row r="67" spans="1:33" x14ac:dyDescent="0.2">
      <c r="A67" s="2">
        <v>45009.510381944441</v>
      </c>
      <c r="B67" s="2">
        <v>45009.513379629629</v>
      </c>
      <c r="C67" t="s">
        <v>36</v>
      </c>
      <c r="D67" t="s">
        <v>390</v>
      </c>
      <c r="E67">
        <v>100</v>
      </c>
      <c r="F67">
        <v>259</v>
      </c>
      <c r="G67" t="b">
        <v>1</v>
      </c>
      <c r="H67" s="2">
        <v>45009.513379629629</v>
      </c>
      <c r="I67" t="s">
        <v>391</v>
      </c>
      <c r="N67">
        <v>34.206899999999997</v>
      </c>
      <c r="O67">
        <v>-79.255700000000004</v>
      </c>
      <c r="P67" t="s">
        <v>100</v>
      </c>
      <c r="Q67" t="s">
        <v>95</v>
      </c>
      <c r="R67" t="s">
        <v>392</v>
      </c>
      <c r="S67" t="s">
        <v>96</v>
      </c>
      <c r="V67">
        <v>40</v>
      </c>
      <c r="W67" t="s">
        <v>393</v>
      </c>
      <c r="X67">
        <v>50010</v>
      </c>
      <c r="Y67">
        <v>10</v>
      </c>
      <c r="Z67">
        <v>0.1</v>
      </c>
      <c r="AA67">
        <v>20</v>
      </c>
      <c r="AB67">
        <v>100</v>
      </c>
      <c r="AC67">
        <v>9</v>
      </c>
      <c r="AD67">
        <v>0.10100000000000001</v>
      </c>
      <c r="AE67">
        <v>100</v>
      </c>
      <c r="AF67" t="s">
        <v>392</v>
      </c>
      <c r="AG67" t="s">
        <v>111</v>
      </c>
    </row>
    <row r="68" spans="1:33" x14ac:dyDescent="0.2">
      <c r="A68" s="2">
        <v>45009.510937500003</v>
      </c>
      <c r="B68" s="2">
        <v>45009.513425925928</v>
      </c>
      <c r="C68" t="s">
        <v>36</v>
      </c>
      <c r="D68" t="s">
        <v>394</v>
      </c>
      <c r="E68">
        <v>100</v>
      </c>
      <c r="F68">
        <v>214</v>
      </c>
      <c r="G68" t="b">
        <v>1</v>
      </c>
      <c r="H68" s="2">
        <v>45009.513425925928</v>
      </c>
      <c r="I68" t="s">
        <v>395</v>
      </c>
      <c r="N68">
        <v>38.628700000000002</v>
      </c>
      <c r="O68">
        <v>-90.198800000000006</v>
      </c>
      <c r="P68" t="s">
        <v>100</v>
      </c>
      <c r="Q68" t="s">
        <v>95</v>
      </c>
      <c r="R68" t="s">
        <v>396</v>
      </c>
      <c r="S68" t="s">
        <v>96</v>
      </c>
      <c r="V68">
        <v>76</v>
      </c>
      <c r="W68" t="s">
        <v>397</v>
      </c>
      <c r="X68">
        <v>500</v>
      </c>
      <c r="Y68">
        <v>10</v>
      </c>
      <c r="Z68">
        <v>0.1</v>
      </c>
      <c r="AA68">
        <v>20</v>
      </c>
      <c r="AB68">
        <v>10</v>
      </c>
      <c r="AC68">
        <v>50</v>
      </c>
      <c r="AD68">
        <v>0.05</v>
      </c>
      <c r="AE68" t="s">
        <v>104</v>
      </c>
      <c r="AF68" t="s">
        <v>396</v>
      </c>
      <c r="AG68" t="s">
        <v>97</v>
      </c>
    </row>
    <row r="69" spans="1:33" x14ac:dyDescent="0.2">
      <c r="A69" s="2">
        <v>45009.508472222224</v>
      </c>
      <c r="B69" s="2">
        <v>45009.513437499998</v>
      </c>
      <c r="C69" t="s">
        <v>36</v>
      </c>
      <c r="D69" t="s">
        <v>398</v>
      </c>
      <c r="E69">
        <v>100</v>
      </c>
      <c r="F69">
        <v>429</v>
      </c>
      <c r="G69" t="b">
        <v>1</v>
      </c>
      <c r="H69" s="2">
        <v>45009.513449074075</v>
      </c>
      <c r="I69" t="s">
        <v>399</v>
      </c>
      <c r="N69">
        <v>40.113700000000001</v>
      </c>
      <c r="O69">
        <v>-74.859899999999996</v>
      </c>
      <c r="P69" t="s">
        <v>100</v>
      </c>
      <c r="Q69" t="s">
        <v>95</v>
      </c>
      <c r="R69" t="s">
        <v>400</v>
      </c>
      <c r="S69" t="s">
        <v>96</v>
      </c>
      <c r="T69">
        <v>42</v>
      </c>
      <c r="U69" t="s">
        <v>401</v>
      </c>
      <c r="V69">
        <v>31</v>
      </c>
      <c r="W69" t="s">
        <v>402</v>
      </c>
      <c r="X69">
        <v>521</v>
      </c>
      <c r="Y69">
        <v>10</v>
      </c>
      <c r="Z69">
        <v>1</v>
      </c>
      <c r="AA69">
        <v>20</v>
      </c>
      <c r="AB69">
        <v>100</v>
      </c>
      <c r="AC69">
        <v>9</v>
      </c>
      <c r="AD69">
        <v>0.1</v>
      </c>
      <c r="AE69">
        <v>100</v>
      </c>
      <c r="AF69" t="s">
        <v>400</v>
      </c>
      <c r="AG69" t="s">
        <v>125</v>
      </c>
    </row>
    <row r="70" spans="1:33" x14ac:dyDescent="0.2">
      <c r="A70" s="2">
        <v>45009.509791666664</v>
      </c>
      <c r="B70" s="2">
        <v>45009.513506944444</v>
      </c>
      <c r="C70" t="s">
        <v>36</v>
      </c>
      <c r="D70" t="s">
        <v>403</v>
      </c>
      <c r="E70">
        <v>100</v>
      </c>
      <c r="F70">
        <v>321</v>
      </c>
      <c r="G70" t="b">
        <v>1</v>
      </c>
      <c r="H70" s="2">
        <v>45009.513506944444</v>
      </c>
      <c r="I70" t="s">
        <v>404</v>
      </c>
      <c r="N70">
        <v>37.580500000000001</v>
      </c>
      <c r="O70">
        <v>-77.520899999999997</v>
      </c>
      <c r="P70" t="s">
        <v>100</v>
      </c>
      <c r="Q70" t="s">
        <v>95</v>
      </c>
      <c r="R70" t="s">
        <v>405</v>
      </c>
      <c r="S70" t="s">
        <v>96</v>
      </c>
      <c r="V70">
        <v>80</v>
      </c>
      <c r="W70" t="s">
        <v>406</v>
      </c>
      <c r="X70">
        <v>500</v>
      </c>
      <c r="Y70">
        <v>10</v>
      </c>
      <c r="Z70">
        <v>1</v>
      </c>
      <c r="AA70">
        <v>20</v>
      </c>
      <c r="AB70">
        <v>100</v>
      </c>
      <c r="AC70">
        <v>10</v>
      </c>
      <c r="AD70">
        <v>0.05</v>
      </c>
      <c r="AE70">
        <v>5</v>
      </c>
      <c r="AF70" t="s">
        <v>405</v>
      </c>
      <c r="AG70" t="s">
        <v>105</v>
      </c>
    </row>
    <row r="71" spans="1:33" x14ac:dyDescent="0.2">
      <c r="A71" s="2">
        <v>45009.509918981479</v>
      </c>
      <c r="B71" s="2">
        <v>45009.513564814813</v>
      </c>
      <c r="C71" t="s">
        <v>36</v>
      </c>
      <c r="D71" t="s">
        <v>407</v>
      </c>
      <c r="E71">
        <v>100</v>
      </c>
      <c r="F71">
        <v>315</v>
      </c>
      <c r="G71" t="b">
        <v>1</v>
      </c>
      <c r="H71" s="2">
        <v>45009.51357638889</v>
      </c>
      <c r="I71" t="s">
        <v>408</v>
      </c>
      <c r="N71">
        <v>45.5428</v>
      </c>
      <c r="O71">
        <v>-94.187100000000001</v>
      </c>
      <c r="P71" t="s">
        <v>100</v>
      </c>
      <c r="Q71" t="s">
        <v>95</v>
      </c>
      <c r="R71" t="s">
        <v>409</v>
      </c>
      <c r="S71" t="s">
        <v>96</v>
      </c>
      <c r="T71">
        <v>70</v>
      </c>
      <c r="V71">
        <v>65</v>
      </c>
      <c r="W71" t="s">
        <v>410</v>
      </c>
      <c r="X71">
        <v>500</v>
      </c>
      <c r="Y71">
        <v>10</v>
      </c>
      <c r="Z71" s="4">
        <v>1E-3</v>
      </c>
      <c r="AA71">
        <v>20</v>
      </c>
      <c r="AB71">
        <v>100</v>
      </c>
      <c r="AC71" s="3">
        <v>0.5</v>
      </c>
      <c r="AD71" s="5">
        <v>0.05</v>
      </c>
      <c r="AE71" t="s">
        <v>104</v>
      </c>
      <c r="AF71" t="s">
        <v>409</v>
      </c>
      <c r="AG71" t="s">
        <v>125</v>
      </c>
    </row>
    <row r="72" spans="1:33" x14ac:dyDescent="0.2">
      <c r="A72" s="2">
        <v>45009.505555555559</v>
      </c>
      <c r="B72" s="2">
        <v>45009.513680555552</v>
      </c>
      <c r="C72" t="s">
        <v>36</v>
      </c>
      <c r="D72" t="s">
        <v>411</v>
      </c>
      <c r="E72">
        <v>100</v>
      </c>
      <c r="F72">
        <v>701</v>
      </c>
      <c r="G72" t="b">
        <v>1</v>
      </c>
      <c r="H72" s="2">
        <v>45009.513680555552</v>
      </c>
      <c r="I72" t="s">
        <v>412</v>
      </c>
      <c r="N72">
        <v>40.9285</v>
      </c>
      <c r="O72">
        <v>-73.828199999999995</v>
      </c>
      <c r="P72" t="s">
        <v>100</v>
      </c>
      <c r="Q72" t="s">
        <v>95</v>
      </c>
      <c r="R72" t="s">
        <v>413</v>
      </c>
      <c r="S72" t="s">
        <v>96</v>
      </c>
      <c r="V72">
        <v>100</v>
      </c>
      <c r="W72" t="s">
        <v>414</v>
      </c>
      <c r="X72" t="s">
        <v>415</v>
      </c>
      <c r="Y72">
        <v>10</v>
      </c>
      <c r="Z72">
        <v>1</v>
      </c>
      <c r="AA72">
        <v>40</v>
      </c>
      <c r="AB72">
        <v>100</v>
      </c>
      <c r="AC72" t="s">
        <v>165</v>
      </c>
      <c r="AD72">
        <v>0.08</v>
      </c>
      <c r="AE72" t="s">
        <v>416</v>
      </c>
      <c r="AF72" t="s">
        <v>413</v>
      </c>
      <c r="AG72" t="s">
        <v>105</v>
      </c>
    </row>
    <row r="73" spans="1:33" x14ac:dyDescent="0.2">
      <c r="A73" s="2">
        <v>45009.509710648148</v>
      </c>
      <c r="B73" s="2">
        <v>45009.513703703706</v>
      </c>
      <c r="C73" t="s">
        <v>36</v>
      </c>
      <c r="D73" t="s">
        <v>417</v>
      </c>
      <c r="E73">
        <v>100</v>
      </c>
      <c r="F73">
        <v>345</v>
      </c>
      <c r="G73" t="b">
        <v>1</v>
      </c>
      <c r="H73" s="2">
        <v>45009.513703703706</v>
      </c>
      <c r="I73" t="s">
        <v>418</v>
      </c>
      <c r="N73">
        <v>29.555399999999999</v>
      </c>
      <c r="O73">
        <v>-81.220699999999994</v>
      </c>
      <c r="P73" t="s">
        <v>100</v>
      </c>
      <c r="Q73" t="s">
        <v>95</v>
      </c>
      <c r="R73" t="s">
        <v>419</v>
      </c>
      <c r="S73" t="s">
        <v>96</v>
      </c>
      <c r="T73">
        <v>70</v>
      </c>
      <c r="V73">
        <v>80</v>
      </c>
      <c r="W73" t="s">
        <v>420</v>
      </c>
      <c r="X73">
        <v>500</v>
      </c>
      <c r="Y73">
        <v>10</v>
      </c>
      <c r="Z73">
        <v>1E-3</v>
      </c>
      <c r="AA73">
        <v>20</v>
      </c>
      <c r="AB73">
        <v>100</v>
      </c>
      <c r="AC73" s="3">
        <v>0.09</v>
      </c>
      <c r="AD73">
        <v>0.05</v>
      </c>
      <c r="AE73" t="s">
        <v>104</v>
      </c>
      <c r="AF73" t="s">
        <v>419</v>
      </c>
      <c r="AG73" t="s">
        <v>125</v>
      </c>
    </row>
    <row r="74" spans="1:33" x14ac:dyDescent="0.2">
      <c r="A74" s="2">
        <v>45009.511643518519</v>
      </c>
      <c r="B74" s="2">
        <v>45009.513738425929</v>
      </c>
      <c r="C74" t="s">
        <v>36</v>
      </c>
      <c r="D74" t="s">
        <v>421</v>
      </c>
      <c r="E74">
        <v>100</v>
      </c>
      <c r="F74">
        <v>181</v>
      </c>
      <c r="G74" t="b">
        <v>1</v>
      </c>
      <c r="H74" s="2">
        <v>45009.513749999998</v>
      </c>
      <c r="I74" t="s">
        <v>422</v>
      </c>
      <c r="N74">
        <v>41.578200000000002</v>
      </c>
      <c r="O74">
        <v>-73.415000000000006</v>
      </c>
      <c r="P74" t="s">
        <v>100</v>
      </c>
      <c r="Q74" t="s">
        <v>95</v>
      </c>
      <c r="R74" t="s">
        <v>423</v>
      </c>
      <c r="S74" t="s">
        <v>96</v>
      </c>
      <c r="V74">
        <v>81</v>
      </c>
      <c r="W74" t="s">
        <v>424</v>
      </c>
      <c r="X74">
        <v>500</v>
      </c>
      <c r="Y74">
        <v>10</v>
      </c>
      <c r="Z74" s="4">
        <v>1E-3</v>
      </c>
      <c r="AA74">
        <v>20</v>
      </c>
      <c r="AB74">
        <v>100</v>
      </c>
      <c r="AC74">
        <v>50</v>
      </c>
      <c r="AD74" t="s">
        <v>425</v>
      </c>
      <c r="AE74" t="s">
        <v>426</v>
      </c>
      <c r="AF74" t="s">
        <v>423</v>
      </c>
      <c r="AG74" t="s">
        <v>97</v>
      </c>
    </row>
    <row r="75" spans="1:33" x14ac:dyDescent="0.2">
      <c r="A75" s="2">
        <v>45009.507557870369</v>
      </c>
      <c r="B75" s="2">
        <v>45009.513807870368</v>
      </c>
      <c r="C75" t="s">
        <v>36</v>
      </c>
      <c r="D75" t="s">
        <v>427</v>
      </c>
      <c r="E75">
        <v>100</v>
      </c>
      <c r="F75">
        <v>540</v>
      </c>
      <c r="G75" t="b">
        <v>1</v>
      </c>
      <c r="H75" s="2">
        <v>45009.513819444444</v>
      </c>
      <c r="I75" t="s">
        <v>428</v>
      </c>
      <c r="N75">
        <v>39.884</v>
      </c>
      <c r="O75">
        <v>-74.972099999999998</v>
      </c>
      <c r="P75" t="s">
        <v>100</v>
      </c>
      <c r="Q75" t="s">
        <v>95</v>
      </c>
      <c r="R75" t="s">
        <v>429</v>
      </c>
      <c r="S75" t="s">
        <v>96</v>
      </c>
      <c r="T75">
        <v>0</v>
      </c>
      <c r="U75" s="3">
        <v>0.1</v>
      </c>
      <c r="V75">
        <v>0</v>
      </c>
      <c r="W75" t="s">
        <v>430</v>
      </c>
      <c r="X75">
        <v>500</v>
      </c>
      <c r="Y75">
        <v>10</v>
      </c>
      <c r="Z75" s="4">
        <v>1E-3</v>
      </c>
      <c r="AA75">
        <v>20</v>
      </c>
      <c r="AB75">
        <v>100</v>
      </c>
      <c r="AC75" s="3">
        <v>0.5</v>
      </c>
      <c r="AD75" s="5">
        <v>0.05</v>
      </c>
      <c r="AE75" t="s">
        <v>104</v>
      </c>
      <c r="AF75" t="s">
        <v>429</v>
      </c>
      <c r="AG75" t="s">
        <v>125</v>
      </c>
    </row>
    <row r="76" spans="1:33" x14ac:dyDescent="0.2">
      <c r="A76" s="2">
        <v>45009.509594907409</v>
      </c>
      <c r="B76" s="2">
        <v>45009.513819444444</v>
      </c>
      <c r="C76" t="s">
        <v>36</v>
      </c>
      <c r="D76" t="s">
        <v>431</v>
      </c>
      <c r="E76">
        <v>100</v>
      </c>
      <c r="F76">
        <v>364</v>
      </c>
      <c r="G76" t="b">
        <v>1</v>
      </c>
      <c r="H76" s="2">
        <v>45009.513819444444</v>
      </c>
      <c r="I76" t="s">
        <v>432</v>
      </c>
      <c r="N76">
        <v>36.002000000000002</v>
      </c>
      <c r="O76">
        <v>-80.000399999999999</v>
      </c>
      <c r="P76" t="s">
        <v>100</v>
      </c>
      <c r="Q76" t="s">
        <v>95</v>
      </c>
      <c r="R76" t="s">
        <v>433</v>
      </c>
      <c r="S76" t="s">
        <v>96</v>
      </c>
      <c r="V76">
        <v>0</v>
      </c>
      <c r="W76" t="s">
        <v>434</v>
      </c>
      <c r="X76">
        <v>500</v>
      </c>
      <c r="Y76">
        <v>10</v>
      </c>
      <c r="Z76" s="4">
        <v>1E-3</v>
      </c>
      <c r="AA76">
        <v>20</v>
      </c>
      <c r="AB76">
        <v>100</v>
      </c>
      <c r="AC76" s="3">
        <v>0.1</v>
      </c>
      <c r="AD76" s="5">
        <v>0.05</v>
      </c>
      <c r="AE76" t="s">
        <v>104</v>
      </c>
      <c r="AF76" t="s">
        <v>433</v>
      </c>
      <c r="AG76" t="s">
        <v>111</v>
      </c>
    </row>
    <row r="77" spans="1:33" x14ac:dyDescent="0.2">
      <c r="A77" s="2">
        <v>45009.509050925924</v>
      </c>
      <c r="B77" s="2">
        <v>45009.513842592591</v>
      </c>
      <c r="C77" t="s">
        <v>36</v>
      </c>
      <c r="D77" t="s">
        <v>435</v>
      </c>
      <c r="E77">
        <v>100</v>
      </c>
      <c r="F77">
        <v>413</v>
      </c>
      <c r="G77" t="b">
        <v>1</v>
      </c>
      <c r="H77" s="2">
        <v>45009.513842592591</v>
      </c>
      <c r="I77" t="s">
        <v>436</v>
      </c>
      <c r="N77">
        <v>41.691899999999997</v>
      </c>
      <c r="O77">
        <v>-73.864199999999997</v>
      </c>
      <c r="P77" t="s">
        <v>100</v>
      </c>
      <c r="Q77" t="s">
        <v>95</v>
      </c>
      <c r="R77" t="s">
        <v>437</v>
      </c>
      <c r="S77" t="s">
        <v>96</v>
      </c>
      <c r="T77">
        <v>23</v>
      </c>
      <c r="U77" t="s">
        <v>438</v>
      </c>
      <c r="V77">
        <v>36</v>
      </c>
      <c r="W77" t="s">
        <v>439</v>
      </c>
      <c r="X77">
        <v>500</v>
      </c>
      <c r="Y77">
        <v>10</v>
      </c>
      <c r="Z77" s="3">
        <v>0.1</v>
      </c>
      <c r="AA77" s="3">
        <v>0.2</v>
      </c>
      <c r="AB77">
        <v>100</v>
      </c>
      <c r="AC77" t="s">
        <v>440</v>
      </c>
      <c r="AD77">
        <v>0.05</v>
      </c>
      <c r="AE77">
        <v>100</v>
      </c>
      <c r="AF77" t="s">
        <v>437</v>
      </c>
      <c r="AG77" t="s">
        <v>125</v>
      </c>
    </row>
    <row r="78" spans="1:33" x14ac:dyDescent="0.2">
      <c r="A78" s="2">
        <v>45009.508344907408</v>
      </c>
      <c r="B78" s="2">
        <v>45009.513842592591</v>
      </c>
      <c r="C78" t="s">
        <v>36</v>
      </c>
      <c r="D78" t="s">
        <v>441</v>
      </c>
      <c r="E78">
        <v>100</v>
      </c>
      <c r="F78">
        <v>474</v>
      </c>
      <c r="G78" t="b">
        <v>1</v>
      </c>
      <c r="H78" s="2">
        <v>45009.513842592591</v>
      </c>
      <c r="I78" t="s">
        <v>442</v>
      </c>
      <c r="N78">
        <v>40.433900000000001</v>
      </c>
      <c r="O78">
        <v>-79.999600000000001</v>
      </c>
      <c r="P78" t="s">
        <v>100</v>
      </c>
      <c r="Q78" t="s">
        <v>95</v>
      </c>
      <c r="R78" t="s">
        <v>443</v>
      </c>
      <c r="S78" t="s">
        <v>96</v>
      </c>
      <c r="V78">
        <v>10</v>
      </c>
      <c r="W78" t="s">
        <v>444</v>
      </c>
      <c r="X78">
        <v>500</v>
      </c>
      <c r="Y78">
        <v>10</v>
      </c>
      <c r="Z78">
        <v>0.1</v>
      </c>
      <c r="AA78">
        <v>20</v>
      </c>
      <c r="AB78">
        <v>100</v>
      </c>
      <c r="AC78">
        <v>90</v>
      </c>
      <c r="AD78">
        <v>0.05</v>
      </c>
      <c r="AE78">
        <v>5</v>
      </c>
      <c r="AF78" t="s">
        <v>443</v>
      </c>
      <c r="AG78" t="s">
        <v>111</v>
      </c>
    </row>
    <row r="79" spans="1:33" x14ac:dyDescent="0.2">
      <c r="A79" s="2">
        <v>45009.510081018518</v>
      </c>
      <c r="B79" s="2">
        <v>45009.513912037037</v>
      </c>
      <c r="C79" t="s">
        <v>36</v>
      </c>
      <c r="D79" t="s">
        <v>445</v>
      </c>
      <c r="E79">
        <v>100</v>
      </c>
      <c r="F79">
        <v>331</v>
      </c>
      <c r="G79" t="b">
        <v>1</v>
      </c>
      <c r="H79" s="2">
        <v>45009.513923611114</v>
      </c>
      <c r="I79" t="s">
        <v>446</v>
      </c>
      <c r="N79">
        <v>33.027299999999997</v>
      </c>
      <c r="O79">
        <v>-80.1768</v>
      </c>
      <c r="P79" t="s">
        <v>100</v>
      </c>
      <c r="Q79" t="s">
        <v>95</v>
      </c>
      <c r="R79" t="s">
        <v>447</v>
      </c>
      <c r="S79" t="s">
        <v>96</v>
      </c>
      <c r="T79">
        <v>19</v>
      </c>
      <c r="U79" t="s">
        <v>448</v>
      </c>
      <c r="V79">
        <v>20</v>
      </c>
      <c r="W79" t="s">
        <v>449</v>
      </c>
      <c r="X79">
        <v>500</v>
      </c>
      <c r="Y79">
        <v>10</v>
      </c>
      <c r="Z79" s="4">
        <v>1E-3</v>
      </c>
      <c r="AA79">
        <v>20</v>
      </c>
      <c r="AB79">
        <v>100</v>
      </c>
      <c r="AC79" s="3">
        <v>0.9</v>
      </c>
      <c r="AD79" s="5">
        <v>0.1</v>
      </c>
      <c r="AE79" t="s">
        <v>104</v>
      </c>
      <c r="AF79" t="s">
        <v>447</v>
      </c>
      <c r="AG79" t="s">
        <v>125</v>
      </c>
    </row>
    <row r="80" spans="1:33" x14ac:dyDescent="0.2">
      <c r="A80" s="2">
        <v>45009.509201388886</v>
      </c>
      <c r="B80" s="2">
        <v>45009.513993055552</v>
      </c>
      <c r="C80" t="s">
        <v>36</v>
      </c>
      <c r="D80" t="s">
        <v>450</v>
      </c>
      <c r="E80">
        <v>100</v>
      </c>
      <c r="F80">
        <v>413</v>
      </c>
      <c r="G80" t="b">
        <v>1</v>
      </c>
      <c r="H80" s="2">
        <v>45009.513993055552</v>
      </c>
      <c r="I80" t="s">
        <v>451</v>
      </c>
      <c r="N80">
        <v>28.572700000000001</v>
      </c>
      <c r="O80">
        <v>-80.820599999999999</v>
      </c>
      <c r="P80" t="s">
        <v>100</v>
      </c>
      <c r="Q80" t="s">
        <v>95</v>
      </c>
      <c r="R80" t="s">
        <v>452</v>
      </c>
      <c r="S80" t="s">
        <v>96</v>
      </c>
      <c r="V80">
        <v>82</v>
      </c>
      <c r="W80" t="s">
        <v>453</v>
      </c>
      <c r="X80">
        <v>600</v>
      </c>
      <c r="Y80">
        <v>10</v>
      </c>
      <c r="Z80">
        <v>1</v>
      </c>
      <c r="AA80">
        <v>20</v>
      </c>
      <c r="AB80">
        <v>100</v>
      </c>
      <c r="AC80" s="3">
        <v>0.9</v>
      </c>
      <c r="AD80">
        <v>0.1</v>
      </c>
      <c r="AE80">
        <v>100</v>
      </c>
      <c r="AF80" t="s">
        <v>452</v>
      </c>
      <c r="AG80" t="s">
        <v>111</v>
      </c>
    </row>
    <row r="81" spans="1:33" x14ac:dyDescent="0.2">
      <c r="A81" s="2">
        <v>45009.510752314818</v>
      </c>
      <c r="B81" s="2">
        <v>45009.514131944445</v>
      </c>
      <c r="C81" t="s">
        <v>36</v>
      </c>
      <c r="D81" t="s">
        <v>454</v>
      </c>
      <c r="E81">
        <v>100</v>
      </c>
      <c r="F81">
        <v>292</v>
      </c>
      <c r="G81" t="b">
        <v>1</v>
      </c>
      <c r="H81" s="2">
        <v>45009.514143518521</v>
      </c>
      <c r="I81" t="s">
        <v>455</v>
      </c>
      <c r="N81">
        <v>40.112000000000002</v>
      </c>
      <c r="O81">
        <v>-88.236500000000007</v>
      </c>
      <c r="P81" t="s">
        <v>100</v>
      </c>
      <c r="Q81" t="s">
        <v>95</v>
      </c>
      <c r="R81" s="6" t="s">
        <v>456</v>
      </c>
      <c r="S81" t="s">
        <v>96</v>
      </c>
      <c r="V81">
        <v>100</v>
      </c>
      <c r="W81" t="s">
        <v>457</v>
      </c>
      <c r="X81">
        <v>500</v>
      </c>
      <c r="Y81">
        <v>10</v>
      </c>
      <c r="Z81">
        <v>1E-3</v>
      </c>
      <c r="AA81">
        <v>20</v>
      </c>
      <c r="AB81">
        <v>100</v>
      </c>
      <c r="AC81" s="3">
        <v>0.9</v>
      </c>
      <c r="AD81" t="s">
        <v>458</v>
      </c>
      <c r="AE81" t="s">
        <v>459</v>
      </c>
      <c r="AF81" s="6" t="s">
        <v>456</v>
      </c>
      <c r="AG81" t="s">
        <v>105</v>
      </c>
    </row>
    <row r="82" spans="1:33" x14ac:dyDescent="0.2">
      <c r="A82" s="2">
        <v>45009.507824074077</v>
      </c>
      <c r="B82" s="2">
        <v>45009.514155092591</v>
      </c>
      <c r="C82" t="s">
        <v>36</v>
      </c>
      <c r="D82" t="s">
        <v>460</v>
      </c>
      <c r="E82">
        <v>100</v>
      </c>
      <c r="F82">
        <v>547</v>
      </c>
      <c r="G82" t="b">
        <v>1</v>
      </c>
      <c r="H82" s="2">
        <v>45009.514166666668</v>
      </c>
      <c r="I82" t="s">
        <v>461</v>
      </c>
      <c r="N82">
        <v>46.811900000000001</v>
      </c>
      <c r="O82">
        <v>-92.075999999999993</v>
      </c>
      <c r="P82" t="s">
        <v>100</v>
      </c>
      <c r="Q82" t="s">
        <v>95</v>
      </c>
      <c r="R82" t="s">
        <v>462</v>
      </c>
      <c r="S82" t="s">
        <v>96</v>
      </c>
      <c r="V82">
        <v>70</v>
      </c>
      <c r="W82" t="s">
        <v>463</v>
      </c>
      <c r="X82">
        <v>500</v>
      </c>
      <c r="Y82">
        <v>10</v>
      </c>
      <c r="Z82">
        <v>0.1</v>
      </c>
      <c r="AA82">
        <v>20</v>
      </c>
      <c r="AB82">
        <v>100</v>
      </c>
      <c r="AC82" s="3">
        <v>0.1</v>
      </c>
      <c r="AD82">
        <v>0.05</v>
      </c>
      <c r="AE82" t="s">
        <v>266</v>
      </c>
      <c r="AF82" t="s">
        <v>462</v>
      </c>
      <c r="AG82" t="s">
        <v>105</v>
      </c>
    </row>
    <row r="83" spans="1:33" x14ac:dyDescent="0.2">
      <c r="A83" s="2">
        <v>45009.510497685187</v>
      </c>
      <c r="B83" s="2">
        <v>45009.514201388891</v>
      </c>
      <c r="C83" t="s">
        <v>36</v>
      </c>
      <c r="D83" t="s">
        <v>464</v>
      </c>
      <c r="E83">
        <v>100</v>
      </c>
      <c r="F83">
        <v>319</v>
      </c>
      <c r="G83" t="b">
        <v>1</v>
      </c>
      <c r="H83" s="2">
        <v>45009.514201388891</v>
      </c>
      <c r="I83" t="s">
        <v>465</v>
      </c>
      <c r="N83">
        <v>35.229599999999998</v>
      </c>
      <c r="O83">
        <v>-80.843000000000004</v>
      </c>
      <c r="P83" t="s">
        <v>100</v>
      </c>
      <c r="Q83" t="s">
        <v>95</v>
      </c>
      <c r="R83" t="s">
        <v>466</v>
      </c>
      <c r="S83" t="s">
        <v>96</v>
      </c>
      <c r="T83">
        <v>72</v>
      </c>
      <c r="V83">
        <v>72</v>
      </c>
      <c r="W83" t="s">
        <v>467</v>
      </c>
      <c r="X83">
        <v>500</v>
      </c>
      <c r="Y83">
        <v>10</v>
      </c>
      <c r="Z83">
        <v>0.1</v>
      </c>
      <c r="AA83">
        <v>20</v>
      </c>
      <c r="AB83">
        <v>100</v>
      </c>
      <c r="AC83">
        <v>10</v>
      </c>
      <c r="AD83">
        <v>0.05</v>
      </c>
      <c r="AE83">
        <v>5</v>
      </c>
      <c r="AF83" t="s">
        <v>466</v>
      </c>
      <c r="AG83" t="s">
        <v>125</v>
      </c>
    </row>
    <row r="84" spans="1:33" x14ac:dyDescent="0.2">
      <c r="A84" s="2">
        <v>45009.512048611112</v>
      </c>
      <c r="B84" s="2">
        <v>45009.514201388891</v>
      </c>
      <c r="C84" t="s">
        <v>36</v>
      </c>
      <c r="D84" t="s">
        <v>468</v>
      </c>
      <c r="E84">
        <v>100</v>
      </c>
      <c r="F84">
        <v>186</v>
      </c>
      <c r="G84" t="b">
        <v>1</v>
      </c>
      <c r="H84" s="2">
        <v>45009.51421296296</v>
      </c>
      <c r="I84" t="s">
        <v>469</v>
      </c>
      <c r="N84">
        <v>41.8033</v>
      </c>
      <c r="O84">
        <v>-87.928299999999993</v>
      </c>
      <c r="P84" t="s">
        <v>100</v>
      </c>
      <c r="Q84" t="s">
        <v>95</v>
      </c>
      <c r="R84" t="s">
        <v>470</v>
      </c>
      <c r="S84" t="s">
        <v>96</v>
      </c>
      <c r="V84">
        <v>23</v>
      </c>
      <c r="W84" t="s">
        <v>471</v>
      </c>
      <c r="X84">
        <v>500</v>
      </c>
      <c r="Y84">
        <v>10</v>
      </c>
      <c r="Z84">
        <v>0.1</v>
      </c>
      <c r="AA84">
        <v>20</v>
      </c>
      <c r="AB84">
        <v>100</v>
      </c>
      <c r="AC84">
        <v>10</v>
      </c>
      <c r="AD84">
        <v>0.05</v>
      </c>
      <c r="AE84">
        <v>5</v>
      </c>
      <c r="AF84" t="s">
        <v>470</v>
      </c>
      <c r="AG84" t="s">
        <v>111</v>
      </c>
    </row>
    <row r="85" spans="1:33" x14ac:dyDescent="0.2">
      <c r="A85" s="2">
        <v>45009.510578703703</v>
      </c>
      <c r="B85" s="2">
        <v>45009.51425925926</v>
      </c>
      <c r="C85" t="s">
        <v>36</v>
      </c>
      <c r="D85" t="s">
        <v>472</v>
      </c>
      <c r="E85">
        <v>100</v>
      </c>
      <c r="F85">
        <v>318</v>
      </c>
      <c r="G85" t="b">
        <v>1</v>
      </c>
      <c r="H85" s="2">
        <v>45009.514270833337</v>
      </c>
      <c r="I85" t="s">
        <v>473</v>
      </c>
      <c r="N85">
        <v>40.648699999999998</v>
      </c>
      <c r="O85">
        <v>-111.9682</v>
      </c>
      <c r="P85" t="s">
        <v>100</v>
      </c>
      <c r="Q85" t="s">
        <v>95</v>
      </c>
      <c r="R85" t="s">
        <v>474</v>
      </c>
      <c r="S85" t="s">
        <v>96</v>
      </c>
      <c r="T85">
        <v>70</v>
      </c>
      <c r="V85">
        <v>82</v>
      </c>
      <c r="W85" t="s">
        <v>475</v>
      </c>
      <c r="X85" t="s">
        <v>476</v>
      </c>
      <c r="Y85" t="s">
        <v>477</v>
      </c>
      <c r="Z85" t="s">
        <v>478</v>
      </c>
      <c r="AA85">
        <v>5</v>
      </c>
      <c r="AB85">
        <v>2</v>
      </c>
      <c r="AC85">
        <v>3</v>
      </c>
      <c r="AD85">
        <v>0.1</v>
      </c>
      <c r="AE85">
        <v>100</v>
      </c>
      <c r="AF85" t="s">
        <v>474</v>
      </c>
      <c r="AG85" t="s">
        <v>125</v>
      </c>
    </row>
    <row r="86" spans="1:33" x14ac:dyDescent="0.2">
      <c r="A86" s="2">
        <v>45009.505300925928</v>
      </c>
      <c r="B86" s="2">
        <v>45009.514270833337</v>
      </c>
      <c r="C86" t="s">
        <v>36</v>
      </c>
      <c r="D86" t="s">
        <v>479</v>
      </c>
      <c r="E86">
        <v>100</v>
      </c>
      <c r="F86">
        <v>775</v>
      </c>
      <c r="G86" t="b">
        <v>1</v>
      </c>
      <c r="H86" s="2">
        <v>45009.514282407406</v>
      </c>
      <c r="I86" t="s">
        <v>480</v>
      </c>
      <c r="N86">
        <v>39.706699999999998</v>
      </c>
      <c r="O86">
        <v>-104.96939999999999</v>
      </c>
      <c r="P86" t="s">
        <v>100</v>
      </c>
      <c r="Q86" t="s">
        <v>95</v>
      </c>
      <c r="R86" t="s">
        <v>481</v>
      </c>
      <c r="S86" t="s">
        <v>96</v>
      </c>
      <c r="V86">
        <v>80</v>
      </c>
      <c r="W86" t="s">
        <v>482</v>
      </c>
      <c r="X86">
        <v>500</v>
      </c>
      <c r="Y86">
        <v>10</v>
      </c>
      <c r="Z86">
        <v>1E-3</v>
      </c>
      <c r="AA86">
        <v>20</v>
      </c>
      <c r="AB86">
        <v>100</v>
      </c>
      <c r="AC86" s="3">
        <v>0.09</v>
      </c>
      <c r="AD86" s="5">
        <v>0.1</v>
      </c>
      <c r="AE86">
        <v>20</v>
      </c>
      <c r="AF86" t="s">
        <v>481</v>
      </c>
      <c r="AG86" t="s">
        <v>105</v>
      </c>
    </row>
    <row r="87" spans="1:33" x14ac:dyDescent="0.2">
      <c r="A87" s="2">
        <v>45009.51116898148</v>
      </c>
      <c r="B87" s="2">
        <v>45009.514317129629</v>
      </c>
      <c r="C87" t="s">
        <v>36</v>
      </c>
      <c r="D87" t="s">
        <v>483</v>
      </c>
      <c r="E87">
        <v>100</v>
      </c>
      <c r="F87">
        <v>271</v>
      </c>
      <c r="G87" t="b">
        <v>1</v>
      </c>
      <c r="H87" s="2">
        <v>45009.514317129629</v>
      </c>
      <c r="I87" t="s">
        <v>484</v>
      </c>
      <c r="N87">
        <v>33.823099999999997</v>
      </c>
      <c r="O87">
        <v>-84.325800000000001</v>
      </c>
      <c r="P87" t="s">
        <v>100</v>
      </c>
      <c r="Q87" t="s">
        <v>95</v>
      </c>
      <c r="R87" t="s">
        <v>485</v>
      </c>
      <c r="S87" t="s">
        <v>96</v>
      </c>
      <c r="V87">
        <v>81</v>
      </c>
      <c r="W87" t="s">
        <v>486</v>
      </c>
      <c r="X87">
        <v>512</v>
      </c>
      <c r="Y87">
        <v>10</v>
      </c>
      <c r="Z87" t="s">
        <v>487</v>
      </c>
      <c r="AA87">
        <v>20</v>
      </c>
      <c r="AB87">
        <v>100</v>
      </c>
      <c r="AC87" t="s">
        <v>237</v>
      </c>
      <c r="AD87">
        <v>0.05</v>
      </c>
      <c r="AE87" t="s">
        <v>104</v>
      </c>
      <c r="AF87" t="s">
        <v>485</v>
      </c>
      <c r="AG87" t="s">
        <v>97</v>
      </c>
    </row>
    <row r="88" spans="1:33" x14ac:dyDescent="0.2">
      <c r="A88" s="2">
        <v>45009.506620370368</v>
      </c>
      <c r="B88" s="2">
        <v>45009.51462962963</v>
      </c>
      <c r="C88" t="s">
        <v>36</v>
      </c>
      <c r="D88" t="s">
        <v>488</v>
      </c>
      <c r="E88">
        <v>100</v>
      </c>
      <c r="F88">
        <v>692</v>
      </c>
      <c r="G88" t="b">
        <v>1</v>
      </c>
      <c r="H88" s="2">
        <v>45009.514641203707</v>
      </c>
      <c r="I88" t="s">
        <v>489</v>
      </c>
      <c r="N88">
        <v>36.147199999999998</v>
      </c>
      <c r="O88">
        <v>-115.11750000000001</v>
      </c>
      <c r="P88" t="s">
        <v>100</v>
      </c>
      <c r="Q88" t="s">
        <v>95</v>
      </c>
      <c r="R88" t="s">
        <v>490</v>
      </c>
      <c r="S88" t="s">
        <v>96</v>
      </c>
      <c r="T88">
        <v>10</v>
      </c>
      <c r="U88">
        <v>5</v>
      </c>
      <c r="V88">
        <v>10</v>
      </c>
      <c r="W88" t="s">
        <v>491</v>
      </c>
      <c r="X88">
        <v>500</v>
      </c>
      <c r="Y88">
        <v>10</v>
      </c>
      <c r="Z88">
        <v>0.1</v>
      </c>
      <c r="AA88">
        <v>20</v>
      </c>
      <c r="AB88">
        <v>100</v>
      </c>
      <c r="AC88">
        <v>50</v>
      </c>
      <c r="AD88">
        <v>0.1</v>
      </c>
      <c r="AE88" t="s">
        <v>104</v>
      </c>
      <c r="AF88" t="s">
        <v>490</v>
      </c>
      <c r="AG88" t="s">
        <v>125</v>
      </c>
    </row>
    <row r="89" spans="1:33" x14ac:dyDescent="0.2">
      <c r="A89" s="2">
        <v>45009.508333333331</v>
      </c>
      <c r="B89" s="2">
        <v>45009.514687499999</v>
      </c>
      <c r="C89" t="s">
        <v>36</v>
      </c>
      <c r="D89" t="s">
        <v>492</v>
      </c>
      <c r="E89">
        <v>100</v>
      </c>
      <c r="F89">
        <v>548</v>
      </c>
      <c r="G89" t="b">
        <v>1</v>
      </c>
      <c r="H89" s="2">
        <v>45009.514699074076</v>
      </c>
      <c r="I89" t="s">
        <v>493</v>
      </c>
      <c r="N89">
        <v>40.918599999999998</v>
      </c>
      <c r="O89">
        <v>-73.861900000000006</v>
      </c>
      <c r="P89" t="s">
        <v>100</v>
      </c>
      <c r="Q89" t="s">
        <v>95</v>
      </c>
      <c r="R89" t="s">
        <v>494</v>
      </c>
      <c r="S89" t="s">
        <v>96</v>
      </c>
      <c r="T89">
        <v>64</v>
      </c>
      <c r="V89">
        <v>75</v>
      </c>
      <c r="W89" t="s">
        <v>495</v>
      </c>
      <c r="X89">
        <v>700</v>
      </c>
      <c r="Y89">
        <v>10</v>
      </c>
      <c r="Z89">
        <v>10</v>
      </c>
      <c r="AA89">
        <v>20</v>
      </c>
      <c r="AB89">
        <v>1</v>
      </c>
      <c r="AC89" t="s">
        <v>496</v>
      </c>
      <c r="AD89">
        <v>0.1</v>
      </c>
      <c r="AE89" t="s">
        <v>266</v>
      </c>
      <c r="AF89" t="s">
        <v>494</v>
      </c>
      <c r="AG89" t="s">
        <v>125</v>
      </c>
    </row>
    <row r="90" spans="1:33" x14ac:dyDescent="0.2">
      <c r="A90" s="2">
        <v>45009.511840277781</v>
      </c>
      <c r="B90" s="2">
        <v>45009.514722222222</v>
      </c>
      <c r="C90" t="s">
        <v>36</v>
      </c>
      <c r="D90" t="s">
        <v>497</v>
      </c>
      <c r="E90">
        <v>100</v>
      </c>
      <c r="F90">
        <v>248</v>
      </c>
      <c r="G90" t="b">
        <v>1</v>
      </c>
      <c r="H90" s="2">
        <v>45009.514733796299</v>
      </c>
      <c r="I90" t="s">
        <v>498</v>
      </c>
      <c r="N90">
        <v>28.1951</v>
      </c>
      <c r="O90">
        <v>-81.606200000000001</v>
      </c>
      <c r="P90" t="s">
        <v>100</v>
      </c>
      <c r="Q90" t="s">
        <v>95</v>
      </c>
      <c r="R90" s="6" t="s">
        <v>499</v>
      </c>
      <c r="S90" t="s">
        <v>96</v>
      </c>
      <c r="V90">
        <v>74</v>
      </c>
      <c r="W90" t="s">
        <v>500</v>
      </c>
      <c r="X90">
        <v>508</v>
      </c>
      <c r="Y90">
        <v>1</v>
      </c>
      <c r="Z90">
        <v>0.5</v>
      </c>
      <c r="AA90">
        <v>20</v>
      </c>
      <c r="AB90">
        <v>5</v>
      </c>
      <c r="AC90">
        <v>10</v>
      </c>
      <c r="AD90">
        <v>0.1</v>
      </c>
      <c r="AE90">
        <v>50</v>
      </c>
      <c r="AF90" s="6" t="s">
        <v>499</v>
      </c>
      <c r="AG90" t="s">
        <v>97</v>
      </c>
    </row>
    <row r="91" spans="1:33" x14ac:dyDescent="0.2">
      <c r="A91" s="2">
        <v>45009.510694444441</v>
      </c>
      <c r="B91" s="2">
        <v>45009.514884259261</v>
      </c>
      <c r="C91" t="s">
        <v>36</v>
      </c>
      <c r="D91" t="s">
        <v>501</v>
      </c>
      <c r="E91">
        <v>100</v>
      </c>
      <c r="F91">
        <v>361</v>
      </c>
      <c r="G91" t="b">
        <v>1</v>
      </c>
      <c r="H91" s="2">
        <v>45009.514884259261</v>
      </c>
      <c r="I91" t="s">
        <v>502</v>
      </c>
      <c r="N91">
        <v>38.820799999999998</v>
      </c>
      <c r="O91">
        <v>-77.456299999999999</v>
      </c>
      <c r="P91" t="s">
        <v>100</v>
      </c>
      <c r="Q91" t="s">
        <v>95</v>
      </c>
      <c r="R91" t="s">
        <v>503</v>
      </c>
      <c r="S91" t="s">
        <v>96</v>
      </c>
      <c r="V91">
        <v>20</v>
      </c>
      <c r="W91" t="s">
        <v>504</v>
      </c>
      <c r="X91">
        <v>500</v>
      </c>
      <c r="Y91">
        <v>10</v>
      </c>
      <c r="Z91" s="3">
        <v>0.01</v>
      </c>
      <c r="AA91" s="3">
        <v>0.2</v>
      </c>
      <c r="AB91">
        <v>100</v>
      </c>
      <c r="AC91" s="3">
        <v>0.01</v>
      </c>
      <c r="AD91">
        <v>0.05</v>
      </c>
      <c r="AE91" t="s">
        <v>104</v>
      </c>
      <c r="AF91" t="s">
        <v>503</v>
      </c>
      <c r="AG91" t="s">
        <v>111</v>
      </c>
    </row>
    <row r="92" spans="1:33" x14ac:dyDescent="0.2">
      <c r="A92" s="2">
        <v>45009.511296296296</v>
      </c>
      <c r="B92" s="2">
        <v>45009.51489583333</v>
      </c>
      <c r="C92" t="s">
        <v>36</v>
      </c>
      <c r="D92" t="s">
        <v>505</v>
      </c>
      <c r="E92">
        <v>100</v>
      </c>
      <c r="F92">
        <v>310</v>
      </c>
      <c r="G92" t="b">
        <v>1</v>
      </c>
      <c r="H92" s="2">
        <v>45009.51489583333</v>
      </c>
      <c r="I92" t="s">
        <v>506</v>
      </c>
      <c r="N92">
        <v>41.876399999999997</v>
      </c>
      <c r="O92">
        <v>-87.613299999999995</v>
      </c>
      <c r="P92" t="s">
        <v>100</v>
      </c>
      <c r="Q92" t="s">
        <v>95</v>
      </c>
      <c r="R92" t="s">
        <v>507</v>
      </c>
      <c r="S92" t="s">
        <v>96</v>
      </c>
      <c r="V92">
        <v>100</v>
      </c>
      <c r="W92" t="s">
        <v>508</v>
      </c>
      <c r="X92">
        <v>559</v>
      </c>
      <c r="Y92">
        <v>10</v>
      </c>
      <c r="Z92">
        <v>1</v>
      </c>
      <c r="AA92">
        <v>20</v>
      </c>
      <c r="AB92">
        <v>100</v>
      </c>
      <c r="AC92">
        <v>10</v>
      </c>
      <c r="AD92">
        <v>0.05</v>
      </c>
      <c r="AE92">
        <v>5</v>
      </c>
      <c r="AF92" t="s">
        <v>507</v>
      </c>
      <c r="AG92" t="s">
        <v>111</v>
      </c>
    </row>
    <row r="93" spans="1:33" x14ac:dyDescent="0.2">
      <c r="A93" s="2">
        <v>45009.50922453704</v>
      </c>
      <c r="B93" s="2">
        <v>45009.514907407407</v>
      </c>
      <c r="C93" t="s">
        <v>36</v>
      </c>
      <c r="D93" t="s">
        <v>509</v>
      </c>
      <c r="E93">
        <v>100</v>
      </c>
      <c r="F93">
        <v>491</v>
      </c>
      <c r="G93" t="b">
        <v>1</v>
      </c>
      <c r="H93" s="2">
        <v>45009.514907407407</v>
      </c>
      <c r="I93" t="s">
        <v>510</v>
      </c>
      <c r="N93">
        <v>41.474499999999999</v>
      </c>
      <c r="O93">
        <v>-72.573700000000002</v>
      </c>
      <c r="P93" t="s">
        <v>100</v>
      </c>
      <c r="Q93" t="s">
        <v>95</v>
      </c>
      <c r="R93" t="s">
        <v>511</v>
      </c>
      <c r="S93" t="s">
        <v>96</v>
      </c>
      <c r="V93">
        <v>51</v>
      </c>
      <c r="W93" t="s">
        <v>512</v>
      </c>
      <c r="X93">
        <v>500</v>
      </c>
      <c r="Y93">
        <v>10</v>
      </c>
      <c r="Z93">
        <v>0.01</v>
      </c>
      <c r="AA93" s="3">
        <v>0.2</v>
      </c>
      <c r="AB93">
        <v>100</v>
      </c>
      <c r="AC93" t="s">
        <v>513</v>
      </c>
      <c r="AD93">
        <v>0.05</v>
      </c>
      <c r="AE93" t="s">
        <v>330</v>
      </c>
      <c r="AF93" t="s">
        <v>511</v>
      </c>
      <c r="AG93" t="s">
        <v>111</v>
      </c>
    </row>
    <row r="94" spans="1:33" x14ac:dyDescent="0.2">
      <c r="A94" s="2">
        <v>45009.51116898148</v>
      </c>
      <c r="B94" s="2">
        <v>45009.515034722222</v>
      </c>
      <c r="C94" t="s">
        <v>36</v>
      </c>
      <c r="D94" t="s">
        <v>514</v>
      </c>
      <c r="E94">
        <v>100</v>
      </c>
      <c r="F94">
        <v>334</v>
      </c>
      <c r="G94" t="b">
        <v>1</v>
      </c>
      <c r="H94" s="2">
        <v>45009.515034722222</v>
      </c>
      <c r="I94" t="s">
        <v>515</v>
      </c>
      <c r="N94">
        <v>34.161900000000003</v>
      </c>
      <c r="O94">
        <v>-116.4335</v>
      </c>
      <c r="P94" t="s">
        <v>100</v>
      </c>
      <c r="Q94" t="s">
        <v>95</v>
      </c>
      <c r="R94" t="s">
        <v>516</v>
      </c>
      <c r="S94" t="s">
        <v>96</v>
      </c>
      <c r="V94">
        <v>12</v>
      </c>
      <c r="W94" t="s">
        <v>517</v>
      </c>
      <c r="X94">
        <v>500</v>
      </c>
      <c r="Y94">
        <v>10</v>
      </c>
      <c r="Z94">
        <v>0.1</v>
      </c>
      <c r="AA94">
        <v>20</v>
      </c>
      <c r="AB94">
        <v>100</v>
      </c>
      <c r="AC94" s="3">
        <v>0.9</v>
      </c>
      <c r="AD94">
        <v>0.05</v>
      </c>
      <c r="AE94">
        <v>5</v>
      </c>
      <c r="AF94" t="s">
        <v>516</v>
      </c>
      <c r="AG94" t="s">
        <v>111</v>
      </c>
    </row>
    <row r="95" spans="1:33" x14ac:dyDescent="0.2">
      <c r="A95" s="2">
        <v>45009.508900462963</v>
      </c>
      <c r="B95" s="2">
        <v>45009.515046296299</v>
      </c>
      <c r="C95" t="s">
        <v>36</v>
      </c>
      <c r="D95" t="s">
        <v>518</v>
      </c>
      <c r="E95">
        <v>100</v>
      </c>
      <c r="F95">
        <v>531</v>
      </c>
      <c r="G95" t="b">
        <v>1</v>
      </c>
      <c r="H95" s="2">
        <v>45009.515046296299</v>
      </c>
      <c r="I95" t="s">
        <v>519</v>
      </c>
      <c r="N95">
        <v>28.228400000000001</v>
      </c>
      <c r="O95">
        <v>-82.204300000000003</v>
      </c>
      <c r="P95" t="s">
        <v>100</v>
      </c>
      <c r="Q95" t="s">
        <v>95</v>
      </c>
      <c r="R95" t="s">
        <v>520</v>
      </c>
      <c r="S95" t="s">
        <v>96</v>
      </c>
      <c r="T95">
        <v>10</v>
      </c>
      <c r="U95" t="s">
        <v>521</v>
      </c>
      <c r="V95">
        <v>11</v>
      </c>
      <c r="W95" t="s">
        <v>522</v>
      </c>
      <c r="X95" t="s">
        <v>523</v>
      </c>
      <c r="Y95">
        <v>10</v>
      </c>
      <c r="Z95" t="s">
        <v>524</v>
      </c>
      <c r="AA95">
        <v>20</v>
      </c>
      <c r="AB95">
        <v>100</v>
      </c>
      <c r="AC95" t="s">
        <v>525</v>
      </c>
      <c r="AD95" s="5">
        <v>0.1</v>
      </c>
      <c r="AE95" t="s">
        <v>104</v>
      </c>
      <c r="AF95" t="s">
        <v>520</v>
      </c>
      <c r="AG95" t="s">
        <v>125</v>
      </c>
    </row>
    <row r="96" spans="1:33" x14ac:dyDescent="0.2">
      <c r="A96" s="2">
        <v>45009.510185185187</v>
      </c>
      <c r="B96" s="2">
        <v>45009.515046296299</v>
      </c>
      <c r="C96" t="s">
        <v>36</v>
      </c>
      <c r="D96" t="s">
        <v>526</v>
      </c>
      <c r="E96">
        <v>100</v>
      </c>
      <c r="F96">
        <v>419</v>
      </c>
      <c r="G96" t="b">
        <v>1</v>
      </c>
      <c r="H96" s="2">
        <v>45009.515046296299</v>
      </c>
      <c r="I96" t="s">
        <v>527</v>
      </c>
      <c r="N96">
        <v>26.2822</v>
      </c>
      <c r="O96">
        <v>-80.115600000000001</v>
      </c>
      <c r="P96" t="s">
        <v>100</v>
      </c>
      <c r="Q96" t="s">
        <v>95</v>
      </c>
      <c r="R96" t="s">
        <v>528</v>
      </c>
      <c r="S96" t="s">
        <v>96</v>
      </c>
      <c r="V96">
        <v>95</v>
      </c>
      <c r="W96" t="s">
        <v>529</v>
      </c>
      <c r="X96">
        <v>500</v>
      </c>
      <c r="Y96">
        <v>10</v>
      </c>
      <c r="Z96" s="4">
        <v>1.0000000000000001E-5</v>
      </c>
      <c r="AA96" s="3">
        <v>0.2</v>
      </c>
      <c r="AB96">
        <v>100</v>
      </c>
      <c r="AC96" s="3">
        <v>0.09</v>
      </c>
      <c r="AD96" t="s">
        <v>297</v>
      </c>
      <c r="AE96" t="s">
        <v>530</v>
      </c>
      <c r="AF96" t="s">
        <v>528</v>
      </c>
      <c r="AG96" t="s">
        <v>105</v>
      </c>
    </row>
    <row r="97" spans="1:33" x14ac:dyDescent="0.2">
      <c r="A97" s="2">
        <v>45009.499131944445</v>
      </c>
      <c r="B97" s="2">
        <v>45009.515196759261</v>
      </c>
      <c r="C97" t="s">
        <v>36</v>
      </c>
      <c r="D97" t="s">
        <v>531</v>
      </c>
      <c r="E97">
        <v>100</v>
      </c>
      <c r="F97">
        <v>1387</v>
      </c>
      <c r="G97" t="b">
        <v>1</v>
      </c>
      <c r="H97" s="2">
        <v>45009.515196759261</v>
      </c>
      <c r="I97" t="s">
        <v>532</v>
      </c>
      <c r="N97">
        <v>33.3874</v>
      </c>
      <c r="O97">
        <v>-112.0998</v>
      </c>
      <c r="P97" t="s">
        <v>100</v>
      </c>
      <c r="Q97" t="s">
        <v>95</v>
      </c>
      <c r="R97" t="s">
        <v>533</v>
      </c>
      <c r="S97" t="s">
        <v>96</v>
      </c>
      <c r="V97">
        <v>100</v>
      </c>
      <c r="W97" t="s">
        <v>534</v>
      </c>
      <c r="X97">
        <v>500</v>
      </c>
      <c r="Y97">
        <v>10</v>
      </c>
      <c r="Z97">
        <v>10</v>
      </c>
      <c r="AA97">
        <v>20</v>
      </c>
      <c r="AB97">
        <v>100</v>
      </c>
      <c r="AC97">
        <v>50</v>
      </c>
      <c r="AD97">
        <v>0.1</v>
      </c>
      <c r="AE97">
        <v>5</v>
      </c>
      <c r="AF97" t="s">
        <v>533</v>
      </c>
      <c r="AG97" t="s">
        <v>97</v>
      </c>
    </row>
    <row r="98" spans="1:33" x14ac:dyDescent="0.2">
      <c r="A98" s="2">
        <v>45009.512650462966</v>
      </c>
      <c r="B98" s="2">
        <v>45009.515439814815</v>
      </c>
      <c r="C98" t="s">
        <v>36</v>
      </c>
      <c r="D98" t="s">
        <v>535</v>
      </c>
      <c r="E98">
        <v>100</v>
      </c>
      <c r="F98">
        <v>240</v>
      </c>
      <c r="G98" t="b">
        <v>1</v>
      </c>
      <c r="H98" s="2">
        <v>45009.515451388892</v>
      </c>
      <c r="I98" t="s">
        <v>536</v>
      </c>
      <c r="N98">
        <v>44.0015</v>
      </c>
      <c r="O98">
        <v>-92.483599999999996</v>
      </c>
      <c r="P98" t="s">
        <v>100</v>
      </c>
      <c r="Q98" t="s">
        <v>95</v>
      </c>
      <c r="R98" t="s">
        <v>537</v>
      </c>
      <c r="S98" t="s">
        <v>96</v>
      </c>
      <c r="V98">
        <v>70</v>
      </c>
      <c r="W98" t="s">
        <v>538</v>
      </c>
      <c r="X98">
        <v>500</v>
      </c>
      <c r="Y98">
        <v>10</v>
      </c>
      <c r="Z98">
        <v>0.1</v>
      </c>
      <c r="AA98" s="3">
        <v>0.2</v>
      </c>
      <c r="AB98">
        <v>100</v>
      </c>
      <c r="AC98" s="3">
        <v>0.1</v>
      </c>
      <c r="AD98">
        <v>0.1</v>
      </c>
      <c r="AE98">
        <v>100</v>
      </c>
      <c r="AF98" t="s">
        <v>537</v>
      </c>
      <c r="AG98" t="s">
        <v>105</v>
      </c>
    </row>
    <row r="99" spans="1:33" x14ac:dyDescent="0.2">
      <c r="A99" s="2">
        <v>45009.501527777778</v>
      </c>
      <c r="B99" s="2">
        <v>45009.515439814815</v>
      </c>
      <c r="C99" t="s">
        <v>36</v>
      </c>
      <c r="D99" t="s">
        <v>539</v>
      </c>
      <c r="E99">
        <v>100</v>
      </c>
      <c r="F99">
        <v>1202</v>
      </c>
      <c r="G99" t="b">
        <v>1</v>
      </c>
      <c r="H99" s="2">
        <v>45009.515451388892</v>
      </c>
      <c r="I99" t="s">
        <v>540</v>
      </c>
      <c r="N99">
        <v>35.222700000000003</v>
      </c>
      <c r="O99">
        <v>-80.793800000000005</v>
      </c>
      <c r="P99" t="s">
        <v>100</v>
      </c>
      <c r="Q99" t="s">
        <v>95</v>
      </c>
      <c r="R99" t="s">
        <v>541</v>
      </c>
      <c r="S99" t="s">
        <v>96</v>
      </c>
      <c r="V99">
        <v>100</v>
      </c>
      <c r="W99" t="s">
        <v>542</v>
      </c>
      <c r="X99">
        <v>500</v>
      </c>
      <c r="Y99">
        <v>10</v>
      </c>
      <c r="Z99">
        <v>10</v>
      </c>
      <c r="AA99">
        <v>20</v>
      </c>
      <c r="AB99">
        <v>100</v>
      </c>
      <c r="AC99">
        <v>45</v>
      </c>
      <c r="AD99">
        <v>0.1</v>
      </c>
      <c r="AE99">
        <v>5</v>
      </c>
      <c r="AF99" t="s">
        <v>541</v>
      </c>
      <c r="AG99" t="s">
        <v>111</v>
      </c>
    </row>
    <row r="100" spans="1:33" x14ac:dyDescent="0.2">
      <c r="A100" s="2">
        <v>45009.510671296295</v>
      </c>
      <c r="B100" s="2">
        <v>45009.515486111108</v>
      </c>
      <c r="C100" t="s">
        <v>36</v>
      </c>
      <c r="D100" t="s">
        <v>543</v>
      </c>
      <c r="E100">
        <v>100</v>
      </c>
      <c r="F100">
        <v>415</v>
      </c>
      <c r="G100" t="b">
        <v>1</v>
      </c>
      <c r="H100" s="2">
        <v>45009.515486111108</v>
      </c>
      <c r="I100" t="s">
        <v>544</v>
      </c>
      <c r="N100">
        <v>42.204999999999998</v>
      </c>
      <c r="O100">
        <v>-72.627600000000001</v>
      </c>
      <c r="P100" t="s">
        <v>100</v>
      </c>
      <c r="Q100" t="s">
        <v>95</v>
      </c>
      <c r="R100" t="s">
        <v>545</v>
      </c>
      <c r="S100" t="s">
        <v>96</v>
      </c>
      <c r="V100">
        <v>85</v>
      </c>
      <c r="W100" t="s">
        <v>546</v>
      </c>
      <c r="X100" s="3">
        <v>0.5</v>
      </c>
      <c r="Y100">
        <v>10</v>
      </c>
      <c r="Z100" s="4">
        <v>1E-4</v>
      </c>
      <c r="AA100" s="3">
        <v>0.2</v>
      </c>
      <c r="AB100">
        <v>100</v>
      </c>
      <c r="AC100" s="3">
        <v>0.1</v>
      </c>
      <c r="AD100" s="5">
        <v>0.1</v>
      </c>
      <c r="AE100">
        <v>100</v>
      </c>
      <c r="AF100" t="s">
        <v>545</v>
      </c>
      <c r="AG100" t="s">
        <v>97</v>
      </c>
    </row>
    <row r="101" spans="1:33" x14ac:dyDescent="0.2">
      <c r="A101" s="2">
        <v>45009.510335648149</v>
      </c>
      <c r="B101" s="2">
        <v>45009.515520833331</v>
      </c>
      <c r="C101" t="s">
        <v>36</v>
      </c>
      <c r="D101" t="s">
        <v>547</v>
      </c>
      <c r="E101">
        <v>100</v>
      </c>
      <c r="F101">
        <v>447</v>
      </c>
      <c r="G101" t="b">
        <v>1</v>
      </c>
      <c r="H101" s="2">
        <v>45009.515520833331</v>
      </c>
      <c r="I101" t="s">
        <v>548</v>
      </c>
      <c r="N101">
        <v>41.772300000000001</v>
      </c>
      <c r="O101">
        <v>-87.979600000000005</v>
      </c>
      <c r="P101" t="s">
        <v>100</v>
      </c>
      <c r="Q101" t="s">
        <v>95</v>
      </c>
      <c r="R101" t="s">
        <v>549</v>
      </c>
      <c r="S101" t="s">
        <v>96</v>
      </c>
      <c r="V101">
        <v>67</v>
      </c>
      <c r="W101" t="s">
        <v>550</v>
      </c>
      <c r="X101">
        <v>500</v>
      </c>
      <c r="Y101">
        <v>10</v>
      </c>
      <c r="Z101">
        <v>0.01</v>
      </c>
      <c r="AA101">
        <v>5</v>
      </c>
      <c r="AB101">
        <v>100</v>
      </c>
      <c r="AC101" t="s">
        <v>551</v>
      </c>
      <c r="AD101">
        <v>0.05</v>
      </c>
      <c r="AE101">
        <v>5</v>
      </c>
      <c r="AF101" t="s">
        <v>549</v>
      </c>
      <c r="AG101" t="s">
        <v>111</v>
      </c>
    </row>
    <row r="102" spans="1:33" x14ac:dyDescent="0.2">
      <c r="A102" s="2">
        <v>45009.511874999997</v>
      </c>
      <c r="B102" s="2">
        <v>45009.515555555554</v>
      </c>
      <c r="C102" t="s">
        <v>36</v>
      </c>
      <c r="D102" t="s">
        <v>552</v>
      </c>
      <c r="E102">
        <v>100</v>
      </c>
      <c r="F102">
        <v>317</v>
      </c>
      <c r="G102" t="b">
        <v>1</v>
      </c>
      <c r="H102" s="2">
        <v>45009.515555555554</v>
      </c>
      <c r="I102" t="s">
        <v>553</v>
      </c>
      <c r="N102">
        <v>40.738</v>
      </c>
      <c r="O102">
        <v>-73.985799999999998</v>
      </c>
      <c r="P102" t="s">
        <v>100</v>
      </c>
      <c r="Q102" t="s">
        <v>95</v>
      </c>
      <c r="R102" t="s">
        <v>554</v>
      </c>
      <c r="S102" t="s">
        <v>96</v>
      </c>
      <c r="V102">
        <v>80</v>
      </c>
      <c r="W102" t="s">
        <v>555</v>
      </c>
      <c r="X102">
        <v>500</v>
      </c>
      <c r="Y102">
        <v>20</v>
      </c>
      <c r="Z102">
        <v>0.1</v>
      </c>
      <c r="AA102">
        <v>20</v>
      </c>
      <c r="AB102">
        <v>100</v>
      </c>
      <c r="AC102">
        <v>10</v>
      </c>
      <c r="AD102">
        <v>0.05</v>
      </c>
      <c r="AE102">
        <v>100</v>
      </c>
      <c r="AF102" t="s">
        <v>554</v>
      </c>
      <c r="AG102" t="s">
        <v>105</v>
      </c>
    </row>
    <row r="103" spans="1:33" x14ac:dyDescent="0.2">
      <c r="A103" s="2">
        <v>45009.508344907408</v>
      </c>
      <c r="B103" s="2">
        <v>45009.515613425923</v>
      </c>
      <c r="C103" t="s">
        <v>36</v>
      </c>
      <c r="D103" t="s">
        <v>556</v>
      </c>
      <c r="E103">
        <v>100</v>
      </c>
      <c r="F103">
        <v>627</v>
      </c>
      <c r="G103" t="b">
        <v>1</v>
      </c>
      <c r="H103" s="2">
        <v>45009.515613425923</v>
      </c>
      <c r="I103" t="s">
        <v>557</v>
      </c>
      <c r="N103">
        <v>30.305199999999999</v>
      </c>
      <c r="O103">
        <v>-95.455200000000005</v>
      </c>
      <c r="P103" t="s">
        <v>100</v>
      </c>
      <c r="Q103" t="s">
        <v>95</v>
      </c>
      <c r="R103" t="s">
        <v>558</v>
      </c>
      <c r="S103" t="s">
        <v>96</v>
      </c>
      <c r="V103">
        <v>95</v>
      </c>
      <c r="W103" t="s">
        <v>559</v>
      </c>
      <c r="X103">
        <v>500</v>
      </c>
      <c r="Y103">
        <v>10</v>
      </c>
      <c r="Z103">
        <v>0.1</v>
      </c>
      <c r="AA103">
        <v>20</v>
      </c>
      <c r="AB103">
        <v>100</v>
      </c>
      <c r="AC103" s="3">
        <v>0.5</v>
      </c>
      <c r="AD103">
        <v>0.05</v>
      </c>
      <c r="AE103" t="s">
        <v>104</v>
      </c>
      <c r="AF103" t="s">
        <v>558</v>
      </c>
      <c r="AG103" t="s">
        <v>97</v>
      </c>
    </row>
    <row r="104" spans="1:33" x14ac:dyDescent="0.2">
      <c r="A104" s="2">
        <v>45009.509236111109</v>
      </c>
      <c r="B104" s="2">
        <v>45009.515648148146</v>
      </c>
      <c r="C104" t="s">
        <v>36</v>
      </c>
      <c r="D104" t="s">
        <v>560</v>
      </c>
      <c r="E104">
        <v>100</v>
      </c>
      <c r="F104">
        <v>554</v>
      </c>
      <c r="G104" t="b">
        <v>1</v>
      </c>
      <c r="H104" s="2">
        <v>45009.515659722223</v>
      </c>
      <c r="I104" t="s">
        <v>561</v>
      </c>
      <c r="N104">
        <v>35.930599999999998</v>
      </c>
      <c r="O104">
        <v>-86.878799999999998</v>
      </c>
      <c r="P104" t="s">
        <v>100</v>
      </c>
      <c r="Q104" t="s">
        <v>95</v>
      </c>
      <c r="R104" t="s">
        <v>562</v>
      </c>
      <c r="S104" t="s">
        <v>96</v>
      </c>
      <c r="T104">
        <v>70</v>
      </c>
      <c r="V104">
        <v>70</v>
      </c>
      <c r="W104" t="s">
        <v>563</v>
      </c>
      <c r="X104" t="s">
        <v>564</v>
      </c>
      <c r="Y104">
        <v>10</v>
      </c>
      <c r="Z104">
        <v>0.1</v>
      </c>
      <c r="AA104">
        <v>20</v>
      </c>
      <c r="AB104">
        <v>100</v>
      </c>
      <c r="AC104" s="3">
        <v>0.75</v>
      </c>
      <c r="AD104">
        <v>0.1</v>
      </c>
      <c r="AE104" t="s">
        <v>104</v>
      </c>
      <c r="AF104" t="s">
        <v>562</v>
      </c>
      <c r="AG104" t="s">
        <v>125</v>
      </c>
    </row>
    <row r="105" spans="1:33" x14ac:dyDescent="0.2">
      <c r="A105" s="2">
        <v>45009.507245370369</v>
      </c>
      <c r="B105" s="2">
        <v>45009.515717592592</v>
      </c>
      <c r="C105" t="s">
        <v>36</v>
      </c>
      <c r="D105" t="s">
        <v>565</v>
      </c>
      <c r="E105">
        <v>100</v>
      </c>
      <c r="F105">
        <v>732</v>
      </c>
      <c r="G105" t="b">
        <v>1</v>
      </c>
      <c r="H105" s="2">
        <v>45009.515717592592</v>
      </c>
      <c r="I105" t="s">
        <v>566</v>
      </c>
      <c r="N105">
        <v>40.299500000000002</v>
      </c>
      <c r="O105">
        <v>-76.586799999999997</v>
      </c>
      <c r="P105" t="s">
        <v>100</v>
      </c>
      <c r="Q105" t="s">
        <v>95</v>
      </c>
      <c r="R105" t="s">
        <v>567</v>
      </c>
      <c r="S105" t="s">
        <v>96</v>
      </c>
      <c r="V105">
        <v>70</v>
      </c>
      <c r="W105" t="s">
        <v>568</v>
      </c>
      <c r="X105" s="3">
        <v>0.55000000000000004</v>
      </c>
      <c r="Y105">
        <v>10</v>
      </c>
      <c r="Z105" t="s">
        <v>569</v>
      </c>
      <c r="AA105" s="3">
        <v>0.2</v>
      </c>
      <c r="AB105">
        <v>100</v>
      </c>
      <c r="AC105" s="3">
        <v>0.1</v>
      </c>
      <c r="AD105">
        <v>0.05</v>
      </c>
      <c r="AE105" t="s">
        <v>266</v>
      </c>
      <c r="AF105" t="s">
        <v>567</v>
      </c>
      <c r="AG105" t="s">
        <v>105</v>
      </c>
    </row>
    <row r="106" spans="1:33" x14ac:dyDescent="0.2">
      <c r="A106" s="2">
        <v>45009.512199074074</v>
      </c>
      <c r="B106" s="2">
        <v>45009.515729166669</v>
      </c>
      <c r="C106" t="s">
        <v>36</v>
      </c>
      <c r="D106" t="s">
        <v>570</v>
      </c>
      <c r="E106">
        <v>100</v>
      </c>
      <c r="F106">
        <v>305</v>
      </c>
      <c r="G106" t="b">
        <v>1</v>
      </c>
      <c r="H106" s="2">
        <v>45009.515740740739</v>
      </c>
      <c r="I106" t="s">
        <v>571</v>
      </c>
      <c r="N106">
        <v>46.811900000000001</v>
      </c>
      <c r="O106">
        <v>-92.075999999999993</v>
      </c>
      <c r="P106" t="s">
        <v>100</v>
      </c>
      <c r="Q106" t="s">
        <v>95</v>
      </c>
      <c r="R106" t="s">
        <v>572</v>
      </c>
      <c r="S106" t="s">
        <v>96</v>
      </c>
      <c r="T106">
        <v>75</v>
      </c>
      <c r="V106">
        <v>65</v>
      </c>
      <c r="W106" t="s">
        <v>573</v>
      </c>
      <c r="X106">
        <v>500</v>
      </c>
      <c r="Y106">
        <v>100</v>
      </c>
      <c r="Z106" s="4">
        <v>1E-3</v>
      </c>
      <c r="AA106" s="3">
        <v>0.2</v>
      </c>
      <c r="AB106">
        <v>100</v>
      </c>
      <c r="AC106" s="3">
        <v>0.11</v>
      </c>
      <c r="AD106">
        <v>0.1</v>
      </c>
      <c r="AE106">
        <v>100</v>
      </c>
      <c r="AF106" t="s">
        <v>572</v>
      </c>
      <c r="AG106" t="s">
        <v>125</v>
      </c>
    </row>
    <row r="107" spans="1:33" x14ac:dyDescent="0.2">
      <c r="A107" s="2">
        <v>45009.511921296296</v>
      </c>
      <c r="B107" s="2">
        <v>45009.515740740739</v>
      </c>
      <c r="C107" t="s">
        <v>36</v>
      </c>
      <c r="D107" t="s">
        <v>574</v>
      </c>
      <c r="E107">
        <v>100</v>
      </c>
      <c r="F107">
        <v>330</v>
      </c>
      <c r="G107" t="b">
        <v>1</v>
      </c>
      <c r="H107" s="2">
        <v>45009.515740740739</v>
      </c>
      <c r="I107" t="s">
        <v>575</v>
      </c>
      <c r="N107">
        <v>34.877499999999998</v>
      </c>
      <c r="O107">
        <v>-92.226500000000001</v>
      </c>
      <c r="P107" t="s">
        <v>100</v>
      </c>
      <c r="Q107" t="s">
        <v>95</v>
      </c>
      <c r="R107" s="6" t="s">
        <v>576</v>
      </c>
      <c r="S107" t="s">
        <v>96</v>
      </c>
      <c r="V107">
        <v>72</v>
      </c>
      <c r="W107" t="s">
        <v>577</v>
      </c>
      <c r="X107">
        <v>500</v>
      </c>
      <c r="Y107">
        <v>10</v>
      </c>
      <c r="Z107" s="3">
        <v>0.01</v>
      </c>
      <c r="AA107">
        <v>20</v>
      </c>
      <c r="AB107">
        <v>100</v>
      </c>
      <c r="AC107" s="3">
        <v>0.9</v>
      </c>
      <c r="AD107">
        <v>0.1</v>
      </c>
      <c r="AE107">
        <v>5</v>
      </c>
      <c r="AF107" s="6" t="s">
        <v>576</v>
      </c>
      <c r="AG107" t="s">
        <v>105</v>
      </c>
    </row>
    <row r="108" spans="1:33" x14ac:dyDescent="0.2">
      <c r="A108" s="2">
        <v>45009.513344907406</v>
      </c>
      <c r="B108" s="2">
        <v>45009.515740740739</v>
      </c>
      <c r="C108" t="s">
        <v>36</v>
      </c>
      <c r="D108" t="s">
        <v>578</v>
      </c>
      <c r="E108">
        <v>100</v>
      </c>
      <c r="F108">
        <v>206</v>
      </c>
      <c r="G108" t="b">
        <v>1</v>
      </c>
      <c r="H108" s="2">
        <v>45009.515740740739</v>
      </c>
      <c r="I108" t="s">
        <v>579</v>
      </c>
      <c r="N108">
        <v>29.423100000000002</v>
      </c>
      <c r="O108">
        <v>-98.570499999999996</v>
      </c>
      <c r="P108" t="s">
        <v>100</v>
      </c>
      <c r="Q108" t="s">
        <v>95</v>
      </c>
      <c r="R108" t="s">
        <v>580</v>
      </c>
      <c r="S108" t="s">
        <v>96</v>
      </c>
      <c r="V108">
        <v>16</v>
      </c>
      <c r="W108" t="s">
        <v>581</v>
      </c>
      <c r="X108">
        <v>200</v>
      </c>
      <c r="Y108">
        <v>10</v>
      </c>
      <c r="Z108">
        <v>30</v>
      </c>
      <c r="AA108">
        <v>20</v>
      </c>
      <c r="AB108">
        <v>15</v>
      </c>
      <c r="AC108">
        <v>40</v>
      </c>
      <c r="AD108">
        <v>0.1</v>
      </c>
      <c r="AE108">
        <v>100</v>
      </c>
      <c r="AF108" t="s">
        <v>580</v>
      </c>
      <c r="AG108" t="s">
        <v>111</v>
      </c>
    </row>
    <row r="109" spans="1:33" x14ac:dyDescent="0.2">
      <c r="A109" s="2">
        <v>45009.511608796296</v>
      </c>
      <c r="B109" s="2">
        <v>45009.5158912037</v>
      </c>
      <c r="C109" t="s">
        <v>36</v>
      </c>
      <c r="D109" t="s">
        <v>582</v>
      </c>
      <c r="E109">
        <v>100</v>
      </c>
      <c r="F109">
        <v>370</v>
      </c>
      <c r="G109" t="b">
        <v>1</v>
      </c>
      <c r="H109" s="2">
        <v>45009.515902777777</v>
      </c>
      <c r="I109" t="s">
        <v>583</v>
      </c>
      <c r="N109">
        <v>44.064500000000002</v>
      </c>
      <c r="O109">
        <v>-123.1461</v>
      </c>
      <c r="P109" t="s">
        <v>100</v>
      </c>
      <c r="Q109" t="s">
        <v>95</v>
      </c>
      <c r="R109" t="s">
        <v>584</v>
      </c>
      <c r="S109" t="s">
        <v>96</v>
      </c>
      <c r="V109">
        <v>60</v>
      </c>
      <c r="W109" t="s">
        <v>585</v>
      </c>
      <c r="X109">
        <v>500</v>
      </c>
      <c r="Y109">
        <v>10</v>
      </c>
      <c r="Z109" s="4">
        <v>5.0000000000000001E-3</v>
      </c>
      <c r="AA109" s="3">
        <v>0.2</v>
      </c>
      <c r="AB109">
        <v>100</v>
      </c>
      <c r="AC109" s="3">
        <v>0.09</v>
      </c>
      <c r="AD109">
        <v>0.1</v>
      </c>
      <c r="AE109" t="s">
        <v>266</v>
      </c>
      <c r="AF109" t="s">
        <v>584</v>
      </c>
      <c r="AG109" t="s">
        <v>111</v>
      </c>
    </row>
    <row r="110" spans="1:33" x14ac:dyDescent="0.2">
      <c r="A110" s="2">
        <v>45009.513287037036</v>
      </c>
      <c r="B110" s="2">
        <v>45009.5159375</v>
      </c>
      <c r="C110" t="s">
        <v>36</v>
      </c>
      <c r="D110" t="s">
        <v>586</v>
      </c>
      <c r="E110">
        <v>100</v>
      </c>
      <c r="F110">
        <v>229</v>
      </c>
      <c r="G110" t="b">
        <v>1</v>
      </c>
      <c r="H110" s="2">
        <v>45009.515949074077</v>
      </c>
      <c r="I110" t="s">
        <v>587</v>
      </c>
      <c r="N110">
        <v>28.552099999999999</v>
      </c>
      <c r="O110">
        <v>-81.301000000000002</v>
      </c>
      <c r="P110" t="s">
        <v>100</v>
      </c>
      <c r="Q110" t="s">
        <v>95</v>
      </c>
      <c r="R110" t="s">
        <v>588</v>
      </c>
      <c r="S110" t="s">
        <v>96</v>
      </c>
      <c r="V110">
        <v>87</v>
      </c>
      <c r="W110" t="s">
        <v>589</v>
      </c>
      <c r="X110">
        <v>512</v>
      </c>
      <c r="Y110">
        <v>10</v>
      </c>
      <c r="Z110">
        <v>1</v>
      </c>
      <c r="AA110">
        <v>80</v>
      </c>
      <c r="AB110">
        <v>100</v>
      </c>
      <c r="AC110" s="3">
        <v>0.15</v>
      </c>
      <c r="AD110">
        <v>0.05</v>
      </c>
      <c r="AE110">
        <v>1</v>
      </c>
      <c r="AF110" t="s">
        <v>588</v>
      </c>
      <c r="AG110" t="s">
        <v>97</v>
      </c>
    </row>
    <row r="111" spans="1:33" x14ac:dyDescent="0.2">
      <c r="A111" s="2">
        <v>45009.513078703705</v>
      </c>
      <c r="B111" s="2">
        <v>45009.51599537037</v>
      </c>
      <c r="C111" t="s">
        <v>36</v>
      </c>
      <c r="D111" t="s">
        <v>590</v>
      </c>
      <c r="E111">
        <v>100</v>
      </c>
      <c r="F111">
        <v>251</v>
      </c>
      <c r="G111" t="b">
        <v>1</v>
      </c>
      <c r="H111" s="2">
        <v>45009.51599537037</v>
      </c>
      <c r="I111" t="s">
        <v>591</v>
      </c>
      <c r="N111">
        <v>28.711500000000001</v>
      </c>
      <c r="O111">
        <v>-81.513499999999993</v>
      </c>
      <c r="P111" t="s">
        <v>100</v>
      </c>
      <c r="Q111" t="s">
        <v>95</v>
      </c>
      <c r="R111" t="s">
        <v>592</v>
      </c>
      <c r="S111" t="s">
        <v>96</v>
      </c>
      <c r="V111">
        <v>100</v>
      </c>
      <c r="W111" t="s">
        <v>593</v>
      </c>
      <c r="X111">
        <v>500</v>
      </c>
      <c r="Y111">
        <v>10</v>
      </c>
      <c r="Z111">
        <v>0.1</v>
      </c>
      <c r="AA111">
        <v>20</v>
      </c>
      <c r="AB111">
        <v>100</v>
      </c>
      <c r="AC111">
        <v>90</v>
      </c>
      <c r="AD111">
        <v>0.05</v>
      </c>
      <c r="AE111" t="s">
        <v>104</v>
      </c>
      <c r="AF111" t="s">
        <v>592</v>
      </c>
      <c r="AG111" t="s">
        <v>97</v>
      </c>
    </row>
    <row r="112" spans="1:33" x14ac:dyDescent="0.2">
      <c r="A112" s="2">
        <v>45009.511921296296</v>
      </c>
      <c r="B112" s="2">
        <v>45009.516064814816</v>
      </c>
      <c r="C112" t="s">
        <v>36</v>
      </c>
      <c r="D112" t="s">
        <v>594</v>
      </c>
      <c r="E112">
        <v>100</v>
      </c>
      <c r="F112">
        <v>358</v>
      </c>
      <c r="G112" t="b">
        <v>1</v>
      </c>
      <c r="H112" s="2">
        <v>45009.516064814816</v>
      </c>
      <c r="I112" t="s">
        <v>595</v>
      </c>
      <c r="N112">
        <v>41.390099999999997</v>
      </c>
      <c r="O112">
        <v>-81.759600000000006</v>
      </c>
      <c r="P112" t="s">
        <v>100</v>
      </c>
      <c r="Q112" t="s">
        <v>95</v>
      </c>
      <c r="R112" t="s">
        <v>596</v>
      </c>
      <c r="S112" t="s">
        <v>96</v>
      </c>
      <c r="T112">
        <v>100</v>
      </c>
      <c r="V112">
        <v>100</v>
      </c>
      <c r="W112" t="s">
        <v>597</v>
      </c>
      <c r="X112">
        <v>745</v>
      </c>
      <c r="Y112">
        <v>10</v>
      </c>
      <c r="Z112">
        <v>1</v>
      </c>
      <c r="AA112">
        <v>20</v>
      </c>
      <c r="AB112">
        <v>100</v>
      </c>
      <c r="AC112">
        <v>10</v>
      </c>
      <c r="AD112">
        <v>10</v>
      </c>
      <c r="AE112">
        <v>5</v>
      </c>
      <c r="AF112" t="s">
        <v>596</v>
      </c>
      <c r="AG112" t="s">
        <v>125</v>
      </c>
    </row>
    <row r="113" spans="1:33" x14ac:dyDescent="0.2">
      <c r="A113" s="2">
        <v>45009.514479166668</v>
      </c>
      <c r="B113" s="2">
        <v>45009.516134259262</v>
      </c>
      <c r="C113" t="s">
        <v>36</v>
      </c>
      <c r="D113" t="s">
        <v>598</v>
      </c>
      <c r="E113">
        <v>100</v>
      </c>
      <c r="F113">
        <v>143</v>
      </c>
      <c r="G113" t="b">
        <v>1</v>
      </c>
      <c r="H113" s="2">
        <v>45009.516134259262</v>
      </c>
      <c r="I113" t="s">
        <v>599</v>
      </c>
      <c r="N113">
        <v>37.347900000000003</v>
      </c>
      <c r="O113">
        <v>-121.8527</v>
      </c>
      <c r="P113" t="s">
        <v>100</v>
      </c>
      <c r="Q113" t="s">
        <v>95</v>
      </c>
      <c r="R113" t="s">
        <v>600</v>
      </c>
      <c r="S113" t="s">
        <v>96</v>
      </c>
      <c r="V113">
        <v>79</v>
      </c>
      <c r="W113" t="s">
        <v>601</v>
      </c>
      <c r="X113">
        <v>500</v>
      </c>
      <c r="Y113">
        <v>10</v>
      </c>
      <c r="Z113">
        <v>0.1</v>
      </c>
      <c r="AA113">
        <v>20</v>
      </c>
      <c r="AB113">
        <v>100</v>
      </c>
      <c r="AC113">
        <v>50</v>
      </c>
      <c r="AD113">
        <v>0.05</v>
      </c>
      <c r="AE113">
        <v>5</v>
      </c>
      <c r="AF113" t="s">
        <v>600</v>
      </c>
      <c r="AG113" t="s">
        <v>105</v>
      </c>
    </row>
    <row r="114" spans="1:33" x14ac:dyDescent="0.2">
      <c r="A114" s="2">
        <v>45009.511250000003</v>
      </c>
      <c r="B114" s="2">
        <v>45009.516180555554</v>
      </c>
      <c r="C114" t="s">
        <v>36</v>
      </c>
      <c r="D114" t="s">
        <v>602</v>
      </c>
      <c r="E114">
        <v>100</v>
      </c>
      <c r="F114">
        <v>425</v>
      </c>
      <c r="G114" t="b">
        <v>1</v>
      </c>
      <c r="H114" s="2">
        <v>45009.516192129631</v>
      </c>
      <c r="I114" t="s">
        <v>603</v>
      </c>
      <c r="N114">
        <v>35.2316</v>
      </c>
      <c r="O114">
        <v>-80.842799999999997</v>
      </c>
      <c r="P114" t="s">
        <v>100</v>
      </c>
      <c r="Q114" t="s">
        <v>95</v>
      </c>
      <c r="R114" t="s">
        <v>604</v>
      </c>
      <c r="S114" t="s">
        <v>96</v>
      </c>
      <c r="T114">
        <v>60</v>
      </c>
      <c r="V114">
        <v>66</v>
      </c>
      <c r="W114" t="s">
        <v>605</v>
      </c>
      <c r="X114">
        <v>500</v>
      </c>
      <c r="Y114">
        <v>10</v>
      </c>
      <c r="Z114">
        <v>0.1</v>
      </c>
      <c r="AA114">
        <v>20</v>
      </c>
      <c r="AB114">
        <v>100</v>
      </c>
      <c r="AC114" s="3">
        <v>0.82</v>
      </c>
      <c r="AD114">
        <v>0.1</v>
      </c>
      <c r="AE114" t="s">
        <v>104</v>
      </c>
      <c r="AF114" t="s">
        <v>604</v>
      </c>
      <c r="AG114" t="s">
        <v>125</v>
      </c>
    </row>
    <row r="115" spans="1:33" x14ac:dyDescent="0.2">
      <c r="A115" s="2">
        <v>45009.512789351851</v>
      </c>
      <c r="B115" s="2">
        <v>45009.516192129631</v>
      </c>
      <c r="C115" t="s">
        <v>36</v>
      </c>
      <c r="D115" t="s">
        <v>606</v>
      </c>
      <c r="E115">
        <v>100</v>
      </c>
      <c r="F115">
        <v>293</v>
      </c>
      <c r="G115" t="b">
        <v>1</v>
      </c>
      <c r="H115" s="2">
        <v>45009.516192129631</v>
      </c>
      <c r="I115" t="s">
        <v>607</v>
      </c>
      <c r="N115">
        <v>40.433900000000001</v>
      </c>
      <c r="O115">
        <v>-79.999600000000001</v>
      </c>
      <c r="P115" t="s">
        <v>100</v>
      </c>
      <c r="Q115" t="s">
        <v>95</v>
      </c>
      <c r="R115" s="6" t="s">
        <v>608</v>
      </c>
      <c r="S115" t="s">
        <v>96</v>
      </c>
      <c r="V115">
        <v>100</v>
      </c>
      <c r="W115" t="s">
        <v>609</v>
      </c>
      <c r="X115">
        <v>500</v>
      </c>
      <c r="Y115">
        <v>10</v>
      </c>
      <c r="Z115" s="4">
        <v>1E-3</v>
      </c>
      <c r="AA115">
        <v>20</v>
      </c>
      <c r="AB115">
        <v>100</v>
      </c>
      <c r="AC115" s="4">
        <v>0.47399999999999998</v>
      </c>
      <c r="AD115" s="5">
        <v>0.05</v>
      </c>
      <c r="AE115" t="s">
        <v>104</v>
      </c>
      <c r="AF115" s="6" t="s">
        <v>608</v>
      </c>
      <c r="AG115" t="s">
        <v>105</v>
      </c>
    </row>
    <row r="116" spans="1:33" x14ac:dyDescent="0.2">
      <c r="A116" s="2">
        <v>45009.513865740744</v>
      </c>
      <c r="B116" s="2">
        <v>45009.516273148147</v>
      </c>
      <c r="C116" t="s">
        <v>36</v>
      </c>
      <c r="D116" t="s">
        <v>610</v>
      </c>
      <c r="E116">
        <v>100</v>
      </c>
      <c r="F116">
        <v>208</v>
      </c>
      <c r="G116" t="b">
        <v>1</v>
      </c>
      <c r="H116" s="2">
        <v>45009.516273148147</v>
      </c>
      <c r="I116" t="s">
        <v>611</v>
      </c>
      <c r="N116">
        <v>33.494799999999998</v>
      </c>
      <c r="O116">
        <v>-117.0954</v>
      </c>
      <c r="P116" t="s">
        <v>100</v>
      </c>
      <c r="Q116" t="s">
        <v>95</v>
      </c>
      <c r="R116" t="s">
        <v>612</v>
      </c>
      <c r="S116" t="s">
        <v>96</v>
      </c>
      <c r="V116">
        <v>62</v>
      </c>
      <c r="W116" t="s">
        <v>613</v>
      </c>
      <c r="X116">
        <v>500</v>
      </c>
      <c r="Y116">
        <v>10</v>
      </c>
      <c r="Z116" s="4">
        <v>1E-3</v>
      </c>
      <c r="AA116">
        <v>20</v>
      </c>
      <c r="AB116">
        <v>100</v>
      </c>
      <c r="AC116" s="3">
        <v>0.9</v>
      </c>
      <c r="AD116" s="5">
        <v>0.1</v>
      </c>
      <c r="AE116" t="s">
        <v>266</v>
      </c>
      <c r="AF116" t="s">
        <v>612</v>
      </c>
      <c r="AG116" t="s">
        <v>111</v>
      </c>
    </row>
    <row r="117" spans="1:33" ht="34" x14ac:dyDescent="0.2">
      <c r="A117" s="2">
        <v>45009.512430555558</v>
      </c>
      <c r="B117" s="2">
        <v>45009.516342592593</v>
      </c>
      <c r="C117" t="s">
        <v>36</v>
      </c>
      <c r="D117" t="s">
        <v>614</v>
      </c>
      <c r="E117">
        <v>100</v>
      </c>
      <c r="F117">
        <v>337</v>
      </c>
      <c r="G117" t="b">
        <v>1</v>
      </c>
      <c r="H117" s="2">
        <v>45009.516342592593</v>
      </c>
      <c r="I117" t="s">
        <v>615</v>
      </c>
      <c r="N117">
        <v>35.2316</v>
      </c>
      <c r="O117">
        <v>-80.842799999999997</v>
      </c>
      <c r="P117" t="s">
        <v>100</v>
      </c>
      <c r="Q117" t="s">
        <v>95</v>
      </c>
      <c r="R117" t="s">
        <v>616</v>
      </c>
      <c r="S117" t="s">
        <v>96</v>
      </c>
      <c r="V117">
        <v>71</v>
      </c>
      <c r="W117" t="s">
        <v>617</v>
      </c>
      <c r="X117">
        <v>500</v>
      </c>
      <c r="Y117">
        <v>10</v>
      </c>
      <c r="Z117">
        <v>1</v>
      </c>
      <c r="AA117" s="1" t="s">
        <v>618</v>
      </c>
      <c r="AB117">
        <v>100</v>
      </c>
      <c r="AC117" t="s">
        <v>619</v>
      </c>
      <c r="AD117" s="5">
        <v>0.1</v>
      </c>
      <c r="AE117" t="s">
        <v>149</v>
      </c>
      <c r="AF117" t="s">
        <v>616</v>
      </c>
      <c r="AG117" t="s">
        <v>111</v>
      </c>
    </row>
    <row r="118" spans="1:33" x14ac:dyDescent="0.2">
      <c r="A118" s="2">
        <v>45009.512858796297</v>
      </c>
      <c r="B118" s="2">
        <v>45009.51635416667</v>
      </c>
      <c r="C118" t="s">
        <v>36</v>
      </c>
      <c r="D118" t="s">
        <v>620</v>
      </c>
      <c r="E118">
        <v>100</v>
      </c>
      <c r="F118">
        <v>301</v>
      </c>
      <c r="G118" t="b">
        <v>1</v>
      </c>
      <c r="H118" s="2">
        <v>45009.51635416667</v>
      </c>
      <c r="I118" t="s">
        <v>621</v>
      </c>
      <c r="N118">
        <v>30.450900000000001</v>
      </c>
      <c r="O118">
        <v>-91.156300000000002</v>
      </c>
      <c r="P118" t="s">
        <v>100</v>
      </c>
      <c r="Q118" t="s">
        <v>95</v>
      </c>
      <c r="R118" t="s">
        <v>622</v>
      </c>
      <c r="S118" t="s">
        <v>96</v>
      </c>
      <c r="V118">
        <v>66</v>
      </c>
      <c r="W118" t="s">
        <v>623</v>
      </c>
      <c r="X118">
        <v>500</v>
      </c>
      <c r="Y118">
        <v>10</v>
      </c>
      <c r="Z118">
        <v>0.1</v>
      </c>
      <c r="AA118">
        <v>20</v>
      </c>
      <c r="AB118">
        <v>100</v>
      </c>
      <c r="AC118" t="s">
        <v>624</v>
      </c>
      <c r="AD118" s="5">
        <v>0.1</v>
      </c>
      <c r="AE118" t="s">
        <v>252</v>
      </c>
      <c r="AF118" t="s">
        <v>622</v>
      </c>
      <c r="AG118" t="s">
        <v>111</v>
      </c>
    </row>
    <row r="119" spans="1:33" x14ac:dyDescent="0.2">
      <c r="A119" s="2">
        <v>45009.51326388889</v>
      </c>
      <c r="B119" s="2">
        <v>45009.516423611109</v>
      </c>
      <c r="C119" t="s">
        <v>36</v>
      </c>
      <c r="D119" t="s">
        <v>625</v>
      </c>
      <c r="E119">
        <v>100</v>
      </c>
      <c r="F119">
        <v>273</v>
      </c>
      <c r="G119" t="b">
        <v>1</v>
      </c>
      <c r="H119" s="2">
        <v>45009.516435185185</v>
      </c>
      <c r="I119" t="s">
        <v>626</v>
      </c>
      <c r="N119">
        <v>29.973400000000002</v>
      </c>
      <c r="O119">
        <v>-90.088499999999996</v>
      </c>
      <c r="P119" t="s">
        <v>100</v>
      </c>
      <c r="Q119" t="s">
        <v>95</v>
      </c>
      <c r="R119" t="s">
        <v>627</v>
      </c>
      <c r="S119" t="s">
        <v>96</v>
      </c>
      <c r="V119">
        <v>75</v>
      </c>
      <c r="W119" t="s">
        <v>628</v>
      </c>
      <c r="X119">
        <v>500</v>
      </c>
      <c r="Y119">
        <v>10</v>
      </c>
      <c r="Z119">
        <v>0.1</v>
      </c>
      <c r="AA119">
        <v>20</v>
      </c>
      <c r="AB119">
        <v>100</v>
      </c>
      <c r="AC119" s="3">
        <v>0.5</v>
      </c>
      <c r="AD119" s="5">
        <v>0.05</v>
      </c>
      <c r="AE119" t="s">
        <v>104</v>
      </c>
      <c r="AF119" t="s">
        <v>627</v>
      </c>
      <c r="AG119" t="s">
        <v>97</v>
      </c>
    </row>
    <row r="120" spans="1:33" x14ac:dyDescent="0.2">
      <c r="A120" s="2">
        <v>45009.513645833336</v>
      </c>
      <c r="B120" s="2">
        <v>45009.516435185185</v>
      </c>
      <c r="C120" t="s">
        <v>36</v>
      </c>
      <c r="D120" t="s">
        <v>629</v>
      </c>
      <c r="E120">
        <v>100</v>
      </c>
      <c r="F120">
        <v>240</v>
      </c>
      <c r="G120" t="b">
        <v>1</v>
      </c>
      <c r="H120" s="2">
        <v>45009.516435185185</v>
      </c>
      <c r="I120" t="s">
        <v>630</v>
      </c>
      <c r="N120">
        <v>34.525799999999997</v>
      </c>
      <c r="O120">
        <v>-82.704899999999995</v>
      </c>
      <c r="P120" t="s">
        <v>100</v>
      </c>
      <c r="Q120" t="s">
        <v>95</v>
      </c>
      <c r="R120" t="s">
        <v>631</v>
      </c>
      <c r="S120" t="s">
        <v>96</v>
      </c>
      <c r="V120">
        <v>78</v>
      </c>
      <c r="W120" t="s">
        <v>632</v>
      </c>
      <c r="X120">
        <v>500</v>
      </c>
      <c r="Y120">
        <v>10</v>
      </c>
      <c r="Z120">
        <v>10</v>
      </c>
      <c r="AA120">
        <v>20</v>
      </c>
      <c r="AB120">
        <v>100</v>
      </c>
      <c r="AC120">
        <v>1</v>
      </c>
      <c r="AD120">
        <v>0.1</v>
      </c>
      <c r="AE120" t="s">
        <v>104</v>
      </c>
      <c r="AF120" t="s">
        <v>631</v>
      </c>
      <c r="AG120" t="s">
        <v>97</v>
      </c>
    </row>
    <row r="121" spans="1:33" x14ac:dyDescent="0.2">
      <c r="A121" s="2">
        <v>45009.510891203703</v>
      </c>
      <c r="B121" s="2">
        <v>45009.516655092593</v>
      </c>
      <c r="C121" t="s">
        <v>36</v>
      </c>
      <c r="D121" t="s">
        <v>633</v>
      </c>
      <c r="E121">
        <v>100</v>
      </c>
      <c r="F121">
        <v>497</v>
      </c>
      <c r="G121" t="b">
        <v>1</v>
      </c>
      <c r="H121" s="2">
        <v>45009.516655092593</v>
      </c>
      <c r="I121" t="s">
        <v>634</v>
      </c>
      <c r="N121">
        <v>33.022500000000001</v>
      </c>
      <c r="O121">
        <v>-96.728999999999999</v>
      </c>
      <c r="P121" t="s">
        <v>100</v>
      </c>
      <c r="Q121" t="s">
        <v>95</v>
      </c>
      <c r="R121" t="s">
        <v>635</v>
      </c>
      <c r="S121" t="s">
        <v>96</v>
      </c>
      <c r="T121">
        <v>5</v>
      </c>
      <c r="U121">
        <v>10</v>
      </c>
      <c r="V121">
        <v>5</v>
      </c>
      <c r="W121" t="s">
        <v>636</v>
      </c>
      <c r="X121">
        <v>500</v>
      </c>
      <c r="Y121">
        <v>10</v>
      </c>
      <c r="Z121" t="s">
        <v>487</v>
      </c>
      <c r="AA121">
        <v>20</v>
      </c>
      <c r="AB121">
        <v>100</v>
      </c>
      <c r="AC121" t="s">
        <v>569</v>
      </c>
      <c r="AD121">
        <v>0.05</v>
      </c>
      <c r="AE121">
        <v>100</v>
      </c>
      <c r="AF121" t="s">
        <v>635</v>
      </c>
      <c r="AG121" t="s">
        <v>125</v>
      </c>
    </row>
    <row r="122" spans="1:33" ht="409.6" x14ac:dyDescent="0.2">
      <c r="A122" s="2">
        <v>45009.510057870371</v>
      </c>
      <c r="B122" s="2">
        <v>45009.51666666667</v>
      </c>
      <c r="C122" t="s">
        <v>36</v>
      </c>
      <c r="D122" t="s">
        <v>637</v>
      </c>
      <c r="E122">
        <v>100</v>
      </c>
      <c r="F122">
        <v>571</v>
      </c>
      <c r="G122" t="b">
        <v>1</v>
      </c>
      <c r="H122" s="2">
        <v>45009.51667824074</v>
      </c>
      <c r="I122" t="s">
        <v>638</v>
      </c>
      <c r="N122">
        <v>35.064500000000002</v>
      </c>
      <c r="O122">
        <v>-81.6477</v>
      </c>
      <c r="P122" t="s">
        <v>100</v>
      </c>
      <c r="Q122" t="s">
        <v>95</v>
      </c>
      <c r="R122" t="s">
        <v>639</v>
      </c>
      <c r="S122" t="s">
        <v>96</v>
      </c>
      <c r="V122">
        <v>100</v>
      </c>
      <c r="W122" t="s">
        <v>640</v>
      </c>
      <c r="X122">
        <v>500</v>
      </c>
      <c r="Y122">
        <v>10</v>
      </c>
      <c r="Z122" s="4">
        <v>1E-3</v>
      </c>
      <c r="AA122" s="3">
        <v>0.2</v>
      </c>
      <c r="AB122">
        <v>100</v>
      </c>
      <c r="AC122" s="1" t="s">
        <v>641</v>
      </c>
      <c r="AD122" s="5">
        <v>0.1</v>
      </c>
      <c r="AE122" t="s">
        <v>642</v>
      </c>
      <c r="AF122" t="s">
        <v>639</v>
      </c>
      <c r="AG122" t="s">
        <v>97</v>
      </c>
    </row>
    <row r="123" spans="1:33" x14ac:dyDescent="0.2">
      <c r="A123" s="2">
        <v>45009.511562500003</v>
      </c>
      <c r="B123" s="2">
        <v>45009.51667824074</v>
      </c>
      <c r="C123" t="s">
        <v>36</v>
      </c>
      <c r="D123" t="s">
        <v>643</v>
      </c>
      <c r="E123">
        <v>100</v>
      </c>
      <c r="F123">
        <v>442</v>
      </c>
      <c r="G123" t="b">
        <v>1</v>
      </c>
      <c r="H123" s="2">
        <v>45009.516689814816</v>
      </c>
      <c r="I123" t="s">
        <v>644</v>
      </c>
      <c r="N123">
        <v>28.684100000000001</v>
      </c>
      <c r="O123">
        <v>-81.281199999999998</v>
      </c>
      <c r="P123" t="s">
        <v>100</v>
      </c>
      <c r="Q123" t="s">
        <v>95</v>
      </c>
      <c r="R123" t="s">
        <v>645</v>
      </c>
      <c r="S123" t="s">
        <v>96</v>
      </c>
      <c r="V123">
        <v>19</v>
      </c>
      <c r="W123" t="s">
        <v>646</v>
      </c>
      <c r="X123">
        <v>500</v>
      </c>
      <c r="Y123">
        <v>10</v>
      </c>
      <c r="Z123" s="4">
        <v>1.0000000000000001E-5</v>
      </c>
      <c r="AA123" s="3">
        <v>0.2</v>
      </c>
      <c r="AB123">
        <v>100</v>
      </c>
      <c r="AC123">
        <v>10</v>
      </c>
      <c r="AD123">
        <v>0.1</v>
      </c>
      <c r="AE123" t="s">
        <v>266</v>
      </c>
      <c r="AF123" t="s">
        <v>645</v>
      </c>
      <c r="AG123" t="s">
        <v>105</v>
      </c>
    </row>
    <row r="124" spans="1:33" x14ac:dyDescent="0.2">
      <c r="A124" s="2">
        <v>45009.512638888889</v>
      </c>
      <c r="B124" s="2">
        <v>45009.516689814816</v>
      </c>
      <c r="C124" t="s">
        <v>36</v>
      </c>
      <c r="D124" t="s">
        <v>647</v>
      </c>
      <c r="E124">
        <v>100</v>
      </c>
      <c r="F124">
        <v>350</v>
      </c>
      <c r="G124" t="b">
        <v>1</v>
      </c>
      <c r="H124" s="2">
        <v>45009.516701388886</v>
      </c>
      <c r="I124" t="s">
        <v>648</v>
      </c>
      <c r="N124">
        <v>34.064799999999998</v>
      </c>
      <c r="O124">
        <v>-118.086</v>
      </c>
      <c r="P124" t="s">
        <v>100</v>
      </c>
      <c r="Q124" t="s">
        <v>95</v>
      </c>
      <c r="R124" t="s">
        <v>649</v>
      </c>
      <c r="S124" t="s">
        <v>96</v>
      </c>
      <c r="T124">
        <v>14</v>
      </c>
      <c r="U124" t="s">
        <v>650</v>
      </c>
      <c r="V124">
        <v>15</v>
      </c>
      <c r="W124" t="s">
        <v>651</v>
      </c>
      <c r="X124">
        <v>500</v>
      </c>
      <c r="Y124">
        <v>10</v>
      </c>
      <c r="Z124" s="4">
        <v>1.0000000000000001E-5</v>
      </c>
      <c r="AA124">
        <v>20</v>
      </c>
      <c r="AB124">
        <v>100</v>
      </c>
      <c r="AC124" t="s">
        <v>652</v>
      </c>
      <c r="AD124">
        <v>0.05</v>
      </c>
      <c r="AE124" t="s">
        <v>266</v>
      </c>
      <c r="AF124" t="s">
        <v>649</v>
      </c>
      <c r="AG124" t="s">
        <v>125</v>
      </c>
    </row>
    <row r="125" spans="1:33" x14ac:dyDescent="0.2">
      <c r="A125" s="2">
        <v>45009.509629629632</v>
      </c>
      <c r="B125" s="2">
        <v>45009.516736111109</v>
      </c>
      <c r="C125" t="s">
        <v>36</v>
      </c>
      <c r="D125" t="s">
        <v>653</v>
      </c>
      <c r="E125">
        <v>100</v>
      </c>
      <c r="F125">
        <v>613</v>
      </c>
      <c r="G125" t="b">
        <v>1</v>
      </c>
      <c r="H125" s="2">
        <v>45009.516747685186</v>
      </c>
      <c r="I125" t="s">
        <v>654</v>
      </c>
      <c r="N125">
        <v>30.230399999999999</v>
      </c>
      <c r="O125">
        <v>-97.724299999999999</v>
      </c>
      <c r="P125" t="s">
        <v>100</v>
      </c>
      <c r="Q125" t="s">
        <v>95</v>
      </c>
      <c r="R125" t="s">
        <v>655</v>
      </c>
      <c r="S125" t="s">
        <v>96</v>
      </c>
      <c r="V125">
        <v>30</v>
      </c>
      <c r="W125" t="s">
        <v>656</v>
      </c>
      <c r="X125" t="s">
        <v>657</v>
      </c>
      <c r="Y125">
        <v>100</v>
      </c>
      <c r="Z125" s="4">
        <v>1E-3</v>
      </c>
      <c r="AA125" s="3">
        <v>0.2</v>
      </c>
      <c r="AB125">
        <v>100</v>
      </c>
      <c r="AC125" s="3">
        <v>0.5</v>
      </c>
      <c r="AD125">
        <v>0.1</v>
      </c>
      <c r="AE125">
        <v>20</v>
      </c>
      <c r="AF125" t="s">
        <v>655</v>
      </c>
      <c r="AG125" t="s">
        <v>111</v>
      </c>
    </row>
    <row r="126" spans="1:33" x14ac:dyDescent="0.2">
      <c r="A126" s="2">
        <v>45009.514525462961</v>
      </c>
      <c r="B126" s="2">
        <v>45009.516747685186</v>
      </c>
      <c r="C126" t="s">
        <v>36</v>
      </c>
      <c r="D126" t="s">
        <v>658</v>
      </c>
      <c r="E126">
        <v>100</v>
      </c>
      <c r="F126">
        <v>192</v>
      </c>
      <c r="G126" t="b">
        <v>1</v>
      </c>
      <c r="H126" s="2">
        <v>45009.516747685186</v>
      </c>
      <c r="I126" t="s">
        <v>659</v>
      </c>
      <c r="N126">
        <v>39.036999999999999</v>
      </c>
      <c r="O126">
        <v>-77.041200000000003</v>
      </c>
      <c r="P126" t="s">
        <v>100</v>
      </c>
      <c r="Q126" t="s">
        <v>95</v>
      </c>
      <c r="R126" t="s">
        <v>660</v>
      </c>
      <c r="S126" t="s">
        <v>96</v>
      </c>
      <c r="V126">
        <v>60</v>
      </c>
      <c r="W126" t="s">
        <v>661</v>
      </c>
      <c r="X126">
        <v>500</v>
      </c>
      <c r="Y126">
        <v>10</v>
      </c>
      <c r="Z126">
        <v>0.1</v>
      </c>
      <c r="AA126">
        <v>20</v>
      </c>
      <c r="AB126">
        <v>100</v>
      </c>
      <c r="AC126" t="s">
        <v>662</v>
      </c>
      <c r="AD126" s="5">
        <v>0.05</v>
      </c>
      <c r="AE126" t="s">
        <v>104</v>
      </c>
      <c r="AF126" t="s">
        <v>660</v>
      </c>
      <c r="AG126" t="s">
        <v>97</v>
      </c>
    </row>
    <row r="127" spans="1:33" x14ac:dyDescent="0.2">
      <c r="A127" s="2">
        <v>45009.511608796296</v>
      </c>
      <c r="B127" s="2">
        <v>45009.516805555555</v>
      </c>
      <c r="C127" t="s">
        <v>36</v>
      </c>
      <c r="D127" t="s">
        <v>663</v>
      </c>
      <c r="E127">
        <v>100</v>
      </c>
      <c r="F127">
        <v>448</v>
      </c>
      <c r="G127" t="b">
        <v>1</v>
      </c>
      <c r="H127" s="2">
        <v>45009.516805555555</v>
      </c>
      <c r="I127" t="s">
        <v>664</v>
      </c>
      <c r="N127">
        <v>30.280100000000001</v>
      </c>
      <c r="O127">
        <v>-81.416499999999999</v>
      </c>
      <c r="P127" t="s">
        <v>100</v>
      </c>
      <c r="Q127" t="s">
        <v>95</v>
      </c>
      <c r="R127" t="s">
        <v>665</v>
      </c>
      <c r="S127" t="s">
        <v>96</v>
      </c>
      <c r="T127">
        <v>61</v>
      </c>
      <c r="V127">
        <v>64</v>
      </c>
      <c r="W127" t="s">
        <v>666</v>
      </c>
      <c r="X127">
        <v>500</v>
      </c>
      <c r="Y127">
        <v>10</v>
      </c>
      <c r="Z127" s="4">
        <v>1E-3</v>
      </c>
      <c r="AA127">
        <v>20</v>
      </c>
      <c r="AB127">
        <v>100</v>
      </c>
      <c r="AC127" s="3">
        <v>0.9</v>
      </c>
      <c r="AD127">
        <v>0.05</v>
      </c>
      <c r="AE127" t="s">
        <v>104</v>
      </c>
      <c r="AF127" t="s">
        <v>665</v>
      </c>
      <c r="AG127" t="s">
        <v>125</v>
      </c>
    </row>
    <row r="128" spans="1:33" x14ac:dyDescent="0.2">
      <c r="A128" s="2">
        <v>45009.514247685183</v>
      </c>
      <c r="B128" s="2">
        <v>45009.51703703704</v>
      </c>
      <c r="C128" t="s">
        <v>36</v>
      </c>
      <c r="D128" t="s">
        <v>667</v>
      </c>
      <c r="E128">
        <v>100</v>
      </c>
      <c r="F128">
        <v>241</v>
      </c>
      <c r="G128" t="b">
        <v>1</v>
      </c>
      <c r="H128" s="2">
        <v>45009.517048611109</v>
      </c>
      <c r="I128" t="s">
        <v>668</v>
      </c>
      <c r="N128">
        <v>40.305199999999999</v>
      </c>
      <c r="O128">
        <v>-79.541799999999995</v>
      </c>
      <c r="P128" t="s">
        <v>100</v>
      </c>
      <c r="Q128" t="s">
        <v>95</v>
      </c>
      <c r="R128" t="s">
        <v>669</v>
      </c>
      <c r="S128" t="s">
        <v>96</v>
      </c>
      <c r="T128">
        <v>73</v>
      </c>
      <c r="V128">
        <v>77</v>
      </c>
      <c r="W128" t="s">
        <v>670</v>
      </c>
      <c r="X128">
        <v>500</v>
      </c>
      <c r="Y128">
        <v>10</v>
      </c>
      <c r="Z128">
        <v>0.1</v>
      </c>
      <c r="AA128">
        <v>20</v>
      </c>
      <c r="AB128">
        <v>100</v>
      </c>
      <c r="AC128">
        <v>80</v>
      </c>
      <c r="AD128">
        <v>0.1</v>
      </c>
      <c r="AE128">
        <v>5</v>
      </c>
      <c r="AF128" t="s">
        <v>669</v>
      </c>
      <c r="AG128" t="s">
        <v>125</v>
      </c>
    </row>
    <row r="129" spans="1:33" x14ac:dyDescent="0.2">
      <c r="A129" s="2">
        <v>45009.515092592592</v>
      </c>
      <c r="B129" s="2">
        <v>45009.517152777778</v>
      </c>
      <c r="C129" t="s">
        <v>36</v>
      </c>
      <c r="D129" t="s">
        <v>671</v>
      </c>
      <c r="E129">
        <v>100</v>
      </c>
      <c r="F129">
        <v>177</v>
      </c>
      <c r="G129" t="b">
        <v>1</v>
      </c>
      <c r="H129" s="2">
        <v>45009.517152777778</v>
      </c>
      <c r="I129" t="s">
        <v>672</v>
      </c>
      <c r="N129">
        <v>39.212400000000002</v>
      </c>
      <c r="O129">
        <v>-76.877600000000001</v>
      </c>
      <c r="P129" t="s">
        <v>100</v>
      </c>
      <c r="Q129" t="s">
        <v>95</v>
      </c>
      <c r="R129" t="s">
        <v>673</v>
      </c>
      <c r="S129" t="s">
        <v>96</v>
      </c>
      <c r="T129">
        <v>20</v>
      </c>
      <c r="U129" s="3">
        <v>0.1</v>
      </c>
      <c r="V129">
        <v>25</v>
      </c>
      <c r="W129" t="s">
        <v>674</v>
      </c>
      <c r="X129">
        <v>500</v>
      </c>
      <c r="Y129">
        <v>10</v>
      </c>
      <c r="Z129" s="4">
        <v>1E-3</v>
      </c>
      <c r="AA129">
        <v>20</v>
      </c>
      <c r="AB129">
        <v>100</v>
      </c>
      <c r="AC129" s="7">
        <v>45187</v>
      </c>
      <c r="AD129">
        <v>0.05</v>
      </c>
      <c r="AE129" t="s">
        <v>104</v>
      </c>
      <c r="AF129" t="s">
        <v>673</v>
      </c>
      <c r="AG129" t="s">
        <v>125</v>
      </c>
    </row>
    <row r="130" spans="1:33" x14ac:dyDescent="0.2">
      <c r="A130" s="2">
        <v>45009.51048611111</v>
      </c>
      <c r="B130" s="2">
        <v>45009.517210648148</v>
      </c>
      <c r="C130" t="s">
        <v>36</v>
      </c>
      <c r="D130" t="s">
        <v>675</v>
      </c>
      <c r="E130">
        <v>100</v>
      </c>
      <c r="F130">
        <v>580</v>
      </c>
      <c r="G130" t="b">
        <v>1</v>
      </c>
      <c r="H130" s="2">
        <v>45009.517210648148</v>
      </c>
      <c r="I130" t="s">
        <v>676</v>
      </c>
      <c r="N130">
        <v>36.076900000000002</v>
      </c>
      <c r="O130">
        <v>-83.566800000000001</v>
      </c>
      <c r="P130" t="s">
        <v>100</v>
      </c>
      <c r="Q130" t="s">
        <v>95</v>
      </c>
      <c r="R130" t="s">
        <v>677</v>
      </c>
      <c r="S130" t="s">
        <v>96</v>
      </c>
      <c r="T130">
        <v>80</v>
      </c>
      <c r="V130">
        <v>80</v>
      </c>
      <c r="W130" t="s">
        <v>678</v>
      </c>
      <c r="X130">
        <v>500</v>
      </c>
      <c r="Y130">
        <v>10</v>
      </c>
      <c r="Z130" t="s">
        <v>679</v>
      </c>
      <c r="AA130" s="3">
        <v>0.2</v>
      </c>
      <c r="AB130">
        <v>100</v>
      </c>
      <c r="AC130" s="3">
        <v>0.8</v>
      </c>
      <c r="AD130" t="s">
        <v>159</v>
      </c>
      <c r="AE130" t="s">
        <v>160</v>
      </c>
      <c r="AF130" t="s">
        <v>677</v>
      </c>
      <c r="AG130" t="s">
        <v>125</v>
      </c>
    </row>
    <row r="131" spans="1:33" x14ac:dyDescent="0.2">
      <c r="A131" s="2">
        <v>45009.512615740743</v>
      </c>
      <c r="B131" s="2">
        <v>45009.517326388886</v>
      </c>
      <c r="C131" t="s">
        <v>36</v>
      </c>
      <c r="D131" t="s">
        <v>680</v>
      </c>
      <c r="E131">
        <v>100</v>
      </c>
      <c r="F131">
        <v>406</v>
      </c>
      <c r="G131" t="b">
        <v>1</v>
      </c>
      <c r="H131" s="2">
        <v>45009.517326388886</v>
      </c>
      <c r="I131" t="s">
        <v>681</v>
      </c>
      <c r="N131">
        <v>37.102699999999999</v>
      </c>
      <c r="O131">
        <v>-84.543199999999999</v>
      </c>
      <c r="P131" t="s">
        <v>100</v>
      </c>
      <c r="Q131" t="s">
        <v>95</v>
      </c>
      <c r="R131" t="s">
        <v>682</v>
      </c>
      <c r="S131" t="s">
        <v>96</v>
      </c>
      <c r="T131">
        <v>20</v>
      </c>
      <c r="U131" s="3">
        <v>0.1</v>
      </c>
      <c r="V131">
        <v>25</v>
      </c>
      <c r="W131" t="s">
        <v>683</v>
      </c>
      <c r="X131">
        <v>500</v>
      </c>
      <c r="Y131">
        <v>10</v>
      </c>
      <c r="Z131" s="4">
        <v>1E-3</v>
      </c>
      <c r="AA131">
        <v>20</v>
      </c>
      <c r="AB131">
        <v>100</v>
      </c>
      <c r="AC131" s="3">
        <v>0.1</v>
      </c>
      <c r="AD131">
        <v>0.05</v>
      </c>
      <c r="AE131" t="s">
        <v>104</v>
      </c>
      <c r="AF131" t="s">
        <v>682</v>
      </c>
      <c r="AG131" t="s">
        <v>125</v>
      </c>
    </row>
    <row r="132" spans="1:33" x14ac:dyDescent="0.2">
      <c r="A132" s="2">
        <v>45009.508356481485</v>
      </c>
      <c r="B132" s="2">
        <v>45009.517326388886</v>
      </c>
      <c r="C132" t="s">
        <v>36</v>
      </c>
      <c r="D132" t="s">
        <v>684</v>
      </c>
      <c r="E132">
        <v>100</v>
      </c>
      <c r="F132">
        <v>774</v>
      </c>
      <c r="G132" t="b">
        <v>1</v>
      </c>
      <c r="H132" s="2">
        <v>45009.517337962963</v>
      </c>
      <c r="I132" t="s">
        <v>685</v>
      </c>
      <c r="N132">
        <v>25.755199999999999</v>
      </c>
      <c r="O132">
        <v>-80.229299999999995</v>
      </c>
      <c r="P132" t="s">
        <v>100</v>
      </c>
      <c r="Q132" t="s">
        <v>95</v>
      </c>
      <c r="R132" t="s">
        <v>686</v>
      </c>
      <c r="S132" t="s">
        <v>96</v>
      </c>
      <c r="V132">
        <v>68</v>
      </c>
      <c r="W132" t="s">
        <v>687</v>
      </c>
      <c r="X132">
        <v>4</v>
      </c>
      <c r="Y132" s="3">
        <v>0.01</v>
      </c>
      <c r="Z132" s="3">
        <v>0.01</v>
      </c>
      <c r="AA132">
        <v>20</v>
      </c>
      <c r="AB132">
        <v>100</v>
      </c>
      <c r="AC132" s="3">
        <v>0.01</v>
      </c>
      <c r="AD132">
        <v>0.1</v>
      </c>
      <c r="AE132" t="s">
        <v>104</v>
      </c>
      <c r="AF132" t="s">
        <v>686</v>
      </c>
      <c r="AG132" t="s">
        <v>111</v>
      </c>
    </row>
    <row r="133" spans="1:33" x14ac:dyDescent="0.2">
      <c r="A133" s="2">
        <v>45009.514710648145</v>
      </c>
      <c r="B133" s="2">
        <v>45009.51734953704</v>
      </c>
      <c r="C133" t="s">
        <v>36</v>
      </c>
      <c r="D133" t="s">
        <v>688</v>
      </c>
      <c r="E133">
        <v>100</v>
      </c>
      <c r="F133">
        <v>228</v>
      </c>
      <c r="G133" t="b">
        <v>1</v>
      </c>
      <c r="H133" s="2">
        <v>45009.517361111109</v>
      </c>
      <c r="I133" t="s">
        <v>689</v>
      </c>
      <c r="N133">
        <v>45.409399999999998</v>
      </c>
      <c r="O133">
        <v>-122.51649999999999</v>
      </c>
      <c r="P133" t="s">
        <v>100</v>
      </c>
      <c r="Q133" t="s">
        <v>95</v>
      </c>
      <c r="R133" s="6" t="s">
        <v>690</v>
      </c>
      <c r="S133" t="s">
        <v>96</v>
      </c>
      <c r="V133">
        <v>73</v>
      </c>
      <c r="W133" t="s">
        <v>691</v>
      </c>
      <c r="X133">
        <v>300</v>
      </c>
      <c r="Y133">
        <v>40</v>
      </c>
      <c r="Z133">
        <v>1</v>
      </c>
      <c r="AA133">
        <v>20</v>
      </c>
      <c r="AB133">
        <v>100</v>
      </c>
      <c r="AC133">
        <v>10</v>
      </c>
      <c r="AD133">
        <v>0.1</v>
      </c>
      <c r="AE133" t="s">
        <v>266</v>
      </c>
      <c r="AF133" s="6" t="s">
        <v>690</v>
      </c>
      <c r="AG133" t="s">
        <v>105</v>
      </c>
    </row>
    <row r="134" spans="1:33" x14ac:dyDescent="0.2">
      <c r="A134" s="2">
        <v>45009.511111111111</v>
      </c>
      <c r="B134" s="2">
        <v>45009.517372685186</v>
      </c>
      <c r="C134" t="s">
        <v>36</v>
      </c>
      <c r="D134" t="s">
        <v>692</v>
      </c>
      <c r="E134">
        <v>100</v>
      </c>
      <c r="F134">
        <v>540</v>
      </c>
      <c r="G134" t="b">
        <v>1</v>
      </c>
      <c r="H134" s="2">
        <v>45009.517372685186</v>
      </c>
      <c r="I134" t="s">
        <v>693</v>
      </c>
      <c r="N134">
        <v>46.059399999999997</v>
      </c>
      <c r="O134">
        <v>-118.3361</v>
      </c>
      <c r="P134" t="s">
        <v>100</v>
      </c>
      <c r="Q134" t="s">
        <v>95</v>
      </c>
      <c r="R134" t="s">
        <v>694</v>
      </c>
      <c r="S134" t="s">
        <v>96</v>
      </c>
      <c r="T134">
        <v>15</v>
      </c>
      <c r="U134" s="3">
        <v>0.2</v>
      </c>
      <c r="V134">
        <v>0</v>
      </c>
      <c r="W134" t="s">
        <v>695</v>
      </c>
      <c r="X134" t="s">
        <v>696</v>
      </c>
      <c r="Y134">
        <v>10</v>
      </c>
      <c r="Z134" s="4">
        <v>1E-3</v>
      </c>
      <c r="AA134">
        <v>20</v>
      </c>
      <c r="AB134" t="s">
        <v>697</v>
      </c>
      <c r="AC134" s="3">
        <v>0.5</v>
      </c>
      <c r="AD134" s="5">
        <v>0.05</v>
      </c>
      <c r="AE134" t="s">
        <v>698</v>
      </c>
      <c r="AF134" t="s">
        <v>694</v>
      </c>
      <c r="AG134" t="s">
        <v>125</v>
      </c>
    </row>
    <row r="135" spans="1:33" x14ac:dyDescent="0.2">
      <c r="A135" s="2">
        <v>45009.512303240743</v>
      </c>
      <c r="B135" s="2">
        <v>45009.517407407409</v>
      </c>
      <c r="C135" t="s">
        <v>36</v>
      </c>
      <c r="D135" t="s">
        <v>699</v>
      </c>
      <c r="E135">
        <v>100</v>
      </c>
      <c r="F135">
        <v>441</v>
      </c>
      <c r="G135" t="b">
        <v>1</v>
      </c>
      <c r="H135" s="2">
        <v>45009.517407407409</v>
      </c>
      <c r="I135" t="s">
        <v>700</v>
      </c>
      <c r="N135">
        <v>33.801900000000003</v>
      </c>
      <c r="O135">
        <v>-84.386099999999999</v>
      </c>
      <c r="P135" t="s">
        <v>100</v>
      </c>
      <c r="Q135" t="s">
        <v>95</v>
      </c>
      <c r="R135" s="6" t="s">
        <v>701</v>
      </c>
      <c r="S135" t="s">
        <v>96</v>
      </c>
      <c r="V135">
        <v>70</v>
      </c>
      <c r="W135" t="s">
        <v>702</v>
      </c>
      <c r="X135">
        <v>500</v>
      </c>
      <c r="Y135">
        <v>10</v>
      </c>
      <c r="Z135" s="4">
        <v>1E-3</v>
      </c>
      <c r="AA135">
        <v>20</v>
      </c>
      <c r="AB135">
        <v>100</v>
      </c>
      <c r="AC135">
        <v>90</v>
      </c>
      <c r="AD135" s="5">
        <v>0.05</v>
      </c>
      <c r="AE135" t="s">
        <v>104</v>
      </c>
      <c r="AF135" s="6" t="s">
        <v>701</v>
      </c>
      <c r="AG135" t="s">
        <v>105</v>
      </c>
    </row>
    <row r="136" spans="1:33" x14ac:dyDescent="0.2">
      <c r="A136" s="2">
        <v>45009.513877314814</v>
      </c>
      <c r="B136" s="2">
        <v>45009.517430555556</v>
      </c>
      <c r="C136" t="s">
        <v>36</v>
      </c>
      <c r="D136" t="s">
        <v>703</v>
      </c>
      <c r="E136">
        <v>100</v>
      </c>
      <c r="F136">
        <v>307</v>
      </c>
      <c r="G136" t="b">
        <v>1</v>
      </c>
      <c r="H136" s="2">
        <v>45009.517442129632</v>
      </c>
      <c r="I136" t="s">
        <v>704</v>
      </c>
      <c r="N136">
        <v>29.472899999999999</v>
      </c>
      <c r="O136">
        <v>-95.349400000000003</v>
      </c>
      <c r="P136" t="s">
        <v>100</v>
      </c>
      <c r="Q136" t="s">
        <v>95</v>
      </c>
      <c r="R136" t="s">
        <v>705</v>
      </c>
      <c r="S136" t="s">
        <v>96</v>
      </c>
      <c r="V136">
        <v>33</v>
      </c>
      <c r="W136" t="s">
        <v>706</v>
      </c>
      <c r="X136">
        <v>180</v>
      </c>
      <c r="Y136">
        <v>10</v>
      </c>
      <c r="Z136">
        <v>0.1</v>
      </c>
      <c r="AA136">
        <v>20</v>
      </c>
      <c r="AB136">
        <v>100</v>
      </c>
      <c r="AC136">
        <v>9</v>
      </c>
      <c r="AD136">
        <v>0.1</v>
      </c>
      <c r="AE136" t="s">
        <v>104</v>
      </c>
      <c r="AF136" t="s">
        <v>705</v>
      </c>
      <c r="AG136" t="s">
        <v>111</v>
      </c>
    </row>
    <row r="137" spans="1:33" x14ac:dyDescent="0.2">
      <c r="A137" s="2">
        <v>45009.509641203702</v>
      </c>
      <c r="B137" s="2">
        <v>45009.517453703702</v>
      </c>
      <c r="C137" t="s">
        <v>36</v>
      </c>
      <c r="D137" t="s">
        <v>707</v>
      </c>
      <c r="E137">
        <v>100</v>
      </c>
      <c r="F137">
        <v>675</v>
      </c>
      <c r="G137" t="b">
        <v>1</v>
      </c>
      <c r="H137" s="2">
        <v>45009.517465277779</v>
      </c>
      <c r="I137" t="s">
        <v>708</v>
      </c>
      <c r="N137">
        <v>42.757800000000003</v>
      </c>
      <c r="O137">
        <v>-71.469899999999996</v>
      </c>
      <c r="P137" t="s">
        <v>100</v>
      </c>
      <c r="Q137" t="s">
        <v>95</v>
      </c>
      <c r="R137" t="s">
        <v>709</v>
      </c>
      <c r="S137" t="s">
        <v>96</v>
      </c>
      <c r="T137">
        <v>25</v>
      </c>
      <c r="U137">
        <v>5</v>
      </c>
      <c r="V137">
        <v>33</v>
      </c>
      <c r="W137" t="s">
        <v>710</v>
      </c>
      <c r="X137">
        <v>500</v>
      </c>
      <c r="Y137">
        <v>10</v>
      </c>
      <c r="Z137">
        <v>0.1</v>
      </c>
      <c r="AA137">
        <v>20</v>
      </c>
      <c r="AB137">
        <v>10</v>
      </c>
      <c r="AC137">
        <v>10</v>
      </c>
      <c r="AD137">
        <v>0.1</v>
      </c>
      <c r="AE137">
        <v>100</v>
      </c>
      <c r="AF137" t="s">
        <v>709</v>
      </c>
      <c r="AG137" t="s">
        <v>125</v>
      </c>
    </row>
    <row r="138" spans="1:33" x14ac:dyDescent="0.2">
      <c r="A138" s="2">
        <v>45009.510798611111</v>
      </c>
      <c r="B138" s="2">
        <v>45009.517488425925</v>
      </c>
      <c r="C138" t="s">
        <v>36</v>
      </c>
      <c r="D138" t="s">
        <v>711</v>
      </c>
      <c r="E138">
        <v>100</v>
      </c>
      <c r="F138">
        <v>577</v>
      </c>
      <c r="G138" t="b">
        <v>1</v>
      </c>
      <c r="H138" s="2">
        <v>45009.517488425925</v>
      </c>
      <c r="I138" t="s">
        <v>712</v>
      </c>
      <c r="N138">
        <v>41.261200000000002</v>
      </c>
      <c r="O138">
        <v>-95.935400000000001</v>
      </c>
      <c r="P138" t="s">
        <v>100</v>
      </c>
      <c r="Q138" t="s">
        <v>95</v>
      </c>
      <c r="R138" t="s">
        <v>713</v>
      </c>
      <c r="S138" t="s">
        <v>96</v>
      </c>
      <c r="V138">
        <v>75</v>
      </c>
      <c r="W138" t="s">
        <v>714</v>
      </c>
      <c r="X138" t="s">
        <v>715</v>
      </c>
      <c r="Y138" t="s">
        <v>716</v>
      </c>
      <c r="Z138" s="3">
        <v>0.01</v>
      </c>
      <c r="AA138" s="3">
        <v>0.2</v>
      </c>
      <c r="AB138" t="s">
        <v>717</v>
      </c>
      <c r="AC138" s="3">
        <v>0.18</v>
      </c>
      <c r="AD138" s="5">
        <v>0.05</v>
      </c>
      <c r="AE138" t="s">
        <v>266</v>
      </c>
      <c r="AF138" t="s">
        <v>713</v>
      </c>
      <c r="AG138" t="s">
        <v>105</v>
      </c>
    </row>
    <row r="139" spans="1:33" x14ac:dyDescent="0.2">
      <c r="A139" s="2">
        <v>45009.515057870369</v>
      </c>
      <c r="B139" s="2">
        <v>45009.517534722225</v>
      </c>
      <c r="C139" t="s">
        <v>36</v>
      </c>
      <c r="D139" t="s">
        <v>718</v>
      </c>
      <c r="E139">
        <v>100</v>
      </c>
      <c r="F139">
        <v>213</v>
      </c>
      <c r="G139" t="b">
        <v>1</v>
      </c>
      <c r="H139" s="2">
        <v>45009.517534722225</v>
      </c>
      <c r="I139" t="s">
        <v>719</v>
      </c>
      <c r="N139">
        <v>39.904600000000002</v>
      </c>
      <c r="O139">
        <v>-82.970299999999995</v>
      </c>
      <c r="P139" t="s">
        <v>100</v>
      </c>
      <c r="Q139" t="s">
        <v>95</v>
      </c>
      <c r="R139" t="s">
        <v>720</v>
      </c>
      <c r="S139" t="s">
        <v>96</v>
      </c>
      <c r="V139">
        <v>90</v>
      </c>
      <c r="W139" t="s">
        <v>721</v>
      </c>
      <c r="X139">
        <v>500</v>
      </c>
      <c r="Y139">
        <v>1</v>
      </c>
      <c r="Z139">
        <v>1</v>
      </c>
      <c r="AA139">
        <v>20</v>
      </c>
      <c r="AB139">
        <v>100</v>
      </c>
      <c r="AC139" t="s">
        <v>722</v>
      </c>
      <c r="AD139">
        <v>0.1</v>
      </c>
      <c r="AE139" t="s">
        <v>723</v>
      </c>
      <c r="AF139" t="s">
        <v>720</v>
      </c>
      <c r="AG139" t="s">
        <v>105</v>
      </c>
    </row>
    <row r="140" spans="1:33" x14ac:dyDescent="0.2">
      <c r="A140" s="2">
        <v>45009.510763888888</v>
      </c>
      <c r="B140" s="2">
        <v>45009.517638888887</v>
      </c>
      <c r="C140" t="s">
        <v>36</v>
      </c>
      <c r="D140" t="s">
        <v>724</v>
      </c>
      <c r="E140">
        <v>100</v>
      </c>
      <c r="F140">
        <v>593</v>
      </c>
      <c r="G140" t="b">
        <v>1</v>
      </c>
      <c r="H140" s="2">
        <v>45009.517650462964</v>
      </c>
      <c r="I140" t="s">
        <v>725</v>
      </c>
      <c r="N140">
        <v>37.585500000000003</v>
      </c>
      <c r="O140">
        <v>-120.9453</v>
      </c>
      <c r="P140" t="s">
        <v>100</v>
      </c>
      <c r="Q140" t="s">
        <v>95</v>
      </c>
      <c r="R140" t="s">
        <v>726</v>
      </c>
      <c r="S140" t="s">
        <v>96</v>
      </c>
      <c r="V140">
        <v>67</v>
      </c>
      <c r="W140" t="s">
        <v>727</v>
      </c>
      <c r="X140">
        <v>501</v>
      </c>
      <c r="Y140">
        <v>1</v>
      </c>
      <c r="Z140" s="4">
        <v>1E-3</v>
      </c>
      <c r="AA140">
        <v>20</v>
      </c>
      <c r="AB140">
        <v>100</v>
      </c>
      <c r="AC140" s="3">
        <v>0.9</v>
      </c>
      <c r="AD140">
        <v>0.1</v>
      </c>
      <c r="AE140" t="s">
        <v>728</v>
      </c>
      <c r="AF140" t="s">
        <v>726</v>
      </c>
      <c r="AG140" t="s">
        <v>111</v>
      </c>
    </row>
    <row r="141" spans="1:33" x14ac:dyDescent="0.2">
      <c r="A141" s="2">
        <v>45009.514074074075</v>
      </c>
      <c r="B141" s="2">
        <v>45009.517696759256</v>
      </c>
      <c r="C141" t="s">
        <v>36</v>
      </c>
      <c r="D141" t="s">
        <v>729</v>
      </c>
      <c r="E141">
        <v>100</v>
      </c>
      <c r="F141">
        <v>313</v>
      </c>
      <c r="G141" t="b">
        <v>1</v>
      </c>
      <c r="H141" s="2">
        <v>45009.517708333333</v>
      </c>
      <c r="I141" t="s">
        <v>730</v>
      </c>
      <c r="N141">
        <v>26.4543</v>
      </c>
      <c r="O141">
        <v>-80.133700000000005</v>
      </c>
      <c r="P141" t="s">
        <v>100</v>
      </c>
      <c r="Q141" t="s">
        <v>95</v>
      </c>
      <c r="R141" t="s">
        <v>731</v>
      </c>
      <c r="S141" t="s">
        <v>96</v>
      </c>
      <c r="V141">
        <v>60</v>
      </c>
      <c r="W141" t="s">
        <v>732</v>
      </c>
      <c r="X141">
        <v>500</v>
      </c>
      <c r="Y141">
        <v>10</v>
      </c>
      <c r="Z141">
        <v>0.1</v>
      </c>
      <c r="AA141">
        <v>20</v>
      </c>
      <c r="AB141">
        <v>100</v>
      </c>
      <c r="AC141">
        <v>50</v>
      </c>
      <c r="AD141">
        <v>0.05</v>
      </c>
      <c r="AE141" t="s">
        <v>104</v>
      </c>
      <c r="AF141" t="s">
        <v>731</v>
      </c>
      <c r="AG141" t="s">
        <v>105</v>
      </c>
    </row>
    <row r="142" spans="1:33" x14ac:dyDescent="0.2">
      <c r="A142" s="2">
        <v>45009.514884259261</v>
      </c>
      <c r="B142" s="2">
        <v>45009.517824074072</v>
      </c>
      <c r="C142" t="s">
        <v>36</v>
      </c>
      <c r="D142" t="s">
        <v>733</v>
      </c>
      <c r="E142">
        <v>100</v>
      </c>
      <c r="F142">
        <v>253</v>
      </c>
      <c r="G142" t="b">
        <v>1</v>
      </c>
      <c r="H142" s="2">
        <v>45009.517824074072</v>
      </c>
      <c r="I142" t="s">
        <v>734</v>
      </c>
      <c r="N142">
        <v>42.391399999999997</v>
      </c>
      <c r="O142">
        <v>-83.149299999999997</v>
      </c>
      <c r="P142" t="s">
        <v>100</v>
      </c>
      <c r="Q142" t="s">
        <v>95</v>
      </c>
      <c r="R142" t="s">
        <v>735</v>
      </c>
      <c r="S142" t="s">
        <v>96</v>
      </c>
      <c r="T142">
        <v>25</v>
      </c>
      <c r="U142" s="3">
        <v>0.2</v>
      </c>
      <c r="V142">
        <v>30</v>
      </c>
      <c r="W142" t="s">
        <v>736</v>
      </c>
      <c r="X142">
        <v>500</v>
      </c>
      <c r="Y142">
        <v>10</v>
      </c>
      <c r="Z142" s="4">
        <v>1.0000000000000001E-5</v>
      </c>
      <c r="AA142" s="3">
        <v>0.2</v>
      </c>
      <c r="AB142">
        <v>100</v>
      </c>
      <c r="AC142" s="3">
        <v>0.9</v>
      </c>
      <c r="AD142" s="5">
        <v>0.05</v>
      </c>
      <c r="AE142" t="s">
        <v>266</v>
      </c>
      <c r="AF142" t="s">
        <v>735</v>
      </c>
      <c r="AG142" t="s">
        <v>125</v>
      </c>
    </row>
    <row r="143" spans="1:33" x14ac:dyDescent="0.2">
      <c r="A143" s="2">
        <v>45009.512812499997</v>
      </c>
      <c r="B143" s="2">
        <v>45009.517870370371</v>
      </c>
      <c r="C143" t="s">
        <v>36</v>
      </c>
      <c r="D143" t="s">
        <v>737</v>
      </c>
      <c r="E143">
        <v>100</v>
      </c>
      <c r="F143">
        <v>437</v>
      </c>
      <c r="G143" t="b">
        <v>1</v>
      </c>
      <c r="H143" s="2">
        <v>45009.517870370371</v>
      </c>
      <c r="I143" t="s">
        <v>738</v>
      </c>
      <c r="N143">
        <v>26.6113</v>
      </c>
      <c r="O143">
        <v>-80.174300000000002</v>
      </c>
      <c r="P143" t="s">
        <v>100</v>
      </c>
      <c r="Q143" t="s">
        <v>95</v>
      </c>
      <c r="R143" t="s">
        <v>739</v>
      </c>
      <c r="S143" t="s">
        <v>96</v>
      </c>
      <c r="V143">
        <v>100</v>
      </c>
      <c r="W143" t="s">
        <v>740</v>
      </c>
      <c r="X143">
        <v>500</v>
      </c>
      <c r="Y143">
        <v>10</v>
      </c>
      <c r="Z143" s="4">
        <v>1E-4</v>
      </c>
      <c r="AA143">
        <v>20</v>
      </c>
      <c r="AB143">
        <v>100</v>
      </c>
      <c r="AC143" t="s">
        <v>741</v>
      </c>
      <c r="AD143">
        <v>0.05</v>
      </c>
      <c r="AE143">
        <v>100</v>
      </c>
      <c r="AF143" t="s">
        <v>739</v>
      </c>
      <c r="AG143" t="s">
        <v>97</v>
      </c>
    </row>
    <row r="144" spans="1:33" x14ac:dyDescent="0.2">
      <c r="A144" s="2">
        <v>45009.515092592592</v>
      </c>
      <c r="B144" s="2">
        <v>45009.517928240741</v>
      </c>
      <c r="C144" t="s">
        <v>36</v>
      </c>
      <c r="D144" t="s">
        <v>742</v>
      </c>
      <c r="E144">
        <v>100</v>
      </c>
      <c r="F144">
        <v>245</v>
      </c>
      <c r="G144" t="b">
        <v>1</v>
      </c>
      <c r="H144" s="2">
        <v>45009.517939814818</v>
      </c>
      <c r="I144" t="s">
        <v>743</v>
      </c>
      <c r="N144">
        <v>33.447499999999998</v>
      </c>
      <c r="O144">
        <v>-112.0866</v>
      </c>
      <c r="P144" t="s">
        <v>100</v>
      </c>
      <c r="Q144" t="s">
        <v>95</v>
      </c>
      <c r="R144" t="s">
        <v>744</v>
      </c>
      <c r="S144" t="s">
        <v>96</v>
      </c>
      <c r="V144">
        <v>100</v>
      </c>
      <c r="W144" t="s">
        <v>745</v>
      </c>
      <c r="X144">
        <v>500</v>
      </c>
      <c r="Y144">
        <v>10</v>
      </c>
      <c r="Z144">
        <v>0.1</v>
      </c>
      <c r="AA144">
        <v>20</v>
      </c>
      <c r="AB144">
        <v>100</v>
      </c>
      <c r="AC144">
        <v>9</v>
      </c>
      <c r="AD144">
        <v>0.05</v>
      </c>
      <c r="AE144">
        <v>100</v>
      </c>
      <c r="AF144" t="s">
        <v>744</v>
      </c>
      <c r="AG144" t="s">
        <v>97</v>
      </c>
    </row>
    <row r="145" spans="1:33" x14ac:dyDescent="0.2">
      <c r="A145" s="2">
        <v>45009.513854166667</v>
      </c>
      <c r="B145" s="2">
        <v>45009.518078703702</v>
      </c>
      <c r="C145" t="s">
        <v>36</v>
      </c>
      <c r="D145" t="s">
        <v>746</v>
      </c>
      <c r="E145">
        <v>100</v>
      </c>
      <c r="F145">
        <v>365</v>
      </c>
      <c r="G145" t="b">
        <v>1</v>
      </c>
      <c r="H145" s="2">
        <v>45009.518090277779</v>
      </c>
      <c r="I145" t="s">
        <v>747</v>
      </c>
      <c r="N145">
        <v>38.595999999999997</v>
      </c>
      <c r="O145">
        <v>-121.2127</v>
      </c>
      <c r="P145" t="s">
        <v>100</v>
      </c>
      <c r="Q145" t="s">
        <v>95</v>
      </c>
      <c r="R145" t="s">
        <v>748</v>
      </c>
      <c r="S145" t="s">
        <v>96</v>
      </c>
      <c r="T145">
        <v>30</v>
      </c>
      <c r="U145" t="s">
        <v>749</v>
      </c>
      <c r="V145">
        <v>20</v>
      </c>
      <c r="W145" t="s">
        <v>750</v>
      </c>
      <c r="X145">
        <v>500</v>
      </c>
      <c r="Y145">
        <v>10</v>
      </c>
      <c r="Z145" s="4">
        <v>1E-3</v>
      </c>
      <c r="AA145">
        <v>20</v>
      </c>
      <c r="AB145">
        <v>100</v>
      </c>
      <c r="AC145" s="3">
        <v>0.1</v>
      </c>
      <c r="AD145">
        <v>0.05</v>
      </c>
      <c r="AE145" t="s">
        <v>104</v>
      </c>
      <c r="AF145" t="s">
        <v>748</v>
      </c>
      <c r="AG145" t="s">
        <v>125</v>
      </c>
    </row>
    <row r="146" spans="1:33" x14ac:dyDescent="0.2">
      <c r="A146" s="2">
        <v>45009.514386574076</v>
      </c>
      <c r="B146" s="2">
        <v>45009.518101851849</v>
      </c>
      <c r="C146" t="s">
        <v>36</v>
      </c>
      <c r="D146" t="s">
        <v>751</v>
      </c>
      <c r="E146">
        <v>100</v>
      </c>
      <c r="F146">
        <v>320</v>
      </c>
      <c r="G146" t="b">
        <v>1</v>
      </c>
      <c r="H146" s="2">
        <v>45009.518101851849</v>
      </c>
      <c r="I146" t="s">
        <v>752</v>
      </c>
      <c r="N146">
        <v>39.820900000000002</v>
      </c>
      <c r="O146">
        <v>-84.019400000000005</v>
      </c>
      <c r="P146" t="s">
        <v>100</v>
      </c>
      <c r="Q146" t="s">
        <v>95</v>
      </c>
      <c r="R146" t="s">
        <v>753</v>
      </c>
      <c r="S146" t="s">
        <v>96</v>
      </c>
      <c r="V146">
        <v>42</v>
      </c>
      <c r="W146" t="s">
        <v>754</v>
      </c>
      <c r="X146">
        <v>462</v>
      </c>
      <c r="Y146">
        <v>100</v>
      </c>
      <c r="Z146" s="8">
        <v>10000</v>
      </c>
      <c r="AA146" t="s">
        <v>755</v>
      </c>
      <c r="AB146">
        <v>100</v>
      </c>
      <c r="AC146" s="3">
        <v>0.01</v>
      </c>
      <c r="AD146">
        <v>0.1</v>
      </c>
      <c r="AE146" t="s">
        <v>136</v>
      </c>
      <c r="AF146" t="s">
        <v>753</v>
      </c>
      <c r="AG146" t="s">
        <v>111</v>
      </c>
    </row>
    <row r="147" spans="1:33" x14ac:dyDescent="0.2">
      <c r="A147" s="2">
        <v>45009.513564814813</v>
      </c>
      <c r="B147" s="2">
        <v>45009.518171296295</v>
      </c>
      <c r="C147" t="s">
        <v>36</v>
      </c>
      <c r="D147" t="s">
        <v>756</v>
      </c>
      <c r="E147">
        <v>100</v>
      </c>
      <c r="F147">
        <v>397</v>
      </c>
      <c r="G147" t="b">
        <v>1</v>
      </c>
      <c r="H147" s="2">
        <v>45009.518182870372</v>
      </c>
      <c r="I147" t="s">
        <v>757</v>
      </c>
      <c r="N147">
        <v>40.707900000000002</v>
      </c>
      <c r="O147">
        <v>-75.150700000000001</v>
      </c>
      <c r="P147" t="s">
        <v>100</v>
      </c>
      <c r="Q147" t="s">
        <v>95</v>
      </c>
      <c r="R147" t="s">
        <v>758</v>
      </c>
      <c r="S147" t="s">
        <v>96</v>
      </c>
      <c r="V147">
        <v>85</v>
      </c>
      <c r="W147" t="s">
        <v>759</v>
      </c>
      <c r="X147">
        <v>500</v>
      </c>
      <c r="Y147">
        <v>10</v>
      </c>
      <c r="Z147" s="4">
        <v>1E-3</v>
      </c>
      <c r="AA147">
        <v>20</v>
      </c>
      <c r="AB147">
        <v>100</v>
      </c>
      <c r="AC147" s="3">
        <v>0.5</v>
      </c>
      <c r="AD147" t="s">
        <v>760</v>
      </c>
      <c r="AE147" t="s">
        <v>266</v>
      </c>
      <c r="AF147" t="s">
        <v>758</v>
      </c>
      <c r="AG147" t="s">
        <v>111</v>
      </c>
    </row>
    <row r="148" spans="1:33" x14ac:dyDescent="0.2">
      <c r="A148" s="2">
        <v>45009.511203703703</v>
      </c>
      <c r="B148" s="2">
        <v>45009.518287037034</v>
      </c>
      <c r="C148" t="s">
        <v>36</v>
      </c>
      <c r="D148" t="s">
        <v>761</v>
      </c>
      <c r="E148">
        <v>100</v>
      </c>
      <c r="F148">
        <v>612</v>
      </c>
      <c r="G148" t="b">
        <v>1</v>
      </c>
      <c r="H148" s="2">
        <v>45009.51829861111</v>
      </c>
      <c r="I148" t="s">
        <v>762</v>
      </c>
      <c r="N148">
        <v>30.312200000000001</v>
      </c>
      <c r="O148">
        <v>-81.724299999999999</v>
      </c>
      <c r="P148" t="s">
        <v>100</v>
      </c>
      <c r="Q148" t="s">
        <v>95</v>
      </c>
      <c r="R148" t="s">
        <v>763</v>
      </c>
      <c r="S148" t="s">
        <v>96</v>
      </c>
      <c r="V148">
        <v>79</v>
      </c>
      <c r="W148" t="s">
        <v>764</v>
      </c>
      <c r="X148">
        <v>500</v>
      </c>
      <c r="Y148">
        <v>10</v>
      </c>
      <c r="Z148">
        <v>0.1</v>
      </c>
      <c r="AA148">
        <v>20</v>
      </c>
      <c r="AB148" t="s">
        <v>765</v>
      </c>
      <c r="AC148" s="3">
        <v>0.9</v>
      </c>
      <c r="AD148">
        <v>0.1</v>
      </c>
      <c r="AE148">
        <v>500</v>
      </c>
      <c r="AF148" t="s">
        <v>763</v>
      </c>
      <c r="AG148" t="s">
        <v>105</v>
      </c>
    </row>
    <row r="149" spans="1:33" x14ac:dyDescent="0.2">
      <c r="A149" s="2">
        <v>45009.510625000003</v>
      </c>
      <c r="B149" s="2">
        <v>45009.518321759257</v>
      </c>
      <c r="C149" t="s">
        <v>36</v>
      </c>
      <c r="D149" t="s">
        <v>766</v>
      </c>
      <c r="E149">
        <v>100</v>
      </c>
      <c r="F149">
        <v>665</v>
      </c>
      <c r="G149" t="b">
        <v>1</v>
      </c>
      <c r="H149" s="2">
        <v>45009.518321759257</v>
      </c>
      <c r="I149" t="s">
        <v>767</v>
      </c>
      <c r="N149">
        <v>41.757899999999999</v>
      </c>
      <c r="O149">
        <v>-88.293400000000005</v>
      </c>
      <c r="P149" t="s">
        <v>100</v>
      </c>
      <c r="Q149" t="s">
        <v>95</v>
      </c>
      <c r="R149" t="s">
        <v>768</v>
      </c>
      <c r="S149" t="s">
        <v>96</v>
      </c>
      <c r="V149">
        <v>70</v>
      </c>
      <c r="W149" t="s">
        <v>769</v>
      </c>
      <c r="X149">
        <v>500</v>
      </c>
      <c r="Y149">
        <v>10</v>
      </c>
      <c r="Z149">
        <v>0.1</v>
      </c>
      <c r="AA149">
        <v>20</v>
      </c>
      <c r="AB149">
        <v>100</v>
      </c>
      <c r="AC149" t="s">
        <v>770</v>
      </c>
      <c r="AD149">
        <v>0.05</v>
      </c>
      <c r="AE149" t="s">
        <v>104</v>
      </c>
      <c r="AF149" t="s">
        <v>768</v>
      </c>
      <c r="AG149" t="s">
        <v>105</v>
      </c>
    </row>
    <row r="150" spans="1:33" x14ac:dyDescent="0.2">
      <c r="A150" s="2">
        <v>45009.513854166667</v>
      </c>
      <c r="B150" s="2">
        <v>45009.518414351849</v>
      </c>
      <c r="C150" t="s">
        <v>36</v>
      </c>
      <c r="D150" t="s">
        <v>771</v>
      </c>
      <c r="E150">
        <v>100</v>
      </c>
      <c r="F150">
        <v>393</v>
      </c>
      <c r="G150" t="b">
        <v>1</v>
      </c>
      <c r="H150" s="2">
        <v>45009.518414351849</v>
      </c>
      <c r="I150" t="s">
        <v>772</v>
      </c>
      <c r="N150">
        <v>45.497199999999999</v>
      </c>
      <c r="O150">
        <v>-122.69370000000001</v>
      </c>
      <c r="P150" t="s">
        <v>100</v>
      </c>
      <c r="Q150" t="s">
        <v>95</v>
      </c>
      <c r="R150" t="s">
        <v>773</v>
      </c>
      <c r="S150" t="s">
        <v>96</v>
      </c>
      <c r="T150">
        <v>20</v>
      </c>
      <c r="U150">
        <v>10</v>
      </c>
      <c r="V150">
        <v>25</v>
      </c>
      <c r="W150" t="s">
        <v>774</v>
      </c>
      <c r="X150">
        <v>500</v>
      </c>
      <c r="Y150">
        <v>10</v>
      </c>
      <c r="Z150">
        <v>1</v>
      </c>
      <c r="AA150">
        <v>20</v>
      </c>
      <c r="AB150">
        <v>100</v>
      </c>
      <c r="AC150">
        <v>10</v>
      </c>
      <c r="AD150" s="5">
        <v>0.05</v>
      </c>
      <c r="AE150" t="s">
        <v>104</v>
      </c>
      <c r="AF150" t="s">
        <v>773</v>
      </c>
      <c r="AG150" t="s">
        <v>125</v>
      </c>
    </row>
    <row r="151" spans="1:33" x14ac:dyDescent="0.2">
      <c r="A151" s="2">
        <v>45009.514398148145</v>
      </c>
      <c r="B151" s="2">
        <v>45009.518460648149</v>
      </c>
      <c r="C151" t="s">
        <v>36</v>
      </c>
      <c r="D151" t="s">
        <v>775</v>
      </c>
      <c r="E151">
        <v>100</v>
      </c>
      <c r="F151">
        <v>351</v>
      </c>
      <c r="G151" t="b">
        <v>1</v>
      </c>
      <c r="H151" s="2">
        <v>45009.518460648149</v>
      </c>
      <c r="I151" t="s">
        <v>776</v>
      </c>
      <c r="N151">
        <v>39.793199999999999</v>
      </c>
      <c r="O151">
        <v>-86.213200000000001</v>
      </c>
      <c r="P151" t="s">
        <v>100</v>
      </c>
      <c r="Q151" t="s">
        <v>95</v>
      </c>
      <c r="R151" t="s">
        <v>777</v>
      </c>
      <c r="S151" t="s">
        <v>96</v>
      </c>
      <c r="V151">
        <v>50</v>
      </c>
      <c r="W151" t="s">
        <v>778</v>
      </c>
      <c r="X151" t="s">
        <v>779</v>
      </c>
      <c r="Y151" t="s">
        <v>780</v>
      </c>
      <c r="Z151" s="3">
        <v>0.01</v>
      </c>
      <c r="AA151" s="3">
        <v>0.1</v>
      </c>
      <c r="AB151">
        <v>100</v>
      </c>
      <c r="AC151" s="3">
        <v>0.1</v>
      </c>
      <c r="AD151" t="s">
        <v>159</v>
      </c>
      <c r="AE151" t="s">
        <v>104</v>
      </c>
      <c r="AF151" t="s">
        <v>777</v>
      </c>
      <c r="AG151" t="s">
        <v>97</v>
      </c>
    </row>
    <row r="152" spans="1:33" x14ac:dyDescent="0.2">
      <c r="A152" s="2">
        <v>45009.514803240738</v>
      </c>
      <c r="B152" s="2">
        <v>45009.518472222226</v>
      </c>
      <c r="C152" t="s">
        <v>36</v>
      </c>
      <c r="D152" t="s">
        <v>781</v>
      </c>
      <c r="E152">
        <v>100</v>
      </c>
      <c r="F152">
        <v>317</v>
      </c>
      <c r="G152" t="b">
        <v>1</v>
      </c>
      <c r="H152" s="2">
        <v>45009.518483796295</v>
      </c>
      <c r="I152" t="s">
        <v>782</v>
      </c>
      <c r="N152">
        <v>36.3001</v>
      </c>
      <c r="O152">
        <v>-119.12949999999999</v>
      </c>
      <c r="P152" t="s">
        <v>100</v>
      </c>
      <c r="Q152" t="s">
        <v>95</v>
      </c>
      <c r="R152" t="s">
        <v>783</v>
      </c>
      <c r="S152" t="s">
        <v>96</v>
      </c>
      <c r="V152">
        <v>100</v>
      </c>
      <c r="W152" t="s">
        <v>784</v>
      </c>
      <c r="X152">
        <v>500</v>
      </c>
      <c r="Y152">
        <v>10</v>
      </c>
      <c r="Z152" s="4">
        <v>1E-3</v>
      </c>
      <c r="AA152">
        <v>20</v>
      </c>
      <c r="AB152">
        <v>100</v>
      </c>
      <c r="AC152" t="s">
        <v>785</v>
      </c>
      <c r="AD152" t="s">
        <v>786</v>
      </c>
      <c r="AE152">
        <v>100</v>
      </c>
      <c r="AF152" t="s">
        <v>783</v>
      </c>
      <c r="AG152" t="s">
        <v>97</v>
      </c>
    </row>
    <row r="153" spans="1:33" x14ac:dyDescent="0.2">
      <c r="A153" s="2">
        <v>45009.510520833333</v>
      </c>
      <c r="B153" s="2">
        <v>45009.518564814818</v>
      </c>
      <c r="C153" t="s">
        <v>36</v>
      </c>
      <c r="D153" t="s">
        <v>787</v>
      </c>
      <c r="E153">
        <v>100</v>
      </c>
      <c r="F153">
        <v>695</v>
      </c>
      <c r="G153" t="b">
        <v>1</v>
      </c>
      <c r="H153" s="2">
        <v>45009.518576388888</v>
      </c>
      <c r="I153" t="s">
        <v>788</v>
      </c>
      <c r="N153">
        <v>38.9114</v>
      </c>
      <c r="O153">
        <v>-94.347700000000003</v>
      </c>
      <c r="P153" t="s">
        <v>100</v>
      </c>
      <c r="Q153" t="s">
        <v>95</v>
      </c>
      <c r="R153" t="s">
        <v>789</v>
      </c>
      <c r="S153" t="s">
        <v>96</v>
      </c>
      <c r="V153">
        <v>90</v>
      </c>
      <c r="W153" t="s">
        <v>790</v>
      </c>
      <c r="X153">
        <v>500</v>
      </c>
      <c r="Y153">
        <v>10</v>
      </c>
      <c r="Z153">
        <v>0.1</v>
      </c>
      <c r="AA153">
        <v>20</v>
      </c>
      <c r="AB153">
        <v>100</v>
      </c>
      <c r="AC153" s="3">
        <v>0.3</v>
      </c>
      <c r="AD153">
        <v>1.05</v>
      </c>
      <c r="AE153" t="s">
        <v>104</v>
      </c>
      <c r="AF153" t="s">
        <v>789</v>
      </c>
      <c r="AG153" t="s">
        <v>97</v>
      </c>
    </row>
    <row r="154" spans="1:33" x14ac:dyDescent="0.2">
      <c r="A154" s="2">
        <v>45009.514780092592</v>
      </c>
      <c r="B154" s="2">
        <v>45009.518576388888</v>
      </c>
      <c r="C154" t="s">
        <v>36</v>
      </c>
      <c r="D154" t="s">
        <v>791</v>
      </c>
      <c r="E154">
        <v>100</v>
      </c>
      <c r="F154">
        <v>328</v>
      </c>
      <c r="G154" t="b">
        <v>1</v>
      </c>
      <c r="H154" s="2">
        <v>45009.518576388888</v>
      </c>
      <c r="I154" t="s">
        <v>792</v>
      </c>
      <c r="N154">
        <v>39.994300000000003</v>
      </c>
      <c r="O154">
        <v>-75.118099999999998</v>
      </c>
      <c r="P154" t="s">
        <v>100</v>
      </c>
      <c r="Q154" t="s">
        <v>95</v>
      </c>
      <c r="R154" t="s">
        <v>793</v>
      </c>
      <c r="S154" t="s">
        <v>96</v>
      </c>
      <c r="V154">
        <v>81</v>
      </c>
      <c r="W154" t="s">
        <v>794</v>
      </c>
      <c r="X154">
        <v>500</v>
      </c>
      <c r="Y154">
        <v>10</v>
      </c>
      <c r="Z154">
        <v>0.5</v>
      </c>
      <c r="AA154">
        <v>20</v>
      </c>
      <c r="AB154">
        <v>100</v>
      </c>
      <c r="AC154">
        <v>9</v>
      </c>
      <c r="AD154">
        <v>0.1</v>
      </c>
      <c r="AE154" t="s">
        <v>104</v>
      </c>
      <c r="AF154" t="s">
        <v>793</v>
      </c>
      <c r="AG154" t="s">
        <v>105</v>
      </c>
    </row>
    <row r="155" spans="1:33" x14ac:dyDescent="0.2">
      <c r="A155" s="2">
        <v>45009.511562500003</v>
      </c>
      <c r="B155" s="2">
        <v>45009.518680555557</v>
      </c>
      <c r="C155" t="s">
        <v>36</v>
      </c>
      <c r="D155" t="s">
        <v>795</v>
      </c>
      <c r="E155">
        <v>100</v>
      </c>
      <c r="F155">
        <v>614</v>
      </c>
      <c r="G155" t="b">
        <v>1</v>
      </c>
      <c r="H155" s="2">
        <v>45009.518680555557</v>
      </c>
      <c r="I155" t="s">
        <v>796</v>
      </c>
      <c r="N155">
        <v>37.150399999999998</v>
      </c>
      <c r="O155">
        <v>-84.522800000000004</v>
      </c>
      <c r="P155" t="s">
        <v>100</v>
      </c>
      <c r="Q155" t="s">
        <v>95</v>
      </c>
      <c r="R155" t="s">
        <v>797</v>
      </c>
      <c r="S155" t="s">
        <v>96</v>
      </c>
      <c r="V155">
        <v>100</v>
      </c>
      <c r="W155" t="s">
        <v>798</v>
      </c>
      <c r="X155">
        <v>500</v>
      </c>
      <c r="Y155">
        <v>10</v>
      </c>
      <c r="Z155">
        <v>0.1</v>
      </c>
      <c r="AA155">
        <v>20</v>
      </c>
      <c r="AB155">
        <v>100</v>
      </c>
      <c r="AC155" t="s">
        <v>799</v>
      </c>
      <c r="AD155">
        <v>0.05</v>
      </c>
      <c r="AE155">
        <v>100</v>
      </c>
      <c r="AF155" t="s">
        <v>797</v>
      </c>
      <c r="AG155" t="s">
        <v>97</v>
      </c>
    </row>
    <row r="156" spans="1:33" x14ac:dyDescent="0.2">
      <c r="A156" s="2">
        <v>45009.513391203705</v>
      </c>
      <c r="B156" s="2">
        <v>45009.518692129626</v>
      </c>
      <c r="C156" t="s">
        <v>36</v>
      </c>
      <c r="D156" t="s">
        <v>800</v>
      </c>
      <c r="E156">
        <v>100</v>
      </c>
      <c r="F156">
        <v>457</v>
      </c>
      <c r="G156" t="b">
        <v>1</v>
      </c>
      <c r="H156" s="2">
        <v>45009.518692129626</v>
      </c>
      <c r="I156" t="s">
        <v>801</v>
      </c>
      <c r="N156">
        <v>35.796999999999997</v>
      </c>
      <c r="O156">
        <v>-78.686499999999995</v>
      </c>
      <c r="P156" t="s">
        <v>100</v>
      </c>
      <c r="Q156" t="s">
        <v>95</v>
      </c>
      <c r="R156" t="s">
        <v>802</v>
      </c>
      <c r="S156" t="s">
        <v>96</v>
      </c>
      <c r="T156">
        <v>12</v>
      </c>
      <c r="U156" t="s">
        <v>803</v>
      </c>
      <c r="V156">
        <v>11</v>
      </c>
      <c r="W156" t="s">
        <v>804</v>
      </c>
      <c r="X156">
        <v>500</v>
      </c>
      <c r="Y156">
        <v>10</v>
      </c>
      <c r="Z156">
        <v>10</v>
      </c>
      <c r="AA156">
        <v>20</v>
      </c>
      <c r="AB156">
        <v>100</v>
      </c>
      <c r="AC156" s="3">
        <v>0.11</v>
      </c>
      <c r="AD156" t="s">
        <v>805</v>
      </c>
      <c r="AE156" t="s">
        <v>104</v>
      </c>
      <c r="AF156" t="s">
        <v>802</v>
      </c>
      <c r="AG156" t="s">
        <v>125</v>
      </c>
    </row>
    <row r="157" spans="1:33" x14ac:dyDescent="0.2">
      <c r="A157" s="2">
        <v>45009.514374999999</v>
      </c>
      <c r="B157" s="2">
        <v>45009.518726851849</v>
      </c>
      <c r="C157" t="s">
        <v>36</v>
      </c>
      <c r="D157" t="s">
        <v>806</v>
      </c>
      <c r="E157">
        <v>100</v>
      </c>
      <c r="F157">
        <v>376</v>
      </c>
      <c r="G157" t="b">
        <v>1</v>
      </c>
      <c r="H157" s="2">
        <v>45009.518738425926</v>
      </c>
      <c r="I157" t="s">
        <v>807</v>
      </c>
      <c r="N157">
        <v>40.433900000000001</v>
      </c>
      <c r="O157">
        <v>-79.999600000000001</v>
      </c>
      <c r="P157" t="s">
        <v>100</v>
      </c>
      <c r="Q157" t="s">
        <v>95</v>
      </c>
      <c r="R157" t="s">
        <v>808</v>
      </c>
      <c r="S157" t="s">
        <v>96</v>
      </c>
      <c r="V157">
        <v>100</v>
      </c>
      <c r="W157" t="s">
        <v>809</v>
      </c>
      <c r="X157">
        <v>500</v>
      </c>
      <c r="Y157">
        <v>10</v>
      </c>
      <c r="Z157">
        <v>1</v>
      </c>
      <c r="AA157">
        <v>20</v>
      </c>
      <c r="AB157">
        <v>100</v>
      </c>
      <c r="AC157">
        <v>90</v>
      </c>
      <c r="AD157">
        <v>0.9</v>
      </c>
      <c r="AE157">
        <v>5</v>
      </c>
      <c r="AF157" t="s">
        <v>808</v>
      </c>
      <c r="AG157" t="s">
        <v>111</v>
      </c>
    </row>
    <row r="158" spans="1:33" x14ac:dyDescent="0.2">
      <c r="A158" s="2">
        <v>45009.513171296298</v>
      </c>
      <c r="B158" s="2">
        <v>45009.518912037034</v>
      </c>
      <c r="C158" t="s">
        <v>36</v>
      </c>
      <c r="D158" t="s">
        <v>810</v>
      </c>
      <c r="E158">
        <v>100</v>
      </c>
      <c r="F158">
        <v>496</v>
      </c>
      <c r="G158" t="b">
        <v>1</v>
      </c>
      <c r="H158" s="2">
        <v>45009.518923611111</v>
      </c>
      <c r="I158" t="s">
        <v>811</v>
      </c>
      <c r="N158">
        <v>25.811900000000001</v>
      </c>
      <c r="O158">
        <v>-80.231800000000007</v>
      </c>
      <c r="P158" t="s">
        <v>100</v>
      </c>
      <c r="Q158" t="s">
        <v>95</v>
      </c>
      <c r="R158" s="6" t="s">
        <v>812</v>
      </c>
      <c r="S158" t="s">
        <v>96</v>
      </c>
      <c r="V158">
        <v>91</v>
      </c>
      <c r="W158" t="s">
        <v>813</v>
      </c>
      <c r="X158">
        <v>600</v>
      </c>
      <c r="Y158">
        <v>10</v>
      </c>
      <c r="Z158">
        <v>0.1</v>
      </c>
      <c r="AA158">
        <v>20</v>
      </c>
      <c r="AB158">
        <v>100</v>
      </c>
      <c r="AC158" s="3">
        <v>0.9</v>
      </c>
      <c r="AD158">
        <v>0.05</v>
      </c>
      <c r="AE158" t="s">
        <v>266</v>
      </c>
      <c r="AF158" s="6" t="s">
        <v>812</v>
      </c>
      <c r="AG158" t="s">
        <v>105</v>
      </c>
    </row>
    <row r="159" spans="1:33" x14ac:dyDescent="0.2">
      <c r="A159" s="2">
        <v>45009.509675925925</v>
      </c>
      <c r="B159" s="2">
        <v>45009.518935185188</v>
      </c>
      <c r="C159" t="s">
        <v>36</v>
      </c>
      <c r="D159" t="s">
        <v>814</v>
      </c>
      <c r="E159">
        <v>100</v>
      </c>
      <c r="F159">
        <v>800</v>
      </c>
      <c r="G159" t="b">
        <v>1</v>
      </c>
      <c r="H159" s="2">
        <v>45009.518935185188</v>
      </c>
      <c r="I159" t="s">
        <v>815</v>
      </c>
      <c r="N159">
        <v>38.581000000000003</v>
      </c>
      <c r="O159">
        <v>-121.4939</v>
      </c>
      <c r="P159" t="s">
        <v>100</v>
      </c>
      <c r="Q159" t="s">
        <v>95</v>
      </c>
      <c r="R159" t="s">
        <v>816</v>
      </c>
      <c r="S159" t="s">
        <v>96</v>
      </c>
      <c r="V159">
        <v>70</v>
      </c>
      <c r="W159" t="s">
        <v>817</v>
      </c>
      <c r="X159">
        <v>500</v>
      </c>
      <c r="Y159">
        <v>10</v>
      </c>
      <c r="Z159">
        <v>0.1</v>
      </c>
      <c r="AA159">
        <v>20</v>
      </c>
      <c r="AB159">
        <v>100</v>
      </c>
      <c r="AC159">
        <v>90</v>
      </c>
      <c r="AD159">
        <v>0.05</v>
      </c>
      <c r="AE159" t="s">
        <v>104</v>
      </c>
      <c r="AF159" t="s">
        <v>816</v>
      </c>
      <c r="AG159" t="s">
        <v>105</v>
      </c>
    </row>
    <row r="160" spans="1:33" x14ac:dyDescent="0.2">
      <c r="A160" s="2">
        <v>45009.516504629632</v>
      </c>
      <c r="B160" s="2">
        <v>45009.519050925926</v>
      </c>
      <c r="C160" t="s">
        <v>36</v>
      </c>
      <c r="D160" t="s">
        <v>818</v>
      </c>
      <c r="E160">
        <v>100</v>
      </c>
      <c r="F160">
        <v>219</v>
      </c>
      <c r="G160" t="b">
        <v>1</v>
      </c>
      <c r="H160" s="2">
        <v>45009.519062500003</v>
      </c>
      <c r="I160" t="s">
        <v>819</v>
      </c>
      <c r="N160">
        <v>40.742400000000004</v>
      </c>
      <c r="O160">
        <v>-74.032499999999999</v>
      </c>
      <c r="P160" t="s">
        <v>100</v>
      </c>
      <c r="Q160" t="s">
        <v>95</v>
      </c>
      <c r="R160" t="s">
        <v>820</v>
      </c>
      <c r="S160" t="s">
        <v>96</v>
      </c>
      <c r="V160">
        <v>32</v>
      </c>
      <c r="W160" t="s">
        <v>821</v>
      </c>
      <c r="X160">
        <v>500</v>
      </c>
      <c r="Y160">
        <v>10</v>
      </c>
      <c r="Z160" s="4">
        <v>1E-3</v>
      </c>
      <c r="AA160" s="3">
        <v>0.2</v>
      </c>
      <c r="AB160">
        <v>100</v>
      </c>
      <c r="AC160" s="3">
        <v>0.09</v>
      </c>
      <c r="AD160">
        <v>0.1</v>
      </c>
      <c r="AE160" t="s">
        <v>104</v>
      </c>
      <c r="AF160" t="s">
        <v>820</v>
      </c>
      <c r="AG160" t="s">
        <v>111</v>
      </c>
    </row>
    <row r="161" spans="1:33" x14ac:dyDescent="0.2">
      <c r="A161" s="2">
        <v>45009.516817129632</v>
      </c>
      <c r="B161" s="2">
        <v>45009.519131944442</v>
      </c>
      <c r="C161" t="s">
        <v>36</v>
      </c>
      <c r="D161" t="s">
        <v>822</v>
      </c>
      <c r="E161">
        <v>100</v>
      </c>
      <c r="F161">
        <v>200</v>
      </c>
      <c r="G161" t="b">
        <v>1</v>
      </c>
      <c r="H161" s="2">
        <v>45009.519143518519</v>
      </c>
      <c r="I161" t="s">
        <v>823</v>
      </c>
      <c r="N161">
        <v>40.8446</v>
      </c>
      <c r="O161">
        <v>-74.5749</v>
      </c>
      <c r="P161" t="s">
        <v>100</v>
      </c>
      <c r="Q161" t="s">
        <v>95</v>
      </c>
      <c r="R161" t="s">
        <v>824</v>
      </c>
      <c r="S161" t="s">
        <v>96</v>
      </c>
      <c r="V161">
        <v>90</v>
      </c>
      <c r="W161" t="s">
        <v>825</v>
      </c>
      <c r="X161">
        <v>600</v>
      </c>
      <c r="Y161">
        <v>10</v>
      </c>
      <c r="Z161" s="4">
        <v>1E-3</v>
      </c>
      <c r="AA161">
        <v>20</v>
      </c>
      <c r="AB161">
        <v>100</v>
      </c>
      <c r="AC161" s="3">
        <v>0.09</v>
      </c>
      <c r="AD161" t="s">
        <v>297</v>
      </c>
      <c r="AE161" t="s">
        <v>266</v>
      </c>
      <c r="AF161" t="s">
        <v>824</v>
      </c>
      <c r="AG161" t="s">
        <v>97</v>
      </c>
    </row>
    <row r="162" spans="1:33" x14ac:dyDescent="0.2">
      <c r="A162" s="2">
        <v>45009.509421296294</v>
      </c>
      <c r="B162" s="2">
        <v>45009.519178240742</v>
      </c>
      <c r="C162" t="s">
        <v>36</v>
      </c>
      <c r="D162" t="s">
        <v>826</v>
      </c>
      <c r="E162">
        <v>100</v>
      </c>
      <c r="F162">
        <v>842</v>
      </c>
      <c r="G162" t="b">
        <v>1</v>
      </c>
      <c r="H162" s="2">
        <v>45009.519178240742</v>
      </c>
      <c r="I162" t="s">
        <v>827</v>
      </c>
      <c r="N162">
        <v>42.885899999999999</v>
      </c>
      <c r="O162">
        <v>-71.299000000000007</v>
      </c>
      <c r="P162" t="s">
        <v>100</v>
      </c>
      <c r="Q162" t="s">
        <v>95</v>
      </c>
      <c r="R162" t="s">
        <v>828</v>
      </c>
      <c r="S162" t="s">
        <v>96</v>
      </c>
      <c r="V162">
        <v>80</v>
      </c>
      <c r="W162" t="s">
        <v>829</v>
      </c>
      <c r="X162">
        <v>500</v>
      </c>
      <c r="Y162">
        <v>10</v>
      </c>
      <c r="Z162">
        <v>0.01</v>
      </c>
      <c r="AA162">
        <v>20</v>
      </c>
      <c r="AB162">
        <v>100</v>
      </c>
      <c r="AC162">
        <v>50</v>
      </c>
      <c r="AD162">
        <v>0.1</v>
      </c>
      <c r="AE162">
        <v>5</v>
      </c>
      <c r="AF162" t="s">
        <v>828</v>
      </c>
      <c r="AG162" t="s">
        <v>97</v>
      </c>
    </row>
    <row r="163" spans="1:33" x14ac:dyDescent="0.2">
      <c r="A163" s="2">
        <v>45009.517835648148</v>
      </c>
      <c r="B163" s="2">
        <v>45009.519224537034</v>
      </c>
      <c r="C163" t="s">
        <v>36</v>
      </c>
      <c r="D163" t="s">
        <v>830</v>
      </c>
      <c r="E163">
        <v>100</v>
      </c>
      <c r="F163">
        <v>120</v>
      </c>
      <c r="G163" t="b">
        <v>1</v>
      </c>
      <c r="H163" s="2">
        <v>45009.519236111111</v>
      </c>
      <c r="I163" t="s">
        <v>831</v>
      </c>
      <c r="N163">
        <v>39.977600000000002</v>
      </c>
      <c r="O163">
        <v>-75.309899999999999</v>
      </c>
      <c r="P163" t="s">
        <v>100</v>
      </c>
      <c r="Q163" t="s">
        <v>95</v>
      </c>
      <c r="R163" t="s">
        <v>832</v>
      </c>
      <c r="S163" t="s">
        <v>96</v>
      </c>
      <c r="V163">
        <v>0</v>
      </c>
      <c r="W163" t="s">
        <v>833</v>
      </c>
      <c r="X163">
        <v>4</v>
      </c>
      <c r="Y163">
        <v>1</v>
      </c>
      <c r="Z163">
        <v>1</v>
      </c>
      <c r="AA163">
        <v>2</v>
      </c>
      <c r="AB163">
        <v>3</v>
      </c>
      <c r="AC163">
        <v>40</v>
      </c>
      <c r="AD163">
        <v>1</v>
      </c>
      <c r="AE163">
        <v>2</v>
      </c>
      <c r="AF163" t="s">
        <v>832</v>
      </c>
      <c r="AG163" t="s">
        <v>111</v>
      </c>
    </row>
    <row r="164" spans="1:33" x14ac:dyDescent="0.2">
      <c r="A164" s="2">
        <v>45009.516944444447</v>
      </c>
      <c r="B164" s="2">
        <v>45009.519259259258</v>
      </c>
      <c r="C164" t="s">
        <v>36</v>
      </c>
      <c r="D164" t="s">
        <v>834</v>
      </c>
      <c r="E164">
        <v>100</v>
      </c>
      <c r="F164">
        <v>200</v>
      </c>
      <c r="G164" t="b">
        <v>1</v>
      </c>
      <c r="H164" s="2">
        <v>45009.519270833334</v>
      </c>
      <c r="I164" t="s">
        <v>835</v>
      </c>
      <c r="N164">
        <v>33.606900000000003</v>
      </c>
      <c r="O164">
        <v>-112.2822</v>
      </c>
      <c r="P164" t="s">
        <v>100</v>
      </c>
      <c r="Q164" t="s">
        <v>95</v>
      </c>
      <c r="R164" t="s">
        <v>836</v>
      </c>
      <c r="S164" t="s">
        <v>96</v>
      </c>
      <c r="V164">
        <v>86</v>
      </c>
      <c r="W164" t="s">
        <v>837</v>
      </c>
      <c r="X164">
        <v>500</v>
      </c>
      <c r="Y164">
        <v>10</v>
      </c>
      <c r="Z164">
        <v>1E-3</v>
      </c>
      <c r="AA164">
        <v>20</v>
      </c>
      <c r="AB164">
        <v>100</v>
      </c>
      <c r="AC164">
        <v>80</v>
      </c>
      <c r="AD164">
        <v>0.05</v>
      </c>
      <c r="AE164">
        <v>5</v>
      </c>
      <c r="AF164" t="s">
        <v>836</v>
      </c>
      <c r="AG164" t="s">
        <v>97</v>
      </c>
    </row>
    <row r="165" spans="1:33" x14ac:dyDescent="0.2">
      <c r="A165" s="2">
        <v>45009.511041666665</v>
      </c>
      <c r="B165" s="2">
        <v>45009.519236111111</v>
      </c>
      <c r="C165" t="s">
        <v>36</v>
      </c>
      <c r="D165" t="s">
        <v>838</v>
      </c>
      <c r="E165">
        <v>100</v>
      </c>
      <c r="F165">
        <v>708</v>
      </c>
      <c r="G165" t="b">
        <v>1</v>
      </c>
      <c r="H165" s="2">
        <v>45009.519282407404</v>
      </c>
      <c r="I165" t="s">
        <v>839</v>
      </c>
      <c r="N165">
        <v>29.422699999999999</v>
      </c>
      <c r="O165">
        <v>-98.492699999999999</v>
      </c>
      <c r="P165" t="s">
        <v>100</v>
      </c>
      <c r="Q165" t="s">
        <v>95</v>
      </c>
      <c r="R165" t="s">
        <v>840</v>
      </c>
      <c r="S165" t="s">
        <v>96</v>
      </c>
      <c r="V165">
        <v>100</v>
      </c>
      <c r="W165" t="s">
        <v>841</v>
      </c>
      <c r="X165">
        <v>500</v>
      </c>
      <c r="Y165">
        <v>10</v>
      </c>
      <c r="Z165">
        <v>0.1</v>
      </c>
      <c r="AA165">
        <v>20</v>
      </c>
      <c r="AB165">
        <v>100</v>
      </c>
      <c r="AC165" s="3">
        <v>0.09</v>
      </c>
      <c r="AD165" s="5">
        <v>0.05</v>
      </c>
      <c r="AE165" t="s">
        <v>104</v>
      </c>
      <c r="AF165" t="s">
        <v>840</v>
      </c>
      <c r="AG165" t="s">
        <v>97</v>
      </c>
    </row>
    <row r="166" spans="1:33" x14ac:dyDescent="0.2">
      <c r="A166" s="2">
        <v>45009.515208333331</v>
      </c>
      <c r="B166" s="2">
        <v>45009.51934027778</v>
      </c>
      <c r="C166" t="s">
        <v>36</v>
      </c>
      <c r="D166" t="s">
        <v>842</v>
      </c>
      <c r="E166">
        <v>100</v>
      </c>
      <c r="F166">
        <v>356</v>
      </c>
      <c r="G166" t="b">
        <v>1</v>
      </c>
      <c r="H166" s="2">
        <v>45009.51935185185</v>
      </c>
      <c r="I166" t="s">
        <v>843</v>
      </c>
      <c r="N166">
        <v>40.642099999999999</v>
      </c>
      <c r="O166">
        <v>-79.7273</v>
      </c>
      <c r="P166" t="s">
        <v>100</v>
      </c>
      <c r="Q166" t="s">
        <v>95</v>
      </c>
      <c r="R166" t="s">
        <v>844</v>
      </c>
      <c r="S166" t="s">
        <v>96</v>
      </c>
      <c r="V166">
        <v>6</v>
      </c>
      <c r="W166" t="s">
        <v>845</v>
      </c>
      <c r="X166">
        <v>500</v>
      </c>
      <c r="Y166">
        <v>10</v>
      </c>
      <c r="Z166">
        <v>0.1</v>
      </c>
      <c r="AA166">
        <v>20</v>
      </c>
      <c r="AB166">
        <v>100</v>
      </c>
      <c r="AC166">
        <v>10</v>
      </c>
      <c r="AD166">
        <v>0.1</v>
      </c>
      <c r="AE166">
        <v>100</v>
      </c>
      <c r="AF166" t="s">
        <v>844</v>
      </c>
      <c r="AG166" t="s">
        <v>111</v>
      </c>
    </row>
    <row r="167" spans="1:33" x14ac:dyDescent="0.2">
      <c r="A167" s="2">
        <v>45009.515057870369</v>
      </c>
      <c r="B167" s="2">
        <v>45009.519409722219</v>
      </c>
      <c r="C167" t="s">
        <v>36</v>
      </c>
      <c r="D167" t="s">
        <v>846</v>
      </c>
      <c r="E167">
        <v>100</v>
      </c>
      <c r="F167">
        <v>376</v>
      </c>
      <c r="G167" t="b">
        <v>1</v>
      </c>
      <c r="H167" s="2">
        <v>45009.519421296296</v>
      </c>
      <c r="I167" t="s">
        <v>847</v>
      </c>
      <c r="N167">
        <v>41.913699999999999</v>
      </c>
      <c r="O167">
        <v>-70.639300000000006</v>
      </c>
      <c r="P167" t="s">
        <v>100</v>
      </c>
      <c r="Q167" t="s">
        <v>95</v>
      </c>
      <c r="R167" t="s">
        <v>848</v>
      </c>
      <c r="S167" t="s">
        <v>96</v>
      </c>
      <c r="V167">
        <v>10</v>
      </c>
      <c r="W167" t="s">
        <v>849</v>
      </c>
      <c r="X167">
        <v>500</v>
      </c>
      <c r="Y167">
        <v>10</v>
      </c>
      <c r="Z167" s="4">
        <v>1.0000000000000001E-5</v>
      </c>
      <c r="AA167">
        <v>20</v>
      </c>
      <c r="AB167">
        <v>100</v>
      </c>
      <c r="AC167" s="3">
        <v>0.18</v>
      </c>
      <c r="AD167">
        <v>0.05</v>
      </c>
      <c r="AE167" t="s">
        <v>266</v>
      </c>
      <c r="AF167" t="s">
        <v>848</v>
      </c>
      <c r="AG167" t="s">
        <v>111</v>
      </c>
    </row>
    <row r="168" spans="1:33" x14ac:dyDescent="0.2">
      <c r="A168" s="2">
        <v>45009.514756944445</v>
      </c>
      <c r="B168" s="2">
        <v>45009.519467592596</v>
      </c>
      <c r="C168" t="s">
        <v>36</v>
      </c>
      <c r="D168" t="s">
        <v>850</v>
      </c>
      <c r="E168">
        <v>100</v>
      </c>
      <c r="F168">
        <v>407</v>
      </c>
      <c r="G168" t="b">
        <v>1</v>
      </c>
      <c r="H168" s="2">
        <v>45009.519467592596</v>
      </c>
      <c r="I168" t="s">
        <v>851</v>
      </c>
      <c r="N168">
        <v>38.893999999999998</v>
      </c>
      <c r="O168">
        <v>-77.036500000000004</v>
      </c>
      <c r="P168" t="s">
        <v>100</v>
      </c>
      <c r="Q168" t="s">
        <v>95</v>
      </c>
      <c r="R168" t="s">
        <v>852</v>
      </c>
      <c r="S168" t="s">
        <v>96</v>
      </c>
      <c r="V168">
        <v>21</v>
      </c>
      <c r="W168" t="s">
        <v>853</v>
      </c>
      <c r="X168">
        <v>50</v>
      </c>
      <c r="Y168">
        <v>10</v>
      </c>
      <c r="Z168">
        <v>1</v>
      </c>
      <c r="AA168">
        <v>20</v>
      </c>
      <c r="AB168">
        <v>10</v>
      </c>
      <c r="AC168">
        <v>90</v>
      </c>
      <c r="AD168">
        <v>10</v>
      </c>
      <c r="AE168">
        <v>5</v>
      </c>
      <c r="AF168" t="s">
        <v>852</v>
      </c>
      <c r="AG168" t="s">
        <v>111</v>
      </c>
    </row>
    <row r="169" spans="1:33" x14ac:dyDescent="0.2">
      <c r="A169" s="2">
        <v>45009.510347222225</v>
      </c>
      <c r="B169" s="2">
        <v>45009.519537037035</v>
      </c>
      <c r="C169" t="s">
        <v>36</v>
      </c>
      <c r="D169" t="s">
        <v>854</v>
      </c>
      <c r="E169">
        <v>100</v>
      </c>
      <c r="F169">
        <v>794</v>
      </c>
      <c r="G169" t="b">
        <v>1</v>
      </c>
      <c r="H169" s="2">
        <v>45009.519548611112</v>
      </c>
      <c r="I169" t="s">
        <v>855</v>
      </c>
      <c r="N169">
        <v>42.6584</v>
      </c>
      <c r="O169">
        <v>-83.236400000000003</v>
      </c>
      <c r="P169" t="s">
        <v>100</v>
      </c>
      <c r="Q169" t="s">
        <v>95</v>
      </c>
      <c r="R169" t="s">
        <v>856</v>
      </c>
      <c r="S169" t="s">
        <v>96</v>
      </c>
      <c r="V169">
        <v>43</v>
      </c>
      <c r="W169" t="s">
        <v>857</v>
      </c>
      <c r="X169">
        <v>500</v>
      </c>
      <c r="Y169">
        <v>10</v>
      </c>
      <c r="Z169" s="4">
        <v>1E-3</v>
      </c>
      <c r="AA169">
        <v>20</v>
      </c>
      <c r="AB169">
        <v>100</v>
      </c>
      <c r="AC169">
        <v>50</v>
      </c>
      <c r="AD169">
        <v>0.05</v>
      </c>
      <c r="AE169" t="s">
        <v>104</v>
      </c>
      <c r="AF169" t="s">
        <v>856</v>
      </c>
      <c r="AG169" t="s">
        <v>111</v>
      </c>
    </row>
    <row r="170" spans="1:33" x14ac:dyDescent="0.2">
      <c r="A170" s="2">
        <v>45009.517488425925</v>
      </c>
      <c r="B170" s="2">
        <v>45009.519814814812</v>
      </c>
      <c r="C170" t="s">
        <v>36</v>
      </c>
      <c r="D170" t="s">
        <v>858</v>
      </c>
      <c r="E170">
        <v>100</v>
      </c>
      <c r="F170">
        <v>200</v>
      </c>
      <c r="G170" t="b">
        <v>1</v>
      </c>
      <c r="H170" s="2">
        <v>45009.519814814812</v>
      </c>
      <c r="I170" t="s">
        <v>859</v>
      </c>
      <c r="N170">
        <v>33.801900000000003</v>
      </c>
      <c r="O170">
        <v>-84.386099999999999</v>
      </c>
      <c r="P170" t="s">
        <v>100</v>
      </c>
      <c r="Q170" t="s">
        <v>95</v>
      </c>
      <c r="R170" t="s">
        <v>860</v>
      </c>
      <c r="S170" t="s">
        <v>96</v>
      </c>
      <c r="V170">
        <v>82</v>
      </c>
      <c r="W170" t="s">
        <v>861</v>
      </c>
      <c r="X170">
        <v>500</v>
      </c>
      <c r="Y170">
        <v>10</v>
      </c>
      <c r="Z170">
        <v>0.1</v>
      </c>
      <c r="AA170">
        <v>20</v>
      </c>
      <c r="AB170">
        <v>10</v>
      </c>
      <c r="AC170" s="3">
        <v>0.5</v>
      </c>
      <c r="AD170">
        <v>0.05</v>
      </c>
      <c r="AE170">
        <v>5</v>
      </c>
      <c r="AF170" t="s">
        <v>860</v>
      </c>
      <c r="AG170" t="s">
        <v>97</v>
      </c>
    </row>
    <row r="171" spans="1:33" x14ac:dyDescent="0.2">
      <c r="A171" s="2">
        <v>45009.517361111109</v>
      </c>
      <c r="B171" s="2">
        <v>45009.519826388889</v>
      </c>
      <c r="C171" t="s">
        <v>36</v>
      </c>
      <c r="D171" t="s">
        <v>862</v>
      </c>
      <c r="E171">
        <v>100</v>
      </c>
      <c r="F171">
        <v>213</v>
      </c>
      <c r="G171" t="b">
        <v>1</v>
      </c>
      <c r="H171" s="2">
        <v>45009.519837962966</v>
      </c>
      <c r="I171" t="s">
        <v>863</v>
      </c>
      <c r="N171">
        <v>38.768000000000001</v>
      </c>
      <c r="O171">
        <v>-121.3349</v>
      </c>
      <c r="P171" t="s">
        <v>100</v>
      </c>
      <c r="Q171" t="s">
        <v>95</v>
      </c>
      <c r="R171" t="s">
        <v>864</v>
      </c>
      <c r="S171" t="s">
        <v>96</v>
      </c>
      <c r="V171">
        <v>85</v>
      </c>
      <c r="W171" t="s">
        <v>865</v>
      </c>
      <c r="X171">
        <v>500</v>
      </c>
      <c r="Y171">
        <v>10</v>
      </c>
      <c r="Z171">
        <v>0.01</v>
      </c>
      <c r="AA171">
        <v>20</v>
      </c>
      <c r="AB171">
        <v>100</v>
      </c>
      <c r="AC171">
        <v>90</v>
      </c>
      <c r="AD171">
        <v>0.05</v>
      </c>
      <c r="AE171">
        <v>5</v>
      </c>
      <c r="AF171" t="s">
        <v>864</v>
      </c>
      <c r="AG171" t="s">
        <v>111</v>
      </c>
    </row>
    <row r="172" spans="1:33" x14ac:dyDescent="0.2">
      <c r="A172" s="2">
        <v>45009.514780092592</v>
      </c>
      <c r="B172" s="2">
        <v>45009.519837962966</v>
      </c>
      <c r="C172" t="s">
        <v>36</v>
      </c>
      <c r="D172" t="s">
        <v>866</v>
      </c>
      <c r="E172">
        <v>100</v>
      </c>
      <c r="F172">
        <v>437</v>
      </c>
      <c r="G172" t="b">
        <v>1</v>
      </c>
      <c r="H172" s="2">
        <v>45009.519849537035</v>
      </c>
      <c r="I172" t="s">
        <v>867</v>
      </c>
      <c r="N172">
        <v>40.7667</v>
      </c>
      <c r="O172">
        <v>-74.031099999999995</v>
      </c>
      <c r="P172" t="s">
        <v>100</v>
      </c>
      <c r="Q172" t="s">
        <v>95</v>
      </c>
      <c r="R172" t="s">
        <v>868</v>
      </c>
      <c r="S172" t="s">
        <v>96</v>
      </c>
      <c r="V172">
        <v>60</v>
      </c>
      <c r="W172" t="s">
        <v>869</v>
      </c>
      <c r="X172">
        <v>500</v>
      </c>
      <c r="Y172">
        <v>10</v>
      </c>
      <c r="Z172" s="4">
        <v>1E-3</v>
      </c>
      <c r="AA172">
        <v>20</v>
      </c>
      <c r="AB172">
        <v>100</v>
      </c>
      <c r="AC172">
        <v>50</v>
      </c>
      <c r="AD172">
        <v>0.05</v>
      </c>
      <c r="AE172" t="s">
        <v>104</v>
      </c>
      <c r="AF172" t="s">
        <v>868</v>
      </c>
      <c r="AG172" t="s">
        <v>105</v>
      </c>
    </row>
    <row r="173" spans="1:33" x14ac:dyDescent="0.2">
      <c r="A173" s="2">
        <v>45009.517743055556</v>
      </c>
      <c r="B173" s="2">
        <v>45009.519988425927</v>
      </c>
      <c r="C173" t="s">
        <v>36</v>
      </c>
      <c r="D173" t="s">
        <v>870</v>
      </c>
      <c r="E173">
        <v>100</v>
      </c>
      <c r="F173">
        <v>194</v>
      </c>
      <c r="G173" t="b">
        <v>1</v>
      </c>
      <c r="H173" s="2">
        <v>45009.519988425927</v>
      </c>
      <c r="I173" t="s">
        <v>871</v>
      </c>
      <c r="N173">
        <v>36.035800000000002</v>
      </c>
      <c r="O173">
        <v>-79.507499999999993</v>
      </c>
      <c r="P173" t="s">
        <v>100</v>
      </c>
      <c r="Q173" t="s">
        <v>95</v>
      </c>
      <c r="R173" t="s">
        <v>872</v>
      </c>
      <c r="S173" t="s">
        <v>96</v>
      </c>
      <c r="T173">
        <v>60</v>
      </c>
      <c r="V173">
        <v>60</v>
      </c>
      <c r="W173" t="s">
        <v>873</v>
      </c>
      <c r="X173">
        <v>500</v>
      </c>
      <c r="Y173">
        <v>10</v>
      </c>
      <c r="Z173">
        <v>0.1</v>
      </c>
      <c r="AA173">
        <v>20</v>
      </c>
      <c r="AB173">
        <v>100</v>
      </c>
      <c r="AC173" s="3">
        <v>0.09</v>
      </c>
      <c r="AD173">
        <v>0.05</v>
      </c>
      <c r="AE173" t="s">
        <v>104</v>
      </c>
      <c r="AF173" t="s">
        <v>872</v>
      </c>
      <c r="AG173" t="s">
        <v>125</v>
      </c>
    </row>
    <row r="174" spans="1:33" x14ac:dyDescent="0.2">
      <c r="A174" s="2">
        <v>45009.505439814813</v>
      </c>
      <c r="B174" s="2">
        <v>45009.52008101852</v>
      </c>
      <c r="C174" t="s">
        <v>36</v>
      </c>
      <c r="D174" t="s">
        <v>874</v>
      </c>
      <c r="E174">
        <v>100</v>
      </c>
      <c r="F174">
        <v>1265</v>
      </c>
      <c r="G174" t="b">
        <v>1</v>
      </c>
      <c r="H174" s="2">
        <v>45009.520092592589</v>
      </c>
      <c r="I174" t="s">
        <v>875</v>
      </c>
      <c r="N174">
        <v>32.720300000000002</v>
      </c>
      <c r="O174">
        <v>-117.15519999999999</v>
      </c>
      <c r="P174" t="s">
        <v>100</v>
      </c>
      <c r="Q174" t="s">
        <v>95</v>
      </c>
      <c r="R174" t="s">
        <v>876</v>
      </c>
      <c r="S174" t="s">
        <v>96</v>
      </c>
      <c r="V174">
        <v>10</v>
      </c>
      <c r="W174" t="s">
        <v>877</v>
      </c>
      <c r="X174">
        <v>500</v>
      </c>
      <c r="Y174">
        <v>10</v>
      </c>
      <c r="Z174" s="4">
        <v>1E-3</v>
      </c>
      <c r="AA174">
        <v>20</v>
      </c>
      <c r="AB174">
        <v>100</v>
      </c>
      <c r="AC174" s="3">
        <v>0.5</v>
      </c>
      <c r="AD174" s="5">
        <v>0.05</v>
      </c>
      <c r="AE174" t="s">
        <v>104</v>
      </c>
      <c r="AF174" t="s">
        <v>876</v>
      </c>
      <c r="AG174" t="s">
        <v>111</v>
      </c>
    </row>
    <row r="175" spans="1:33" x14ac:dyDescent="0.2">
      <c r="A175" s="2">
        <v>45009.512627314813</v>
      </c>
      <c r="B175" s="2">
        <v>45009.520208333335</v>
      </c>
      <c r="C175" t="s">
        <v>36</v>
      </c>
      <c r="D175" t="s">
        <v>878</v>
      </c>
      <c r="E175">
        <v>100</v>
      </c>
      <c r="F175">
        <v>655</v>
      </c>
      <c r="G175" t="b">
        <v>1</v>
      </c>
      <c r="H175" s="2">
        <v>45009.520219907405</v>
      </c>
      <c r="I175" t="s">
        <v>879</v>
      </c>
      <c r="N175">
        <v>33.1494</v>
      </c>
      <c r="O175">
        <v>-96.828000000000003</v>
      </c>
      <c r="P175" t="s">
        <v>100</v>
      </c>
      <c r="Q175" t="s">
        <v>95</v>
      </c>
      <c r="R175" t="s">
        <v>880</v>
      </c>
      <c r="S175" t="s">
        <v>96</v>
      </c>
      <c r="T175">
        <v>64</v>
      </c>
      <c r="V175">
        <v>64</v>
      </c>
      <c r="W175" t="s">
        <v>881</v>
      </c>
      <c r="X175">
        <v>500</v>
      </c>
      <c r="Y175">
        <v>10</v>
      </c>
      <c r="Z175" s="4">
        <v>1E-3</v>
      </c>
      <c r="AA175">
        <v>20</v>
      </c>
      <c r="AB175">
        <v>100</v>
      </c>
      <c r="AC175" s="3">
        <v>0.5</v>
      </c>
      <c r="AD175" s="5">
        <v>0.05</v>
      </c>
      <c r="AE175">
        <v>500</v>
      </c>
      <c r="AF175" t="s">
        <v>880</v>
      </c>
      <c r="AG175" t="s">
        <v>125</v>
      </c>
    </row>
    <row r="176" spans="1:33" x14ac:dyDescent="0.2">
      <c r="A176" s="2">
        <v>45009.516423611109</v>
      </c>
      <c r="B176" s="2">
        <v>45009.520289351851</v>
      </c>
      <c r="C176" t="s">
        <v>36</v>
      </c>
      <c r="D176" t="s">
        <v>882</v>
      </c>
      <c r="E176">
        <v>100</v>
      </c>
      <c r="F176">
        <v>333</v>
      </c>
      <c r="G176" t="b">
        <v>1</v>
      </c>
      <c r="H176" s="2">
        <v>45009.520289351851</v>
      </c>
      <c r="I176" t="s">
        <v>883</v>
      </c>
      <c r="N176">
        <v>45.063600000000001</v>
      </c>
      <c r="O176">
        <v>-93.298500000000004</v>
      </c>
      <c r="P176" t="s">
        <v>100</v>
      </c>
      <c r="Q176" t="s">
        <v>95</v>
      </c>
      <c r="R176" t="s">
        <v>884</v>
      </c>
      <c r="S176" t="s">
        <v>96</v>
      </c>
      <c r="V176">
        <v>79</v>
      </c>
      <c r="W176" t="s">
        <v>885</v>
      </c>
      <c r="X176">
        <v>500</v>
      </c>
      <c r="Y176">
        <v>10</v>
      </c>
      <c r="Z176">
        <v>0.1</v>
      </c>
      <c r="AA176">
        <v>20</v>
      </c>
      <c r="AB176">
        <v>100</v>
      </c>
      <c r="AC176" s="3">
        <v>0.5</v>
      </c>
      <c r="AD176" s="5">
        <v>0.05</v>
      </c>
      <c r="AE176" t="s">
        <v>104</v>
      </c>
      <c r="AF176" t="s">
        <v>884</v>
      </c>
      <c r="AG176" t="s">
        <v>97</v>
      </c>
    </row>
    <row r="177" spans="1:33" x14ac:dyDescent="0.2">
      <c r="A177" s="2">
        <v>45009.510335648149</v>
      </c>
      <c r="B177" s="2">
        <v>45009.520312499997</v>
      </c>
      <c r="C177" t="s">
        <v>36</v>
      </c>
      <c r="D177" t="s">
        <v>886</v>
      </c>
      <c r="E177">
        <v>100</v>
      </c>
      <c r="F177">
        <v>861</v>
      </c>
      <c r="G177" t="b">
        <v>1</v>
      </c>
      <c r="H177" s="2">
        <v>45009.520324074074</v>
      </c>
      <c r="I177" t="s">
        <v>887</v>
      </c>
      <c r="N177">
        <v>35.140700000000002</v>
      </c>
      <c r="O177">
        <v>-79.003200000000007</v>
      </c>
      <c r="P177" t="s">
        <v>100</v>
      </c>
      <c r="Q177" t="s">
        <v>95</v>
      </c>
      <c r="R177" t="s">
        <v>888</v>
      </c>
      <c r="S177" t="s">
        <v>96</v>
      </c>
      <c r="V177">
        <v>73</v>
      </c>
      <c r="W177" t="s">
        <v>889</v>
      </c>
      <c r="X177">
        <v>300</v>
      </c>
      <c r="Y177">
        <v>10</v>
      </c>
      <c r="Z177">
        <v>10</v>
      </c>
      <c r="AA177">
        <v>20</v>
      </c>
      <c r="AB177">
        <v>100</v>
      </c>
      <c r="AC177">
        <v>18</v>
      </c>
      <c r="AD177">
        <v>0.05</v>
      </c>
      <c r="AE177" t="s">
        <v>252</v>
      </c>
      <c r="AF177" t="s">
        <v>888</v>
      </c>
      <c r="AG177" t="s">
        <v>105</v>
      </c>
    </row>
    <row r="178" spans="1:33" x14ac:dyDescent="0.2">
      <c r="A178" s="2">
        <v>45009.517592592594</v>
      </c>
      <c r="B178" s="2">
        <v>45009.520381944443</v>
      </c>
      <c r="C178" t="s">
        <v>36</v>
      </c>
      <c r="D178" t="s">
        <v>890</v>
      </c>
      <c r="E178">
        <v>100</v>
      </c>
      <c r="F178">
        <v>241</v>
      </c>
      <c r="G178" t="b">
        <v>1</v>
      </c>
      <c r="H178" s="2">
        <v>45009.52039351852</v>
      </c>
      <c r="I178" t="s">
        <v>891</v>
      </c>
      <c r="N178">
        <v>40.472999999999999</v>
      </c>
      <c r="O178">
        <v>-79.953699999999998</v>
      </c>
      <c r="P178" t="s">
        <v>100</v>
      </c>
      <c r="Q178" t="s">
        <v>95</v>
      </c>
      <c r="R178" t="s">
        <v>892</v>
      </c>
      <c r="S178" t="s">
        <v>96</v>
      </c>
      <c r="V178">
        <v>20</v>
      </c>
      <c r="W178" t="s">
        <v>893</v>
      </c>
      <c r="X178">
        <v>500</v>
      </c>
      <c r="Y178">
        <v>10</v>
      </c>
      <c r="Z178">
        <v>0.1</v>
      </c>
      <c r="AA178">
        <v>20</v>
      </c>
      <c r="AB178">
        <v>100</v>
      </c>
      <c r="AC178" s="3">
        <v>0.5</v>
      </c>
      <c r="AD178">
        <v>0.05</v>
      </c>
      <c r="AE178" t="s">
        <v>104</v>
      </c>
      <c r="AF178" t="s">
        <v>892</v>
      </c>
      <c r="AG178" t="s">
        <v>111</v>
      </c>
    </row>
    <row r="179" spans="1:33" x14ac:dyDescent="0.2">
      <c r="A179" s="2">
        <v>45009.516886574071</v>
      </c>
      <c r="B179" s="2">
        <v>45009.520405092589</v>
      </c>
      <c r="C179" t="s">
        <v>36</v>
      </c>
      <c r="D179" t="s">
        <v>894</v>
      </c>
      <c r="E179">
        <v>100</v>
      </c>
      <c r="F179">
        <v>303</v>
      </c>
      <c r="G179" t="b">
        <v>1</v>
      </c>
      <c r="H179" s="2">
        <v>45009.520405092589</v>
      </c>
      <c r="I179" t="s">
        <v>895</v>
      </c>
      <c r="N179">
        <v>36.058999999999997</v>
      </c>
      <c r="O179">
        <v>-81.930300000000003</v>
      </c>
      <c r="P179" t="s">
        <v>100</v>
      </c>
      <c r="Q179" t="s">
        <v>95</v>
      </c>
      <c r="R179" t="s">
        <v>896</v>
      </c>
      <c r="S179" t="s">
        <v>96</v>
      </c>
      <c r="V179">
        <v>96</v>
      </c>
      <c r="W179" t="s">
        <v>897</v>
      </c>
      <c r="X179">
        <v>500</v>
      </c>
      <c r="Y179">
        <v>1</v>
      </c>
      <c r="Z179" s="4">
        <v>1E-4</v>
      </c>
      <c r="AA179">
        <v>20</v>
      </c>
      <c r="AB179">
        <v>100</v>
      </c>
      <c r="AC179" s="3">
        <v>0.9</v>
      </c>
      <c r="AD179">
        <v>0.1</v>
      </c>
      <c r="AE179">
        <v>100</v>
      </c>
      <c r="AF179" t="s">
        <v>896</v>
      </c>
      <c r="AG179" t="s">
        <v>105</v>
      </c>
    </row>
    <row r="180" spans="1:33" x14ac:dyDescent="0.2">
      <c r="A180" s="2">
        <v>45009.517476851855</v>
      </c>
      <c r="B180" s="2">
        <v>45009.520416666666</v>
      </c>
      <c r="C180" t="s">
        <v>36</v>
      </c>
      <c r="D180" t="s">
        <v>898</v>
      </c>
      <c r="E180">
        <v>100</v>
      </c>
      <c r="F180">
        <v>253</v>
      </c>
      <c r="G180" t="b">
        <v>1</v>
      </c>
      <c r="H180" s="2">
        <v>45009.520428240743</v>
      </c>
      <c r="I180" t="s">
        <v>899</v>
      </c>
      <c r="N180">
        <v>39.738799999999998</v>
      </c>
      <c r="O180">
        <v>-104.9868</v>
      </c>
      <c r="P180" t="s">
        <v>100</v>
      </c>
      <c r="Q180" t="s">
        <v>95</v>
      </c>
      <c r="R180" t="s">
        <v>900</v>
      </c>
      <c r="S180" t="s">
        <v>96</v>
      </c>
      <c r="T180">
        <v>50</v>
      </c>
      <c r="V180">
        <v>50</v>
      </c>
      <c r="W180" t="s">
        <v>901</v>
      </c>
      <c r="X180">
        <v>500</v>
      </c>
      <c r="Y180">
        <v>1</v>
      </c>
      <c r="Z180" s="3">
        <v>0.01</v>
      </c>
      <c r="AA180">
        <v>20</v>
      </c>
      <c r="AB180">
        <v>10</v>
      </c>
      <c r="AC180" t="s">
        <v>902</v>
      </c>
      <c r="AD180">
        <v>0.1</v>
      </c>
      <c r="AE180" t="s">
        <v>160</v>
      </c>
      <c r="AF180" t="s">
        <v>900</v>
      </c>
      <c r="AG180" t="s">
        <v>125</v>
      </c>
    </row>
    <row r="181" spans="1:33" x14ac:dyDescent="0.2">
      <c r="A181" s="2">
        <v>45009.506979166668</v>
      </c>
      <c r="B181" s="2">
        <v>45009.520474537036</v>
      </c>
      <c r="C181" t="s">
        <v>36</v>
      </c>
      <c r="D181" t="s">
        <v>903</v>
      </c>
      <c r="E181">
        <v>100</v>
      </c>
      <c r="F181">
        <v>1166</v>
      </c>
      <c r="G181" t="b">
        <v>1</v>
      </c>
      <c r="H181" s="2">
        <v>45009.520486111112</v>
      </c>
      <c r="I181" t="s">
        <v>904</v>
      </c>
      <c r="N181">
        <v>40.761000000000003</v>
      </c>
      <c r="O181">
        <v>-111.86109999999999</v>
      </c>
      <c r="P181" t="s">
        <v>100</v>
      </c>
      <c r="Q181" t="s">
        <v>95</v>
      </c>
      <c r="R181" t="s">
        <v>905</v>
      </c>
      <c r="S181" t="s">
        <v>96</v>
      </c>
      <c r="V181">
        <v>61</v>
      </c>
      <c r="W181" t="s">
        <v>906</v>
      </c>
      <c r="X181" t="s">
        <v>715</v>
      </c>
      <c r="Y181" t="s">
        <v>716</v>
      </c>
      <c r="Z181">
        <v>1E-3</v>
      </c>
      <c r="AA181">
        <v>20</v>
      </c>
      <c r="AB181">
        <v>10</v>
      </c>
      <c r="AC181" s="3">
        <v>0.09</v>
      </c>
      <c r="AD181">
        <v>0.1</v>
      </c>
      <c r="AE181" t="s">
        <v>907</v>
      </c>
      <c r="AF181" t="s">
        <v>905</v>
      </c>
      <c r="AG181" t="s">
        <v>111</v>
      </c>
    </row>
    <row r="182" spans="1:33" x14ac:dyDescent="0.2">
      <c r="A182" s="2">
        <v>45009.517395833333</v>
      </c>
      <c r="B182" s="2">
        <v>45009.520497685182</v>
      </c>
      <c r="C182" t="s">
        <v>36</v>
      </c>
      <c r="D182" t="s">
        <v>908</v>
      </c>
      <c r="E182">
        <v>100</v>
      </c>
      <c r="F182">
        <v>268</v>
      </c>
      <c r="G182" t="b">
        <v>1</v>
      </c>
      <c r="H182" s="2">
        <v>45009.520509259259</v>
      </c>
      <c r="I182" t="s">
        <v>909</v>
      </c>
      <c r="N182">
        <v>42.7348</v>
      </c>
      <c r="O182">
        <v>-84.624499999999998</v>
      </c>
      <c r="P182" t="s">
        <v>100</v>
      </c>
      <c r="Q182" t="s">
        <v>95</v>
      </c>
      <c r="R182" t="s">
        <v>910</v>
      </c>
      <c r="S182" t="s">
        <v>96</v>
      </c>
      <c r="T182">
        <v>91</v>
      </c>
      <c r="V182">
        <v>86</v>
      </c>
      <c r="W182" t="s">
        <v>911</v>
      </c>
      <c r="X182">
        <v>6</v>
      </c>
      <c r="Y182" t="s">
        <v>716</v>
      </c>
      <c r="Z182" t="s">
        <v>569</v>
      </c>
      <c r="AA182" t="s">
        <v>912</v>
      </c>
      <c r="AB182">
        <v>100</v>
      </c>
      <c r="AC182" t="s">
        <v>913</v>
      </c>
      <c r="AD182" t="s">
        <v>297</v>
      </c>
      <c r="AE182" t="s">
        <v>266</v>
      </c>
      <c r="AF182" t="s">
        <v>910</v>
      </c>
      <c r="AG182" t="s">
        <v>125</v>
      </c>
    </row>
    <row r="183" spans="1:33" x14ac:dyDescent="0.2">
      <c r="A183" s="2">
        <v>45009.517488425925</v>
      </c>
      <c r="B183" s="2">
        <v>45009.520532407405</v>
      </c>
      <c r="C183" t="s">
        <v>36</v>
      </c>
      <c r="D183" t="s">
        <v>914</v>
      </c>
      <c r="E183">
        <v>100</v>
      </c>
      <c r="F183">
        <v>262</v>
      </c>
      <c r="G183" t="b">
        <v>1</v>
      </c>
      <c r="H183" s="2">
        <v>45009.520532407405</v>
      </c>
      <c r="I183" t="s">
        <v>915</v>
      </c>
      <c r="N183">
        <v>34.434399999999997</v>
      </c>
      <c r="O183">
        <v>-77.923400000000001</v>
      </c>
      <c r="P183" t="s">
        <v>100</v>
      </c>
      <c r="Q183" t="s">
        <v>95</v>
      </c>
      <c r="R183" t="s">
        <v>916</v>
      </c>
      <c r="S183" t="s">
        <v>96</v>
      </c>
      <c r="T183">
        <v>10</v>
      </c>
      <c r="U183" s="3">
        <v>0.2</v>
      </c>
      <c r="V183">
        <v>10</v>
      </c>
      <c r="W183" t="s">
        <v>917</v>
      </c>
      <c r="X183">
        <v>500</v>
      </c>
      <c r="Y183">
        <v>10</v>
      </c>
      <c r="Z183">
        <v>1</v>
      </c>
      <c r="AA183">
        <v>20</v>
      </c>
      <c r="AB183">
        <v>100</v>
      </c>
      <c r="AC183" s="3">
        <v>0.1</v>
      </c>
      <c r="AD183">
        <v>0.9</v>
      </c>
      <c r="AE183" t="s">
        <v>266</v>
      </c>
      <c r="AF183" t="s">
        <v>916</v>
      </c>
      <c r="AG183" t="s">
        <v>125</v>
      </c>
    </row>
    <row r="184" spans="1:33" x14ac:dyDescent="0.2">
      <c r="A184" s="2">
        <v>45009.516909722224</v>
      </c>
      <c r="B184" s="2">
        <v>45009.520555555559</v>
      </c>
      <c r="C184" t="s">
        <v>36</v>
      </c>
      <c r="D184" t="s">
        <v>918</v>
      </c>
      <c r="E184">
        <v>100</v>
      </c>
      <c r="F184">
        <v>315</v>
      </c>
      <c r="G184" t="b">
        <v>1</v>
      </c>
      <c r="H184" s="2">
        <v>45009.520567129628</v>
      </c>
      <c r="I184" t="s">
        <v>919</v>
      </c>
      <c r="N184">
        <v>35.081299999999999</v>
      </c>
      <c r="O184">
        <v>-106.6387</v>
      </c>
      <c r="P184" t="s">
        <v>100</v>
      </c>
      <c r="Q184" t="s">
        <v>95</v>
      </c>
      <c r="R184" t="s">
        <v>920</v>
      </c>
      <c r="S184" t="s">
        <v>96</v>
      </c>
      <c r="T184">
        <v>100</v>
      </c>
      <c r="V184">
        <v>100</v>
      </c>
      <c r="W184" t="s">
        <v>921</v>
      </c>
      <c r="X184">
        <v>500</v>
      </c>
      <c r="Y184">
        <v>10</v>
      </c>
      <c r="Z184" s="4">
        <v>1E-3</v>
      </c>
      <c r="AA184">
        <v>20</v>
      </c>
      <c r="AB184">
        <v>100</v>
      </c>
      <c r="AC184" s="3">
        <v>0.9</v>
      </c>
      <c r="AD184" s="5">
        <v>0.05</v>
      </c>
      <c r="AE184" t="s">
        <v>104</v>
      </c>
      <c r="AF184" t="s">
        <v>920</v>
      </c>
      <c r="AG184" t="s">
        <v>125</v>
      </c>
    </row>
    <row r="185" spans="1:33" x14ac:dyDescent="0.2">
      <c r="A185" s="2">
        <v>45009.517060185186</v>
      </c>
      <c r="B185" s="2">
        <v>45009.520868055559</v>
      </c>
      <c r="C185" t="s">
        <v>36</v>
      </c>
      <c r="D185" t="s">
        <v>922</v>
      </c>
      <c r="E185">
        <v>100</v>
      </c>
      <c r="F185">
        <v>329</v>
      </c>
      <c r="G185" t="b">
        <v>1</v>
      </c>
      <c r="H185" s="2">
        <v>45009.520879629628</v>
      </c>
      <c r="I185" t="s">
        <v>923</v>
      </c>
      <c r="N185">
        <v>39.163800000000002</v>
      </c>
      <c r="O185">
        <v>-84.451700000000002</v>
      </c>
      <c r="P185" t="s">
        <v>100</v>
      </c>
      <c r="Q185" t="s">
        <v>95</v>
      </c>
      <c r="R185" t="s">
        <v>924</v>
      </c>
      <c r="S185" t="s">
        <v>96</v>
      </c>
      <c r="V185">
        <v>90</v>
      </c>
      <c r="W185" t="s">
        <v>925</v>
      </c>
      <c r="X185">
        <v>500</v>
      </c>
      <c r="Y185">
        <v>10</v>
      </c>
      <c r="Z185">
        <v>0.1</v>
      </c>
      <c r="AA185">
        <v>20</v>
      </c>
      <c r="AB185">
        <v>100</v>
      </c>
      <c r="AC185">
        <v>18</v>
      </c>
      <c r="AD185">
        <v>0.1</v>
      </c>
      <c r="AE185">
        <v>100</v>
      </c>
      <c r="AF185" t="s">
        <v>924</v>
      </c>
      <c r="AG185" t="s">
        <v>97</v>
      </c>
    </row>
    <row r="186" spans="1:33" x14ac:dyDescent="0.2">
      <c r="A186" s="2">
        <v>45009.517048611109</v>
      </c>
      <c r="B186" s="2">
        <v>45009.520902777775</v>
      </c>
      <c r="C186" t="s">
        <v>36</v>
      </c>
      <c r="D186" t="s">
        <v>926</v>
      </c>
      <c r="E186">
        <v>100</v>
      </c>
      <c r="F186">
        <v>332</v>
      </c>
      <c r="G186" t="b">
        <v>1</v>
      </c>
      <c r="H186" s="2">
        <v>45009.520914351851</v>
      </c>
      <c r="I186" t="s">
        <v>927</v>
      </c>
      <c r="N186">
        <v>41.151000000000003</v>
      </c>
      <c r="O186">
        <v>-85.125</v>
      </c>
      <c r="P186" t="s">
        <v>100</v>
      </c>
      <c r="Q186" t="s">
        <v>95</v>
      </c>
      <c r="R186" t="s">
        <v>928</v>
      </c>
      <c r="S186" t="s">
        <v>96</v>
      </c>
      <c r="T186">
        <v>25</v>
      </c>
      <c r="U186" t="s">
        <v>929</v>
      </c>
      <c r="V186">
        <v>25</v>
      </c>
      <c r="W186" t="s">
        <v>930</v>
      </c>
      <c r="X186">
        <v>6</v>
      </c>
      <c r="Y186">
        <v>1</v>
      </c>
      <c r="Z186">
        <v>1</v>
      </c>
      <c r="AA186">
        <v>201</v>
      </c>
      <c r="AB186">
        <v>1</v>
      </c>
      <c r="AC186" t="s">
        <v>931</v>
      </c>
      <c r="AD186" t="s">
        <v>297</v>
      </c>
      <c r="AE186">
        <v>20</v>
      </c>
      <c r="AF186" t="s">
        <v>928</v>
      </c>
      <c r="AG186" t="s">
        <v>125</v>
      </c>
    </row>
    <row r="187" spans="1:33" x14ac:dyDescent="0.2">
      <c r="A187" s="2">
        <v>45009.51903935185</v>
      </c>
      <c r="B187" s="2">
        <v>45009.520925925928</v>
      </c>
      <c r="C187" t="s">
        <v>36</v>
      </c>
      <c r="D187" t="s">
        <v>932</v>
      </c>
      <c r="E187">
        <v>100</v>
      </c>
      <c r="F187">
        <v>162</v>
      </c>
      <c r="G187" t="b">
        <v>1</v>
      </c>
      <c r="H187" s="2">
        <v>45009.520925925928</v>
      </c>
      <c r="I187" t="s">
        <v>933</v>
      </c>
      <c r="N187">
        <v>32.794400000000003</v>
      </c>
      <c r="O187">
        <v>-79.948400000000007</v>
      </c>
      <c r="P187" t="s">
        <v>100</v>
      </c>
      <c r="Q187" t="s">
        <v>95</v>
      </c>
      <c r="R187" s="6" t="s">
        <v>934</v>
      </c>
      <c r="S187" t="s">
        <v>96</v>
      </c>
      <c r="V187">
        <v>100</v>
      </c>
      <c r="W187" t="s">
        <v>935</v>
      </c>
      <c r="X187">
        <v>500</v>
      </c>
      <c r="Y187">
        <v>10</v>
      </c>
      <c r="Z187">
        <v>0.01</v>
      </c>
      <c r="AA187">
        <v>20</v>
      </c>
      <c r="AB187">
        <v>100</v>
      </c>
      <c r="AC187">
        <v>5</v>
      </c>
      <c r="AD187">
        <v>0.1</v>
      </c>
      <c r="AE187">
        <v>100</v>
      </c>
      <c r="AF187" s="6" t="s">
        <v>934</v>
      </c>
      <c r="AG187" t="s">
        <v>105</v>
      </c>
    </row>
    <row r="188" spans="1:33" x14ac:dyDescent="0.2">
      <c r="A188" s="2">
        <v>45009.518252314818</v>
      </c>
      <c r="B188" s="2">
        <v>45009.520937499998</v>
      </c>
      <c r="C188" t="s">
        <v>36</v>
      </c>
      <c r="D188" t="s">
        <v>936</v>
      </c>
      <c r="E188">
        <v>100</v>
      </c>
      <c r="F188">
        <v>231</v>
      </c>
      <c r="G188" t="b">
        <v>1</v>
      </c>
      <c r="H188" s="2">
        <v>45009.520949074074</v>
      </c>
      <c r="I188" t="s">
        <v>937</v>
      </c>
      <c r="N188">
        <v>30.3217</v>
      </c>
      <c r="O188">
        <v>-95.528499999999994</v>
      </c>
      <c r="P188" t="s">
        <v>100</v>
      </c>
      <c r="Q188" t="s">
        <v>95</v>
      </c>
      <c r="R188" t="s">
        <v>938</v>
      </c>
      <c r="S188" t="s">
        <v>96</v>
      </c>
      <c r="V188">
        <v>80</v>
      </c>
      <c r="W188" t="s">
        <v>939</v>
      </c>
      <c r="X188">
        <v>50</v>
      </c>
      <c r="Y188">
        <v>10</v>
      </c>
      <c r="Z188">
        <v>10</v>
      </c>
      <c r="AA188">
        <v>5</v>
      </c>
      <c r="AB188">
        <v>100</v>
      </c>
      <c r="AC188">
        <v>1</v>
      </c>
      <c r="AD188">
        <v>0.1</v>
      </c>
      <c r="AE188">
        <v>100</v>
      </c>
      <c r="AF188" t="s">
        <v>938</v>
      </c>
      <c r="AG188" t="s">
        <v>97</v>
      </c>
    </row>
    <row r="189" spans="1:33" x14ac:dyDescent="0.2">
      <c r="A189" s="2">
        <v>45009.512719907405</v>
      </c>
      <c r="B189" s="2">
        <v>45009.520960648151</v>
      </c>
      <c r="C189" t="s">
        <v>36</v>
      </c>
      <c r="D189" t="s">
        <v>940</v>
      </c>
      <c r="E189">
        <v>100</v>
      </c>
      <c r="F189">
        <v>712</v>
      </c>
      <c r="G189" t="b">
        <v>1</v>
      </c>
      <c r="H189" s="2">
        <v>45009.520960648151</v>
      </c>
      <c r="I189" t="s">
        <v>941</v>
      </c>
      <c r="N189">
        <v>41.831499999999998</v>
      </c>
      <c r="O189">
        <v>-72.719800000000006</v>
      </c>
      <c r="P189" t="s">
        <v>100</v>
      </c>
      <c r="Q189" t="s">
        <v>95</v>
      </c>
      <c r="R189" t="s">
        <v>942</v>
      </c>
      <c r="S189" t="s">
        <v>96</v>
      </c>
      <c r="V189">
        <v>91</v>
      </c>
      <c r="W189" t="s">
        <v>943</v>
      </c>
      <c r="X189" t="s">
        <v>944</v>
      </c>
      <c r="Y189">
        <v>10</v>
      </c>
      <c r="Z189" t="s">
        <v>945</v>
      </c>
      <c r="AA189" t="s">
        <v>946</v>
      </c>
      <c r="AB189">
        <v>100</v>
      </c>
      <c r="AC189" t="s">
        <v>947</v>
      </c>
      <c r="AD189" t="s">
        <v>948</v>
      </c>
      <c r="AE189" t="s">
        <v>949</v>
      </c>
      <c r="AF189" t="s">
        <v>942</v>
      </c>
      <c r="AG189" t="s">
        <v>111</v>
      </c>
    </row>
    <row r="190" spans="1:33" x14ac:dyDescent="0.2">
      <c r="A190" s="2">
        <v>45009.514918981484</v>
      </c>
      <c r="B190" s="2">
        <v>45009.521018518521</v>
      </c>
      <c r="C190" t="s">
        <v>36</v>
      </c>
      <c r="D190" t="s">
        <v>950</v>
      </c>
      <c r="E190">
        <v>100</v>
      </c>
      <c r="F190">
        <v>526</v>
      </c>
      <c r="G190" t="b">
        <v>1</v>
      </c>
      <c r="H190" s="2">
        <v>45009.52103009259</v>
      </c>
      <c r="I190" t="s">
        <v>951</v>
      </c>
      <c r="N190">
        <v>37.045299999999997</v>
      </c>
      <c r="O190">
        <v>-76.340400000000002</v>
      </c>
      <c r="P190" t="s">
        <v>100</v>
      </c>
      <c r="Q190" t="s">
        <v>95</v>
      </c>
      <c r="R190" t="s">
        <v>952</v>
      </c>
      <c r="S190" t="s">
        <v>96</v>
      </c>
      <c r="V190">
        <v>90</v>
      </c>
      <c r="W190" t="s">
        <v>953</v>
      </c>
      <c r="X190" t="s">
        <v>954</v>
      </c>
      <c r="Y190" t="s">
        <v>955</v>
      </c>
      <c r="Z190">
        <v>0.1</v>
      </c>
      <c r="AA190">
        <v>20</v>
      </c>
      <c r="AB190">
        <v>10</v>
      </c>
      <c r="AC190" s="3">
        <v>0.19</v>
      </c>
      <c r="AD190">
        <v>0.05</v>
      </c>
      <c r="AE190" t="s">
        <v>136</v>
      </c>
      <c r="AF190" t="s">
        <v>952</v>
      </c>
      <c r="AG190" t="s">
        <v>105</v>
      </c>
    </row>
    <row r="191" spans="1:33" x14ac:dyDescent="0.2">
      <c r="A191" s="2">
        <v>45009.511840277781</v>
      </c>
      <c r="B191" s="2">
        <v>45009.521122685182</v>
      </c>
      <c r="C191" t="s">
        <v>36</v>
      </c>
      <c r="D191" t="s">
        <v>956</v>
      </c>
      <c r="E191">
        <v>100</v>
      </c>
      <c r="F191">
        <v>802</v>
      </c>
      <c r="G191" t="b">
        <v>1</v>
      </c>
      <c r="H191" s="2">
        <v>45009.521122685182</v>
      </c>
      <c r="I191" t="s">
        <v>957</v>
      </c>
      <c r="N191">
        <v>43.081200000000003</v>
      </c>
      <c r="O191">
        <v>-89.384500000000003</v>
      </c>
      <c r="P191" t="s">
        <v>100</v>
      </c>
      <c r="Q191" t="s">
        <v>95</v>
      </c>
      <c r="R191" t="s">
        <v>958</v>
      </c>
      <c r="S191" t="s">
        <v>96</v>
      </c>
      <c r="V191">
        <v>67</v>
      </c>
      <c r="W191" t="s">
        <v>959</v>
      </c>
      <c r="X191">
        <v>500</v>
      </c>
      <c r="Y191">
        <v>10</v>
      </c>
      <c r="Z191">
        <v>10</v>
      </c>
      <c r="AA191">
        <v>20</v>
      </c>
      <c r="AB191">
        <v>100</v>
      </c>
      <c r="AC191" s="3">
        <v>0.5</v>
      </c>
      <c r="AD191" t="s">
        <v>159</v>
      </c>
      <c r="AE191" t="s">
        <v>104</v>
      </c>
      <c r="AF191" t="s">
        <v>958</v>
      </c>
      <c r="AG191" t="s">
        <v>97</v>
      </c>
    </row>
    <row r="192" spans="1:33" x14ac:dyDescent="0.2">
      <c r="A192" s="2">
        <v>45009.518483796295</v>
      </c>
      <c r="B192" s="2">
        <v>45009.521122685182</v>
      </c>
      <c r="C192" t="s">
        <v>36</v>
      </c>
      <c r="D192" t="s">
        <v>960</v>
      </c>
      <c r="E192">
        <v>100</v>
      </c>
      <c r="F192">
        <v>227</v>
      </c>
      <c r="G192" t="b">
        <v>1</v>
      </c>
      <c r="H192" s="2">
        <v>45009.521122685182</v>
      </c>
      <c r="I192" t="s">
        <v>961</v>
      </c>
      <c r="N192">
        <v>42.9621</v>
      </c>
      <c r="O192">
        <v>-71.448999999999998</v>
      </c>
      <c r="P192" t="s">
        <v>100</v>
      </c>
      <c r="Q192" t="s">
        <v>95</v>
      </c>
      <c r="R192" t="s">
        <v>962</v>
      </c>
      <c r="S192" t="s">
        <v>96</v>
      </c>
      <c r="V192">
        <v>80</v>
      </c>
      <c r="W192" t="s">
        <v>963</v>
      </c>
      <c r="X192">
        <v>500</v>
      </c>
      <c r="Y192">
        <v>10</v>
      </c>
      <c r="Z192" s="4">
        <v>1E-3</v>
      </c>
      <c r="AA192" s="3">
        <v>0.2</v>
      </c>
      <c r="AB192">
        <v>100</v>
      </c>
      <c r="AC192" s="3">
        <v>0.9</v>
      </c>
      <c r="AD192" s="5">
        <v>0.1</v>
      </c>
      <c r="AE192" t="s">
        <v>104</v>
      </c>
      <c r="AF192" t="s">
        <v>962</v>
      </c>
      <c r="AG192" t="s">
        <v>105</v>
      </c>
    </row>
    <row r="193" spans="1:33" x14ac:dyDescent="0.2">
      <c r="A193" s="2">
        <v>45009.517407407409</v>
      </c>
      <c r="B193" s="2">
        <v>45009.521122685182</v>
      </c>
      <c r="C193" t="s">
        <v>36</v>
      </c>
      <c r="D193" t="s">
        <v>964</v>
      </c>
      <c r="E193">
        <v>100</v>
      </c>
      <c r="F193">
        <v>320</v>
      </c>
      <c r="G193" t="b">
        <v>1</v>
      </c>
      <c r="H193" s="2">
        <v>45009.521122685182</v>
      </c>
      <c r="I193" t="s">
        <v>965</v>
      </c>
      <c r="N193">
        <v>28.578800000000001</v>
      </c>
      <c r="O193">
        <v>-81.439599999999999</v>
      </c>
      <c r="P193" t="s">
        <v>100</v>
      </c>
      <c r="Q193" t="s">
        <v>95</v>
      </c>
      <c r="R193" s="6" t="s">
        <v>966</v>
      </c>
      <c r="S193" t="s">
        <v>96</v>
      </c>
      <c r="V193">
        <v>70</v>
      </c>
      <c r="W193" t="s">
        <v>967</v>
      </c>
      <c r="X193">
        <v>500</v>
      </c>
      <c r="Y193">
        <v>10</v>
      </c>
      <c r="Z193" s="4">
        <v>1E-3</v>
      </c>
      <c r="AA193" s="3">
        <v>0.2</v>
      </c>
      <c r="AB193">
        <v>100</v>
      </c>
      <c r="AC193" s="3">
        <v>0.9</v>
      </c>
      <c r="AD193">
        <v>0.05</v>
      </c>
      <c r="AE193">
        <v>5</v>
      </c>
      <c r="AF193" s="6" t="s">
        <v>966</v>
      </c>
      <c r="AG193" t="s">
        <v>97</v>
      </c>
    </row>
    <row r="194" spans="1:33" x14ac:dyDescent="0.2">
      <c r="A194" s="2">
        <v>45009.514398148145</v>
      </c>
      <c r="B194" s="2">
        <v>45009.521134259259</v>
      </c>
      <c r="C194" t="s">
        <v>36</v>
      </c>
      <c r="D194" t="s">
        <v>968</v>
      </c>
      <c r="E194">
        <v>100</v>
      </c>
      <c r="F194">
        <v>582</v>
      </c>
      <c r="G194" t="b">
        <v>1</v>
      </c>
      <c r="H194" s="2">
        <v>45009.521145833336</v>
      </c>
      <c r="I194" t="s">
        <v>969</v>
      </c>
      <c r="N194">
        <v>32.739800000000002</v>
      </c>
      <c r="O194">
        <v>-117.027</v>
      </c>
      <c r="P194" t="s">
        <v>100</v>
      </c>
      <c r="Q194" t="s">
        <v>95</v>
      </c>
      <c r="R194" t="s">
        <v>970</v>
      </c>
      <c r="S194" t="s">
        <v>96</v>
      </c>
      <c r="T194">
        <v>70</v>
      </c>
      <c r="V194">
        <v>62</v>
      </c>
      <c r="W194" t="s">
        <v>971</v>
      </c>
      <c r="X194">
        <v>4</v>
      </c>
      <c r="Y194" t="s">
        <v>972</v>
      </c>
      <c r="Z194" t="s">
        <v>973</v>
      </c>
      <c r="AA194" t="s">
        <v>974</v>
      </c>
      <c r="AB194" s="3">
        <v>0.1</v>
      </c>
      <c r="AC194" t="s">
        <v>975</v>
      </c>
      <c r="AD194" t="s">
        <v>159</v>
      </c>
      <c r="AE194" t="s">
        <v>530</v>
      </c>
      <c r="AF194" t="s">
        <v>970</v>
      </c>
      <c r="AG194" t="s">
        <v>125</v>
      </c>
    </row>
    <row r="195" spans="1:33" x14ac:dyDescent="0.2">
      <c r="A195" s="2">
        <v>45009.51635416667</v>
      </c>
      <c r="B195" s="2">
        <v>45009.521145833336</v>
      </c>
      <c r="C195" t="s">
        <v>36</v>
      </c>
      <c r="D195" t="s">
        <v>976</v>
      </c>
      <c r="E195">
        <v>100</v>
      </c>
      <c r="F195">
        <v>413</v>
      </c>
      <c r="G195" t="b">
        <v>1</v>
      </c>
      <c r="H195" s="2">
        <v>45009.521145833336</v>
      </c>
      <c r="I195" t="s">
        <v>977</v>
      </c>
      <c r="N195">
        <v>27.965399999999999</v>
      </c>
      <c r="O195">
        <v>-82.430700000000002</v>
      </c>
      <c r="P195" t="s">
        <v>100</v>
      </c>
      <c r="Q195" t="s">
        <v>95</v>
      </c>
      <c r="R195" t="s">
        <v>978</v>
      </c>
      <c r="S195" t="s">
        <v>96</v>
      </c>
      <c r="V195">
        <v>85</v>
      </c>
      <c r="W195" t="s">
        <v>979</v>
      </c>
      <c r="X195">
        <v>500</v>
      </c>
      <c r="Y195">
        <v>10</v>
      </c>
      <c r="Z195">
        <v>1</v>
      </c>
      <c r="AA195">
        <v>20</v>
      </c>
      <c r="AB195">
        <v>100</v>
      </c>
      <c r="AC195" t="s">
        <v>980</v>
      </c>
      <c r="AD195" t="s">
        <v>981</v>
      </c>
      <c r="AE195">
        <v>100</v>
      </c>
      <c r="AF195" t="s">
        <v>978</v>
      </c>
      <c r="AG195" t="s">
        <v>105</v>
      </c>
    </row>
    <row r="196" spans="1:33" x14ac:dyDescent="0.2">
      <c r="A196" s="2">
        <v>45009.517025462963</v>
      </c>
      <c r="B196" s="2">
        <v>45009.521157407406</v>
      </c>
      <c r="C196" t="s">
        <v>36</v>
      </c>
      <c r="D196" t="s">
        <v>982</v>
      </c>
      <c r="E196">
        <v>100</v>
      </c>
      <c r="F196">
        <v>356</v>
      </c>
      <c r="G196" t="b">
        <v>1</v>
      </c>
      <c r="H196" s="2">
        <v>45009.521157407406</v>
      </c>
      <c r="I196" t="s">
        <v>983</v>
      </c>
      <c r="N196">
        <v>29.837800000000001</v>
      </c>
      <c r="O196">
        <v>-82.612899999999996</v>
      </c>
      <c r="P196" t="s">
        <v>100</v>
      </c>
      <c r="Q196" t="s">
        <v>95</v>
      </c>
      <c r="R196" t="s">
        <v>984</v>
      </c>
      <c r="S196" t="s">
        <v>96</v>
      </c>
      <c r="T196">
        <v>56</v>
      </c>
      <c r="V196">
        <v>79</v>
      </c>
      <c r="W196" t="s">
        <v>985</v>
      </c>
      <c r="X196">
        <v>4</v>
      </c>
      <c r="Y196">
        <v>100</v>
      </c>
      <c r="Z196">
        <v>100</v>
      </c>
      <c r="AA196">
        <v>2</v>
      </c>
      <c r="AB196">
        <v>100</v>
      </c>
      <c r="AC196">
        <v>50</v>
      </c>
      <c r="AD196">
        <v>0.1</v>
      </c>
      <c r="AE196">
        <v>1</v>
      </c>
      <c r="AF196" t="s">
        <v>984</v>
      </c>
      <c r="AG196" t="s">
        <v>125</v>
      </c>
    </row>
    <row r="197" spans="1:33" x14ac:dyDescent="0.2">
      <c r="A197" s="2">
        <v>45009.514224537037</v>
      </c>
      <c r="B197" s="2">
        <v>45009.521168981482</v>
      </c>
      <c r="C197" t="s">
        <v>36</v>
      </c>
      <c r="D197" t="s">
        <v>986</v>
      </c>
      <c r="E197">
        <v>100</v>
      </c>
      <c r="F197">
        <v>600</v>
      </c>
      <c r="G197" t="b">
        <v>1</v>
      </c>
      <c r="H197" s="2">
        <v>45009.521180555559</v>
      </c>
      <c r="I197" t="s">
        <v>987</v>
      </c>
      <c r="N197">
        <v>40.979399999999998</v>
      </c>
      <c r="O197">
        <v>-81.535700000000006</v>
      </c>
      <c r="P197" t="s">
        <v>100</v>
      </c>
      <c r="Q197" t="s">
        <v>95</v>
      </c>
      <c r="R197" t="s">
        <v>988</v>
      </c>
      <c r="S197" t="s">
        <v>96</v>
      </c>
      <c r="V197">
        <v>91</v>
      </c>
      <c r="W197" t="s">
        <v>989</v>
      </c>
      <c r="X197" t="s">
        <v>990</v>
      </c>
      <c r="Y197" t="s">
        <v>991</v>
      </c>
      <c r="Z197" s="4">
        <v>1E-3</v>
      </c>
      <c r="AA197">
        <v>20</v>
      </c>
      <c r="AB197">
        <v>100</v>
      </c>
      <c r="AC197" s="3">
        <v>0.1</v>
      </c>
      <c r="AD197" s="5">
        <v>0.05</v>
      </c>
      <c r="AE197" t="s">
        <v>104</v>
      </c>
      <c r="AF197" t="s">
        <v>988</v>
      </c>
      <c r="AG197" t="s">
        <v>105</v>
      </c>
    </row>
    <row r="198" spans="1:33" x14ac:dyDescent="0.2">
      <c r="A198" s="2">
        <v>45009.513252314813</v>
      </c>
      <c r="B198" s="2">
        <v>45009.521180555559</v>
      </c>
      <c r="C198" t="s">
        <v>36</v>
      </c>
      <c r="D198" t="s">
        <v>992</v>
      </c>
      <c r="E198">
        <v>100</v>
      </c>
      <c r="F198">
        <v>684</v>
      </c>
      <c r="G198" t="b">
        <v>1</v>
      </c>
      <c r="H198" s="2">
        <v>45009.521180555559</v>
      </c>
      <c r="I198" t="s">
        <v>993</v>
      </c>
      <c r="N198">
        <v>34.076900000000002</v>
      </c>
      <c r="O198">
        <v>-118.2076</v>
      </c>
      <c r="P198" t="s">
        <v>100</v>
      </c>
      <c r="Q198" t="s">
        <v>95</v>
      </c>
      <c r="R198" s="6" t="s">
        <v>994</v>
      </c>
      <c r="S198" t="s">
        <v>96</v>
      </c>
      <c r="T198">
        <v>42</v>
      </c>
      <c r="U198" t="s">
        <v>569</v>
      </c>
      <c r="V198">
        <v>35</v>
      </c>
      <c r="W198" t="s">
        <v>995</v>
      </c>
      <c r="X198">
        <v>500</v>
      </c>
      <c r="Y198">
        <v>10</v>
      </c>
      <c r="Z198" s="3">
        <v>0.01</v>
      </c>
      <c r="AA198">
        <v>20</v>
      </c>
      <c r="AB198">
        <v>100</v>
      </c>
      <c r="AC198" s="3">
        <v>0.5</v>
      </c>
      <c r="AD198">
        <v>0.1</v>
      </c>
      <c r="AE198" t="s">
        <v>266</v>
      </c>
      <c r="AF198" s="6" t="s">
        <v>994</v>
      </c>
      <c r="AG198" t="s">
        <v>125</v>
      </c>
    </row>
    <row r="199" spans="1:33" x14ac:dyDescent="0.2">
      <c r="A199" s="2">
        <v>45009.517951388887</v>
      </c>
      <c r="B199" s="2">
        <v>45009.521215277775</v>
      </c>
      <c r="C199" t="s">
        <v>36</v>
      </c>
      <c r="D199" t="s">
        <v>996</v>
      </c>
      <c r="E199">
        <v>100</v>
      </c>
      <c r="F199">
        <v>281</v>
      </c>
      <c r="G199" t="b">
        <v>1</v>
      </c>
      <c r="H199" s="2">
        <v>45009.521226851852</v>
      </c>
      <c r="I199" t="s">
        <v>997</v>
      </c>
      <c r="N199">
        <v>38.7669</v>
      </c>
      <c r="O199">
        <v>-93.729100000000003</v>
      </c>
      <c r="P199" t="s">
        <v>100</v>
      </c>
      <c r="Q199" t="s">
        <v>95</v>
      </c>
      <c r="R199" t="s">
        <v>998</v>
      </c>
      <c r="S199" t="s">
        <v>96</v>
      </c>
      <c r="V199">
        <v>35</v>
      </c>
      <c r="W199" t="s">
        <v>999</v>
      </c>
      <c r="X199">
        <v>500</v>
      </c>
      <c r="Y199">
        <v>10</v>
      </c>
      <c r="Z199" s="4">
        <v>1E-3</v>
      </c>
      <c r="AA199">
        <v>20</v>
      </c>
      <c r="AB199">
        <v>100</v>
      </c>
      <c r="AC199" s="3">
        <v>0.9</v>
      </c>
      <c r="AD199">
        <v>0.05</v>
      </c>
      <c r="AE199" t="s">
        <v>104</v>
      </c>
      <c r="AF199" t="s">
        <v>998</v>
      </c>
      <c r="AG199" t="s">
        <v>111</v>
      </c>
    </row>
    <row r="200" spans="1:33" x14ac:dyDescent="0.2">
      <c r="A200" s="2">
        <v>45009.517083333332</v>
      </c>
      <c r="B200" s="2">
        <v>45009.521249999998</v>
      </c>
      <c r="C200" t="s">
        <v>36</v>
      </c>
      <c r="D200" t="s">
        <v>1000</v>
      </c>
      <c r="E200">
        <v>100</v>
      </c>
      <c r="F200">
        <v>359</v>
      </c>
      <c r="G200" t="b">
        <v>1</v>
      </c>
      <c r="H200" s="2">
        <v>45009.521249999998</v>
      </c>
      <c r="I200" t="s">
        <v>1001</v>
      </c>
      <c r="N200">
        <v>30.181000000000001</v>
      </c>
      <c r="O200">
        <v>-92.047700000000006</v>
      </c>
      <c r="P200" t="s">
        <v>100</v>
      </c>
      <c r="Q200" t="s">
        <v>95</v>
      </c>
      <c r="R200" t="s">
        <v>1002</v>
      </c>
      <c r="S200" t="s">
        <v>96</v>
      </c>
      <c r="T200">
        <v>26</v>
      </c>
      <c r="U200" t="s">
        <v>1003</v>
      </c>
      <c r="V200">
        <v>20</v>
      </c>
      <c r="W200" t="s">
        <v>1004</v>
      </c>
      <c r="X200" s="3">
        <v>0.5</v>
      </c>
      <c r="Y200">
        <v>1E-3</v>
      </c>
      <c r="Z200" t="s">
        <v>121</v>
      </c>
      <c r="AA200" s="3">
        <v>0.2</v>
      </c>
      <c r="AB200">
        <v>100</v>
      </c>
      <c r="AC200">
        <v>0.18</v>
      </c>
      <c r="AD200">
        <v>0.1</v>
      </c>
      <c r="AE200" t="s">
        <v>136</v>
      </c>
      <c r="AF200" t="s">
        <v>1002</v>
      </c>
      <c r="AG200" t="s">
        <v>125</v>
      </c>
    </row>
    <row r="201" spans="1:33" x14ac:dyDescent="0.2">
      <c r="A201" s="2">
        <v>45009.517581018517</v>
      </c>
      <c r="B201" s="2">
        <v>45009.521319444444</v>
      </c>
      <c r="C201" t="s">
        <v>36</v>
      </c>
      <c r="D201" t="s">
        <v>1005</v>
      </c>
      <c r="E201">
        <v>100</v>
      </c>
      <c r="F201">
        <v>322</v>
      </c>
      <c r="G201" t="b">
        <v>1</v>
      </c>
      <c r="H201" s="2">
        <v>45009.521319444444</v>
      </c>
      <c r="I201" t="s">
        <v>1006</v>
      </c>
      <c r="N201">
        <v>39.904600000000002</v>
      </c>
      <c r="O201">
        <v>-82.970299999999995</v>
      </c>
      <c r="P201" t="s">
        <v>100</v>
      </c>
      <c r="Q201" t="s">
        <v>95</v>
      </c>
      <c r="R201" t="s">
        <v>1007</v>
      </c>
      <c r="S201" t="s">
        <v>96</v>
      </c>
      <c r="T201">
        <v>5</v>
      </c>
      <c r="U201" t="s">
        <v>1008</v>
      </c>
      <c r="V201">
        <v>5</v>
      </c>
      <c r="W201" t="s">
        <v>1009</v>
      </c>
      <c r="X201">
        <v>500</v>
      </c>
      <c r="Y201">
        <v>10</v>
      </c>
      <c r="Z201">
        <v>0.1</v>
      </c>
      <c r="AA201">
        <v>20</v>
      </c>
      <c r="AB201">
        <v>100</v>
      </c>
      <c r="AC201">
        <v>50</v>
      </c>
      <c r="AD201">
        <v>0.05</v>
      </c>
      <c r="AE201">
        <v>5</v>
      </c>
      <c r="AF201" t="s">
        <v>1007</v>
      </c>
      <c r="AG201" t="s">
        <v>125</v>
      </c>
    </row>
    <row r="202" spans="1:33" x14ac:dyDescent="0.2">
      <c r="A202" s="2">
        <v>45009.515069444446</v>
      </c>
      <c r="B202" s="2">
        <v>45009.521354166667</v>
      </c>
      <c r="C202" t="s">
        <v>36</v>
      </c>
      <c r="D202" t="s">
        <v>1010</v>
      </c>
      <c r="E202">
        <v>100</v>
      </c>
      <c r="F202">
        <v>543</v>
      </c>
      <c r="G202" t="b">
        <v>1</v>
      </c>
      <c r="H202" s="2">
        <v>45009.521365740744</v>
      </c>
      <c r="I202" t="s">
        <v>1011</v>
      </c>
      <c r="N202">
        <v>38.901000000000003</v>
      </c>
      <c r="O202">
        <v>-94.596000000000004</v>
      </c>
      <c r="P202" t="s">
        <v>100</v>
      </c>
      <c r="Q202" t="s">
        <v>95</v>
      </c>
      <c r="R202" t="s">
        <v>1012</v>
      </c>
      <c r="S202" t="s">
        <v>96</v>
      </c>
      <c r="V202">
        <v>50</v>
      </c>
      <c r="W202" t="s">
        <v>1013</v>
      </c>
      <c r="X202">
        <v>500</v>
      </c>
      <c r="Y202">
        <v>10</v>
      </c>
      <c r="Z202" s="4">
        <v>1E-3</v>
      </c>
      <c r="AA202" s="3">
        <v>0.2</v>
      </c>
      <c r="AB202">
        <v>100</v>
      </c>
      <c r="AC202" s="3">
        <v>0.5</v>
      </c>
      <c r="AD202">
        <v>2.1</v>
      </c>
      <c r="AE202">
        <v>100</v>
      </c>
      <c r="AF202" t="s">
        <v>1012</v>
      </c>
      <c r="AG202" t="s">
        <v>111</v>
      </c>
    </row>
    <row r="203" spans="1:33" x14ac:dyDescent="0.2">
      <c r="A203" s="2">
        <v>45009.516828703701</v>
      </c>
      <c r="B203" s="2">
        <v>45009.52140046296</v>
      </c>
      <c r="C203" t="s">
        <v>36</v>
      </c>
      <c r="D203" t="s">
        <v>1014</v>
      </c>
      <c r="E203">
        <v>100</v>
      </c>
      <c r="F203">
        <v>395</v>
      </c>
      <c r="G203" t="b">
        <v>1</v>
      </c>
      <c r="H203" s="2">
        <v>45009.521412037036</v>
      </c>
      <c r="I203" t="s">
        <v>1015</v>
      </c>
      <c r="N203">
        <v>38.577399999999997</v>
      </c>
      <c r="O203">
        <v>-90.670900000000003</v>
      </c>
      <c r="P203" t="s">
        <v>100</v>
      </c>
      <c r="Q203" t="s">
        <v>95</v>
      </c>
      <c r="R203" t="s">
        <v>1016</v>
      </c>
      <c r="S203" t="s">
        <v>96</v>
      </c>
      <c r="V203">
        <v>50</v>
      </c>
      <c r="W203" t="s">
        <v>1017</v>
      </c>
      <c r="X203">
        <v>333</v>
      </c>
      <c r="Y203">
        <v>0.01</v>
      </c>
      <c r="Z203">
        <v>1E-3</v>
      </c>
      <c r="AA203" t="s">
        <v>1018</v>
      </c>
      <c r="AB203">
        <v>100</v>
      </c>
      <c r="AC203">
        <v>9</v>
      </c>
      <c r="AD203">
        <v>0.1</v>
      </c>
      <c r="AE203" t="s">
        <v>266</v>
      </c>
      <c r="AF203" t="s">
        <v>1016</v>
      </c>
      <c r="AG203" t="s">
        <v>111</v>
      </c>
    </row>
    <row r="204" spans="1:33" x14ac:dyDescent="0.2">
      <c r="A204" s="2">
        <v>45009.519282407404</v>
      </c>
      <c r="B204" s="2">
        <v>45009.521435185183</v>
      </c>
      <c r="C204" t="s">
        <v>36</v>
      </c>
      <c r="D204" t="s">
        <v>1019</v>
      </c>
      <c r="E204">
        <v>100</v>
      </c>
      <c r="F204">
        <v>186</v>
      </c>
      <c r="G204" t="b">
        <v>1</v>
      </c>
      <c r="H204" s="2">
        <v>45009.521435185183</v>
      </c>
      <c r="I204" t="s">
        <v>1020</v>
      </c>
      <c r="N204">
        <v>41.1389</v>
      </c>
      <c r="O204">
        <v>-81.862899999999996</v>
      </c>
      <c r="P204" t="s">
        <v>100</v>
      </c>
      <c r="Q204" t="s">
        <v>95</v>
      </c>
      <c r="R204" t="s">
        <v>1021</v>
      </c>
      <c r="S204" t="s">
        <v>96</v>
      </c>
      <c r="T204">
        <v>76</v>
      </c>
      <c r="V204">
        <v>92</v>
      </c>
      <c r="W204" t="s">
        <v>1022</v>
      </c>
      <c r="X204">
        <v>500</v>
      </c>
      <c r="Y204">
        <v>10</v>
      </c>
      <c r="Z204">
        <v>1</v>
      </c>
      <c r="AA204">
        <v>20</v>
      </c>
      <c r="AB204">
        <v>100</v>
      </c>
      <c r="AC204">
        <v>50</v>
      </c>
      <c r="AD204">
        <v>0.1</v>
      </c>
      <c r="AE204">
        <v>100</v>
      </c>
      <c r="AF204" t="s">
        <v>1021</v>
      </c>
      <c r="AG204" t="s">
        <v>125</v>
      </c>
    </row>
    <row r="205" spans="1:33" x14ac:dyDescent="0.2">
      <c r="A205" s="2">
        <v>45009.520451388889</v>
      </c>
      <c r="B205" s="2">
        <v>45009.521469907406</v>
      </c>
      <c r="C205" t="s">
        <v>36</v>
      </c>
      <c r="D205" t="s">
        <v>1023</v>
      </c>
      <c r="E205">
        <v>100</v>
      </c>
      <c r="F205">
        <v>87</v>
      </c>
      <c r="G205" t="b">
        <v>1</v>
      </c>
      <c r="H205" s="2">
        <v>45009.521469907406</v>
      </c>
      <c r="I205" t="s">
        <v>1024</v>
      </c>
      <c r="N205">
        <v>42.021500000000003</v>
      </c>
      <c r="O205">
        <v>-71.218800000000002</v>
      </c>
      <c r="P205" t="s">
        <v>100</v>
      </c>
      <c r="Q205" t="s">
        <v>95</v>
      </c>
      <c r="R205" t="s">
        <v>1025</v>
      </c>
      <c r="S205" t="s">
        <v>96</v>
      </c>
      <c r="V205">
        <v>72</v>
      </c>
      <c r="W205" t="s">
        <v>1026</v>
      </c>
      <c r="X205">
        <v>500</v>
      </c>
      <c r="Y205">
        <v>10</v>
      </c>
      <c r="Z205">
        <v>1E-3</v>
      </c>
      <c r="AA205">
        <v>20</v>
      </c>
      <c r="AB205">
        <v>100</v>
      </c>
      <c r="AC205">
        <v>8</v>
      </c>
      <c r="AD205">
        <v>0.05</v>
      </c>
      <c r="AE205">
        <v>5</v>
      </c>
      <c r="AF205" t="s">
        <v>1025</v>
      </c>
      <c r="AG205" t="s">
        <v>111</v>
      </c>
    </row>
    <row r="206" spans="1:33" x14ac:dyDescent="0.2">
      <c r="A206" s="2">
        <v>45009.515046296299</v>
      </c>
      <c r="B206" s="2">
        <v>45009.521527777775</v>
      </c>
      <c r="C206" t="s">
        <v>36</v>
      </c>
      <c r="D206" t="s">
        <v>1027</v>
      </c>
      <c r="E206">
        <v>100</v>
      </c>
      <c r="F206">
        <v>559</v>
      </c>
      <c r="G206" t="b">
        <v>1</v>
      </c>
      <c r="H206" s="2">
        <v>45009.521539351852</v>
      </c>
      <c r="I206" t="s">
        <v>1028</v>
      </c>
      <c r="N206">
        <v>33.540599999999998</v>
      </c>
      <c r="O206">
        <v>-101.8604</v>
      </c>
      <c r="P206" t="s">
        <v>100</v>
      </c>
      <c r="Q206" t="s">
        <v>95</v>
      </c>
      <c r="R206" t="s">
        <v>1029</v>
      </c>
      <c r="S206" t="s">
        <v>96</v>
      </c>
      <c r="V206">
        <v>99</v>
      </c>
      <c r="W206" t="s">
        <v>1030</v>
      </c>
      <c r="X206">
        <v>500</v>
      </c>
      <c r="Y206">
        <v>10</v>
      </c>
      <c r="Z206">
        <v>1</v>
      </c>
      <c r="AA206">
        <v>20</v>
      </c>
      <c r="AB206">
        <v>100</v>
      </c>
      <c r="AC206">
        <v>12</v>
      </c>
      <c r="AD206" t="s">
        <v>297</v>
      </c>
      <c r="AE206" t="s">
        <v>266</v>
      </c>
      <c r="AF206" t="s">
        <v>1029</v>
      </c>
      <c r="AG206" t="s">
        <v>97</v>
      </c>
    </row>
    <row r="207" spans="1:33" x14ac:dyDescent="0.2">
      <c r="A207" s="2">
        <v>45009.514814814815</v>
      </c>
      <c r="B207" s="2">
        <v>45009.521574074075</v>
      </c>
      <c r="C207" t="s">
        <v>36</v>
      </c>
      <c r="D207" t="s">
        <v>1031</v>
      </c>
      <c r="E207">
        <v>100</v>
      </c>
      <c r="F207">
        <v>583</v>
      </c>
      <c r="G207" t="b">
        <v>1</v>
      </c>
      <c r="H207" s="2">
        <v>45009.521574074075</v>
      </c>
      <c r="I207" t="s">
        <v>1032</v>
      </c>
      <c r="N207">
        <v>36.0229</v>
      </c>
      <c r="O207">
        <v>-78.946399999999997</v>
      </c>
      <c r="P207" t="s">
        <v>100</v>
      </c>
      <c r="Q207" t="s">
        <v>95</v>
      </c>
      <c r="R207" t="s">
        <v>1033</v>
      </c>
      <c r="S207" t="s">
        <v>96</v>
      </c>
      <c r="V207">
        <v>75</v>
      </c>
      <c r="W207" t="s">
        <v>1034</v>
      </c>
      <c r="X207">
        <v>500</v>
      </c>
      <c r="Y207">
        <v>10</v>
      </c>
      <c r="Z207" s="4">
        <v>1E-3</v>
      </c>
      <c r="AA207">
        <v>20</v>
      </c>
      <c r="AB207">
        <v>100</v>
      </c>
      <c r="AC207" s="3">
        <v>0.5</v>
      </c>
      <c r="AD207">
        <v>0.05</v>
      </c>
      <c r="AE207" t="s">
        <v>104</v>
      </c>
      <c r="AF207" t="s">
        <v>1033</v>
      </c>
      <c r="AG207" t="s">
        <v>105</v>
      </c>
    </row>
    <row r="208" spans="1:33" x14ac:dyDescent="0.2">
      <c r="A208" s="2">
        <v>45009.517592592594</v>
      </c>
      <c r="B208" s="2">
        <v>45009.521574074075</v>
      </c>
      <c r="C208" t="s">
        <v>36</v>
      </c>
      <c r="D208" t="s">
        <v>1035</v>
      </c>
      <c r="E208">
        <v>100</v>
      </c>
      <c r="F208">
        <v>344</v>
      </c>
      <c r="G208" t="b">
        <v>1</v>
      </c>
      <c r="H208" s="2">
        <v>45009.521585648145</v>
      </c>
      <c r="I208" t="s">
        <v>1036</v>
      </c>
      <c r="N208">
        <v>33.731099999999998</v>
      </c>
      <c r="O208">
        <v>-85.131</v>
      </c>
      <c r="P208" t="s">
        <v>100</v>
      </c>
      <c r="Q208" t="s">
        <v>95</v>
      </c>
      <c r="R208" t="s">
        <v>1037</v>
      </c>
      <c r="S208" t="s">
        <v>96</v>
      </c>
      <c r="V208">
        <v>100</v>
      </c>
      <c r="W208" t="s">
        <v>1038</v>
      </c>
      <c r="X208">
        <v>333</v>
      </c>
      <c r="Y208">
        <v>10</v>
      </c>
      <c r="Z208">
        <v>1</v>
      </c>
      <c r="AA208">
        <v>20</v>
      </c>
      <c r="AB208">
        <v>100</v>
      </c>
      <c r="AC208">
        <v>9</v>
      </c>
      <c r="AD208">
        <v>0.1</v>
      </c>
      <c r="AE208">
        <v>100</v>
      </c>
      <c r="AF208" t="s">
        <v>1037</v>
      </c>
      <c r="AG208" t="s">
        <v>105</v>
      </c>
    </row>
    <row r="209" spans="1:33" x14ac:dyDescent="0.2">
      <c r="A209" s="2">
        <v>45009.520104166666</v>
      </c>
      <c r="B209" s="2">
        <v>45009.521585648145</v>
      </c>
      <c r="C209" t="s">
        <v>36</v>
      </c>
      <c r="D209" t="s">
        <v>1039</v>
      </c>
      <c r="E209">
        <v>100</v>
      </c>
      <c r="F209">
        <v>128</v>
      </c>
      <c r="G209" t="b">
        <v>1</v>
      </c>
      <c r="H209" s="2">
        <v>45009.521597222221</v>
      </c>
      <c r="I209" t="s">
        <v>1040</v>
      </c>
      <c r="N209">
        <v>39.861600000000003</v>
      </c>
      <c r="O209">
        <v>-88.935500000000005</v>
      </c>
      <c r="P209" t="s">
        <v>100</v>
      </c>
      <c r="Q209" t="s">
        <v>95</v>
      </c>
      <c r="R209" t="s">
        <v>1041</v>
      </c>
      <c r="S209" t="s">
        <v>96</v>
      </c>
      <c r="V209">
        <v>29</v>
      </c>
      <c r="W209" t="s">
        <v>1042</v>
      </c>
      <c r="X209">
        <v>500</v>
      </c>
      <c r="Y209">
        <v>10</v>
      </c>
      <c r="Z209">
        <v>0.1</v>
      </c>
      <c r="AA209">
        <v>20</v>
      </c>
      <c r="AB209">
        <v>100</v>
      </c>
      <c r="AC209">
        <v>87</v>
      </c>
      <c r="AD209">
        <v>0.05</v>
      </c>
      <c r="AE209">
        <v>5</v>
      </c>
      <c r="AF209" t="s">
        <v>1041</v>
      </c>
      <c r="AG209" t="s">
        <v>111</v>
      </c>
    </row>
    <row r="210" spans="1:33" x14ac:dyDescent="0.2">
      <c r="A210" s="2">
        <v>45009.515972222223</v>
      </c>
      <c r="B210" s="2">
        <v>45009.521631944444</v>
      </c>
      <c r="C210" t="s">
        <v>36</v>
      </c>
      <c r="D210" t="s">
        <v>1043</v>
      </c>
      <c r="E210">
        <v>100</v>
      </c>
      <c r="F210">
        <v>488</v>
      </c>
      <c r="G210" t="b">
        <v>1</v>
      </c>
      <c r="H210" s="2">
        <v>45009.521631944444</v>
      </c>
      <c r="I210" t="s">
        <v>1044</v>
      </c>
      <c r="N210">
        <v>34.852499999999999</v>
      </c>
      <c r="O210">
        <v>-82.449600000000004</v>
      </c>
      <c r="P210" t="s">
        <v>100</v>
      </c>
      <c r="Q210" t="s">
        <v>95</v>
      </c>
      <c r="R210" t="s">
        <v>1045</v>
      </c>
      <c r="S210" t="s">
        <v>96</v>
      </c>
      <c r="V210">
        <v>84</v>
      </c>
      <c r="W210" t="s">
        <v>1046</v>
      </c>
      <c r="X210">
        <v>500</v>
      </c>
      <c r="Y210" t="s">
        <v>716</v>
      </c>
      <c r="Z210" s="4">
        <v>1E-3</v>
      </c>
      <c r="AA210">
        <v>20</v>
      </c>
      <c r="AB210">
        <v>100</v>
      </c>
      <c r="AC210" s="3">
        <v>0.1</v>
      </c>
      <c r="AD210" s="5">
        <v>0.1</v>
      </c>
      <c r="AE210" t="s">
        <v>104</v>
      </c>
      <c r="AF210" t="s">
        <v>1045</v>
      </c>
      <c r="AG210" t="s">
        <v>105</v>
      </c>
    </row>
    <row r="211" spans="1:33" x14ac:dyDescent="0.2">
      <c r="A211" s="2">
        <v>45009.517777777779</v>
      </c>
      <c r="B211" s="2">
        <v>45009.521678240744</v>
      </c>
      <c r="C211" t="s">
        <v>36</v>
      </c>
      <c r="D211" t="s">
        <v>1047</v>
      </c>
      <c r="E211">
        <v>100</v>
      </c>
      <c r="F211">
        <v>337</v>
      </c>
      <c r="G211" t="b">
        <v>1</v>
      </c>
      <c r="H211" s="2">
        <v>45009.521689814814</v>
      </c>
      <c r="I211" t="s">
        <v>1048</v>
      </c>
      <c r="N211">
        <v>35.045999999999999</v>
      </c>
      <c r="O211">
        <v>-81.980999999999995</v>
      </c>
      <c r="P211" t="s">
        <v>100</v>
      </c>
      <c r="Q211" t="s">
        <v>95</v>
      </c>
      <c r="R211" t="s">
        <v>1049</v>
      </c>
      <c r="S211" t="s">
        <v>96</v>
      </c>
      <c r="T211">
        <v>50</v>
      </c>
      <c r="V211">
        <v>60</v>
      </c>
      <c r="W211" t="s">
        <v>1050</v>
      </c>
      <c r="X211">
        <v>500</v>
      </c>
      <c r="Y211">
        <v>10</v>
      </c>
      <c r="Z211" s="4">
        <v>1E-3</v>
      </c>
      <c r="AA211">
        <v>20</v>
      </c>
      <c r="AB211">
        <v>100</v>
      </c>
      <c r="AC211" s="3">
        <v>0.5</v>
      </c>
      <c r="AD211" s="5">
        <v>0.05</v>
      </c>
      <c r="AE211">
        <v>5</v>
      </c>
      <c r="AF211" t="s">
        <v>1049</v>
      </c>
      <c r="AG211" t="s">
        <v>125</v>
      </c>
    </row>
    <row r="212" spans="1:33" x14ac:dyDescent="0.2">
      <c r="A212" s="2">
        <v>45009.517256944448</v>
      </c>
      <c r="B212" s="2">
        <v>45009.521689814814</v>
      </c>
      <c r="C212" t="s">
        <v>36</v>
      </c>
      <c r="D212" t="s">
        <v>1051</v>
      </c>
      <c r="E212">
        <v>100</v>
      </c>
      <c r="F212">
        <v>383</v>
      </c>
      <c r="G212" t="b">
        <v>1</v>
      </c>
      <c r="H212" s="2">
        <v>45009.521689814814</v>
      </c>
      <c r="I212" t="s">
        <v>1052</v>
      </c>
      <c r="N212">
        <v>34.526800000000001</v>
      </c>
      <c r="O212">
        <v>-92.958699999999993</v>
      </c>
      <c r="P212" t="s">
        <v>100</v>
      </c>
      <c r="Q212" t="s">
        <v>95</v>
      </c>
      <c r="R212" t="s">
        <v>1053</v>
      </c>
      <c r="S212" t="s">
        <v>96</v>
      </c>
      <c r="V212">
        <v>100</v>
      </c>
      <c r="W212" t="s">
        <v>1054</v>
      </c>
      <c r="X212">
        <v>500</v>
      </c>
      <c r="Y212">
        <v>100</v>
      </c>
      <c r="Z212">
        <v>1E-3</v>
      </c>
      <c r="AA212">
        <v>20</v>
      </c>
      <c r="AB212">
        <v>100</v>
      </c>
      <c r="AC212" t="s">
        <v>1055</v>
      </c>
      <c r="AD212">
        <v>0.05</v>
      </c>
      <c r="AE212">
        <v>100</v>
      </c>
      <c r="AF212" t="s">
        <v>1053</v>
      </c>
      <c r="AG212" t="s">
        <v>105</v>
      </c>
    </row>
    <row r="213" spans="1:33" x14ac:dyDescent="0.2">
      <c r="A213" s="2">
        <v>45009.519733796296</v>
      </c>
      <c r="B213" s="2">
        <v>45009.521805555552</v>
      </c>
      <c r="C213" t="s">
        <v>36</v>
      </c>
      <c r="D213" t="s">
        <v>1056</v>
      </c>
      <c r="E213">
        <v>100</v>
      </c>
      <c r="F213">
        <v>178</v>
      </c>
      <c r="G213" t="b">
        <v>1</v>
      </c>
      <c r="H213" s="2">
        <v>45009.521817129629</v>
      </c>
      <c r="I213" t="s">
        <v>1057</v>
      </c>
      <c r="N213">
        <v>43.801299999999998</v>
      </c>
      <c r="O213">
        <v>-91.213399999999993</v>
      </c>
      <c r="P213" t="s">
        <v>100</v>
      </c>
      <c r="Q213" t="s">
        <v>95</v>
      </c>
      <c r="R213" t="s">
        <v>1058</v>
      </c>
      <c r="S213" t="s">
        <v>96</v>
      </c>
      <c r="T213">
        <v>21</v>
      </c>
      <c r="U213" s="3">
        <v>0.4</v>
      </c>
      <c r="V213">
        <v>43</v>
      </c>
      <c r="W213" t="s">
        <v>1059</v>
      </c>
      <c r="X213">
        <v>500</v>
      </c>
      <c r="Y213">
        <v>10</v>
      </c>
      <c r="Z213">
        <v>2</v>
      </c>
      <c r="AA213">
        <v>20</v>
      </c>
      <c r="AB213">
        <v>100</v>
      </c>
      <c r="AC213">
        <v>10</v>
      </c>
      <c r="AD213">
        <v>0.1</v>
      </c>
      <c r="AE213">
        <v>100</v>
      </c>
      <c r="AF213" t="s">
        <v>1058</v>
      </c>
      <c r="AG213" t="s">
        <v>125</v>
      </c>
    </row>
    <row r="214" spans="1:33" x14ac:dyDescent="0.2">
      <c r="A214" s="2">
        <v>45009.518854166665</v>
      </c>
      <c r="B214" s="2">
        <v>45009.521909722222</v>
      </c>
      <c r="C214" t="s">
        <v>36</v>
      </c>
      <c r="D214" t="s">
        <v>1060</v>
      </c>
      <c r="E214">
        <v>100</v>
      </c>
      <c r="F214">
        <v>264</v>
      </c>
      <c r="G214" t="b">
        <v>1</v>
      </c>
      <c r="H214" s="2">
        <v>45009.521921296298</v>
      </c>
      <c r="I214" t="s">
        <v>1061</v>
      </c>
      <c r="N214">
        <v>43.213799999999999</v>
      </c>
      <c r="O214">
        <v>-77.457499999999996</v>
      </c>
      <c r="P214" t="s">
        <v>100</v>
      </c>
      <c r="Q214" t="s">
        <v>95</v>
      </c>
      <c r="R214" t="s">
        <v>1062</v>
      </c>
      <c r="S214" t="s">
        <v>96</v>
      </c>
      <c r="T214">
        <v>70</v>
      </c>
      <c r="V214">
        <v>91</v>
      </c>
      <c r="W214" t="s">
        <v>1063</v>
      </c>
      <c r="X214">
        <v>500</v>
      </c>
      <c r="Y214">
        <v>10</v>
      </c>
      <c r="Z214">
        <v>0.1</v>
      </c>
      <c r="AA214">
        <v>20</v>
      </c>
      <c r="AB214">
        <v>100</v>
      </c>
      <c r="AC214" s="3">
        <v>0.09</v>
      </c>
      <c r="AD214" t="s">
        <v>159</v>
      </c>
      <c r="AE214" t="s">
        <v>266</v>
      </c>
      <c r="AF214" t="s">
        <v>1062</v>
      </c>
      <c r="AG214" t="s">
        <v>125</v>
      </c>
    </row>
    <row r="215" spans="1:33" x14ac:dyDescent="0.2">
      <c r="A215" s="2">
        <v>45009.51699074074</v>
      </c>
      <c r="B215" s="2">
        <v>45009.521944444445</v>
      </c>
      <c r="C215" t="s">
        <v>36</v>
      </c>
      <c r="D215" t="s">
        <v>1064</v>
      </c>
      <c r="E215">
        <v>100</v>
      </c>
      <c r="F215">
        <v>428</v>
      </c>
      <c r="G215" t="b">
        <v>1</v>
      </c>
      <c r="H215" s="2">
        <v>45009.521944444445</v>
      </c>
      <c r="I215" t="s">
        <v>1065</v>
      </c>
      <c r="N215">
        <v>46.865699999999997</v>
      </c>
      <c r="O215">
        <v>-96.752099999999999</v>
      </c>
      <c r="P215" t="s">
        <v>100</v>
      </c>
      <c r="Q215" t="s">
        <v>95</v>
      </c>
      <c r="R215" t="s">
        <v>1066</v>
      </c>
      <c r="S215" t="s">
        <v>96</v>
      </c>
      <c r="V215">
        <v>95</v>
      </c>
      <c r="W215" t="s">
        <v>1067</v>
      </c>
      <c r="X215">
        <v>500</v>
      </c>
      <c r="Y215">
        <v>10</v>
      </c>
      <c r="Z215" s="3">
        <v>0.01</v>
      </c>
      <c r="AA215">
        <v>20</v>
      </c>
      <c r="AB215">
        <v>100</v>
      </c>
      <c r="AC215" t="s">
        <v>1068</v>
      </c>
      <c r="AD215">
        <v>0.1</v>
      </c>
      <c r="AE215" t="s">
        <v>104</v>
      </c>
      <c r="AF215" t="s">
        <v>1066</v>
      </c>
      <c r="AG215" t="s">
        <v>111</v>
      </c>
    </row>
    <row r="216" spans="1:33" x14ac:dyDescent="0.2">
      <c r="A216" s="2">
        <v>45009.517858796295</v>
      </c>
      <c r="B216" s="2">
        <v>45009.521990740737</v>
      </c>
      <c r="C216" t="s">
        <v>36</v>
      </c>
      <c r="D216" t="s">
        <v>1069</v>
      </c>
      <c r="E216">
        <v>100</v>
      </c>
      <c r="F216">
        <v>356</v>
      </c>
      <c r="G216" t="b">
        <v>1</v>
      </c>
      <c r="H216" s="2">
        <v>45009.521990740737</v>
      </c>
      <c r="I216" t="s">
        <v>1070</v>
      </c>
      <c r="N216">
        <v>32.779699999999998</v>
      </c>
      <c r="O216">
        <v>-96.802199999999999</v>
      </c>
      <c r="P216" t="s">
        <v>100</v>
      </c>
      <c r="Q216" t="s">
        <v>95</v>
      </c>
      <c r="R216" t="s">
        <v>1071</v>
      </c>
      <c r="S216" t="s">
        <v>96</v>
      </c>
      <c r="V216">
        <v>100</v>
      </c>
      <c r="W216" t="s">
        <v>1072</v>
      </c>
      <c r="X216">
        <v>500</v>
      </c>
      <c r="Y216">
        <v>10</v>
      </c>
      <c r="Z216">
        <v>0.1</v>
      </c>
      <c r="AA216">
        <v>20</v>
      </c>
      <c r="AB216">
        <v>100</v>
      </c>
      <c r="AC216">
        <v>1</v>
      </c>
      <c r="AD216">
        <v>0.05</v>
      </c>
      <c r="AE216">
        <v>5</v>
      </c>
      <c r="AF216" t="s">
        <v>1071</v>
      </c>
      <c r="AG216" t="s">
        <v>97</v>
      </c>
    </row>
    <row r="217" spans="1:33" x14ac:dyDescent="0.2">
      <c r="A217" s="2">
        <v>45009.518148148149</v>
      </c>
      <c r="B217" s="2">
        <v>45009.522002314814</v>
      </c>
      <c r="C217" t="s">
        <v>36</v>
      </c>
      <c r="D217" t="s">
        <v>1073</v>
      </c>
      <c r="E217">
        <v>100</v>
      </c>
      <c r="F217">
        <v>333</v>
      </c>
      <c r="G217" t="b">
        <v>1</v>
      </c>
      <c r="H217" s="2">
        <v>45009.522013888891</v>
      </c>
      <c r="I217" t="s">
        <v>1074</v>
      </c>
      <c r="N217">
        <v>42.694499999999998</v>
      </c>
      <c r="O217">
        <v>-78.987200000000001</v>
      </c>
      <c r="P217" t="s">
        <v>100</v>
      </c>
      <c r="Q217" t="s">
        <v>95</v>
      </c>
      <c r="R217" s="6" t="s">
        <v>1075</v>
      </c>
      <c r="S217" t="s">
        <v>96</v>
      </c>
      <c r="V217">
        <v>46</v>
      </c>
      <c r="W217" t="s">
        <v>1076</v>
      </c>
      <c r="X217">
        <v>500</v>
      </c>
      <c r="Y217">
        <v>10</v>
      </c>
      <c r="Z217">
        <v>0.1</v>
      </c>
      <c r="AA217">
        <v>20</v>
      </c>
      <c r="AB217">
        <v>100</v>
      </c>
      <c r="AC217">
        <v>50</v>
      </c>
      <c r="AD217">
        <v>0.1</v>
      </c>
      <c r="AE217">
        <v>5</v>
      </c>
      <c r="AF217" s="6" t="s">
        <v>1075</v>
      </c>
      <c r="AG217" t="s">
        <v>111</v>
      </c>
    </row>
    <row r="218" spans="1:33" x14ac:dyDescent="0.2">
      <c r="A218" s="2">
        <v>45009.518217592595</v>
      </c>
      <c r="B218" s="2">
        <v>45009.522141203706</v>
      </c>
      <c r="C218" t="s">
        <v>36</v>
      </c>
      <c r="D218" t="s">
        <v>1077</v>
      </c>
      <c r="E218">
        <v>100</v>
      </c>
      <c r="F218">
        <v>339</v>
      </c>
      <c r="G218" t="b">
        <v>1</v>
      </c>
      <c r="H218" s="2">
        <v>45009.522141203706</v>
      </c>
      <c r="I218" t="s">
        <v>1078</v>
      </c>
      <c r="N218">
        <v>45.08</v>
      </c>
      <c r="O218">
        <v>-93.0227</v>
      </c>
      <c r="P218" t="s">
        <v>100</v>
      </c>
      <c r="Q218" t="s">
        <v>95</v>
      </c>
      <c r="R218" t="s">
        <v>1079</v>
      </c>
      <c r="S218" t="s">
        <v>96</v>
      </c>
      <c r="T218">
        <v>25</v>
      </c>
      <c r="U218">
        <v>35</v>
      </c>
      <c r="V218">
        <v>60</v>
      </c>
      <c r="W218" t="s">
        <v>1080</v>
      </c>
      <c r="X218">
        <v>512</v>
      </c>
      <c r="Y218">
        <v>10</v>
      </c>
      <c r="Z218">
        <v>0.01</v>
      </c>
      <c r="AA218">
        <v>20</v>
      </c>
      <c r="AB218">
        <v>1</v>
      </c>
      <c r="AC218">
        <v>9</v>
      </c>
      <c r="AD218">
        <v>0.1</v>
      </c>
      <c r="AE218">
        <v>5</v>
      </c>
      <c r="AF218" t="s">
        <v>1079</v>
      </c>
      <c r="AG218" t="s">
        <v>125</v>
      </c>
    </row>
    <row r="219" spans="1:33" x14ac:dyDescent="0.2">
      <c r="A219" s="2">
        <v>45009.517395833333</v>
      </c>
      <c r="B219" s="2">
        <v>45009.522152777776</v>
      </c>
      <c r="C219" t="s">
        <v>36</v>
      </c>
      <c r="D219" t="s">
        <v>1081</v>
      </c>
      <c r="E219">
        <v>100</v>
      </c>
      <c r="F219">
        <v>410</v>
      </c>
      <c r="G219" t="b">
        <v>1</v>
      </c>
      <c r="H219" s="2">
        <v>45009.522152777776</v>
      </c>
      <c r="I219" t="s">
        <v>1082</v>
      </c>
      <c r="N219">
        <v>34.108199999999997</v>
      </c>
      <c r="O219">
        <v>-118.15689999999999</v>
      </c>
      <c r="P219" t="s">
        <v>100</v>
      </c>
      <c r="Q219" t="s">
        <v>95</v>
      </c>
      <c r="R219" t="s">
        <v>1083</v>
      </c>
      <c r="S219" t="s">
        <v>96</v>
      </c>
      <c r="V219">
        <v>40</v>
      </c>
      <c r="W219" t="s">
        <v>1084</v>
      </c>
      <c r="X219">
        <v>500</v>
      </c>
      <c r="Y219" t="s">
        <v>1085</v>
      </c>
      <c r="Z219" s="4">
        <v>1E-3</v>
      </c>
      <c r="AA219">
        <v>20</v>
      </c>
      <c r="AB219">
        <v>100</v>
      </c>
      <c r="AC219" s="3">
        <v>0.1</v>
      </c>
      <c r="AD219" s="5">
        <v>0.05</v>
      </c>
      <c r="AE219" t="s">
        <v>104</v>
      </c>
      <c r="AF219" t="s">
        <v>1083</v>
      </c>
      <c r="AG219" t="s">
        <v>105</v>
      </c>
    </row>
    <row r="220" spans="1:33" x14ac:dyDescent="0.2">
      <c r="A220" s="2">
        <v>45009.519097222219</v>
      </c>
      <c r="B220" s="2">
        <v>45009.522175925929</v>
      </c>
      <c r="C220" t="s">
        <v>36</v>
      </c>
      <c r="D220" t="s">
        <v>1086</v>
      </c>
      <c r="E220">
        <v>100</v>
      </c>
      <c r="F220">
        <v>266</v>
      </c>
      <c r="G220" t="b">
        <v>1</v>
      </c>
      <c r="H220" s="2">
        <v>45009.522187499999</v>
      </c>
      <c r="I220" t="s">
        <v>1087</v>
      </c>
      <c r="N220">
        <v>41.313600000000001</v>
      </c>
      <c r="O220">
        <v>-72.927199999999999</v>
      </c>
      <c r="P220" t="s">
        <v>100</v>
      </c>
      <c r="Q220" t="s">
        <v>95</v>
      </c>
      <c r="R220" t="s">
        <v>1088</v>
      </c>
      <c r="S220" t="s">
        <v>96</v>
      </c>
      <c r="V220">
        <v>100</v>
      </c>
      <c r="W220" t="s">
        <v>1089</v>
      </c>
      <c r="X220">
        <v>65</v>
      </c>
      <c r="Y220">
        <v>10</v>
      </c>
      <c r="Z220" s="3">
        <v>0.8</v>
      </c>
      <c r="AA220" s="3">
        <v>0.8</v>
      </c>
      <c r="AB220">
        <v>10</v>
      </c>
      <c r="AC220" s="3">
        <v>0.75</v>
      </c>
      <c r="AD220">
        <v>0.1</v>
      </c>
      <c r="AE220">
        <v>100</v>
      </c>
      <c r="AF220" t="s">
        <v>1088</v>
      </c>
      <c r="AG220" t="s">
        <v>111</v>
      </c>
    </row>
    <row r="221" spans="1:33" x14ac:dyDescent="0.2">
      <c r="A221" s="2">
        <v>45009.512233796297</v>
      </c>
      <c r="B221" s="2">
        <v>45009.522187499999</v>
      </c>
      <c r="C221" t="s">
        <v>36</v>
      </c>
      <c r="D221" t="s">
        <v>1090</v>
      </c>
      <c r="E221">
        <v>100</v>
      </c>
      <c r="F221">
        <v>859</v>
      </c>
      <c r="G221" t="b">
        <v>1</v>
      </c>
      <c r="H221" s="2">
        <v>45009.522187499999</v>
      </c>
      <c r="I221" t="s">
        <v>1091</v>
      </c>
      <c r="N221">
        <v>32.459600000000002</v>
      </c>
      <c r="O221">
        <v>-84.948599999999999</v>
      </c>
      <c r="P221" t="s">
        <v>100</v>
      </c>
      <c r="Q221" t="s">
        <v>95</v>
      </c>
      <c r="R221" t="s">
        <v>1092</v>
      </c>
      <c r="S221" t="s">
        <v>96</v>
      </c>
      <c r="V221">
        <v>75</v>
      </c>
      <c r="W221" t="s">
        <v>1093</v>
      </c>
      <c r="X221">
        <v>500</v>
      </c>
      <c r="Y221">
        <v>1</v>
      </c>
      <c r="Z221" s="3">
        <v>0.01</v>
      </c>
      <c r="AA221" s="3">
        <v>0.2</v>
      </c>
      <c r="AB221">
        <v>100</v>
      </c>
      <c r="AC221" s="3">
        <v>0.9</v>
      </c>
      <c r="AD221">
        <v>0.05</v>
      </c>
      <c r="AE221" t="s">
        <v>266</v>
      </c>
      <c r="AF221" t="s">
        <v>1092</v>
      </c>
      <c r="AG221" t="s">
        <v>105</v>
      </c>
    </row>
    <row r="222" spans="1:33" x14ac:dyDescent="0.2">
      <c r="A222" s="2">
        <v>45009.518449074072</v>
      </c>
      <c r="B222" s="2">
        <v>45009.522210648145</v>
      </c>
      <c r="C222" t="s">
        <v>36</v>
      </c>
      <c r="D222" t="s">
        <v>1094</v>
      </c>
      <c r="E222">
        <v>100</v>
      </c>
      <c r="F222">
        <v>324</v>
      </c>
      <c r="G222" t="b">
        <v>1</v>
      </c>
      <c r="H222" s="2">
        <v>45009.522210648145</v>
      </c>
      <c r="I222" t="s">
        <v>1095</v>
      </c>
      <c r="N222">
        <v>39.005499999999998</v>
      </c>
      <c r="O222">
        <v>-84.6006</v>
      </c>
      <c r="P222" t="s">
        <v>100</v>
      </c>
      <c r="Q222" t="s">
        <v>95</v>
      </c>
      <c r="R222" t="s">
        <v>1096</v>
      </c>
      <c r="S222" t="s">
        <v>96</v>
      </c>
      <c r="V222">
        <v>100</v>
      </c>
      <c r="W222" t="s">
        <v>1097</v>
      </c>
      <c r="X222">
        <v>500</v>
      </c>
      <c r="Y222">
        <v>10</v>
      </c>
      <c r="Z222" s="4">
        <v>1E-3</v>
      </c>
      <c r="AA222" s="3">
        <v>0.2</v>
      </c>
      <c r="AB222">
        <v>100</v>
      </c>
      <c r="AC222" s="3">
        <v>0.08</v>
      </c>
      <c r="AD222" t="s">
        <v>1098</v>
      </c>
      <c r="AE222" t="s">
        <v>104</v>
      </c>
      <c r="AF222" t="s">
        <v>1096</v>
      </c>
      <c r="AG222" t="s">
        <v>105</v>
      </c>
    </row>
    <row r="223" spans="1:33" x14ac:dyDescent="0.2">
      <c r="A223" s="2">
        <v>45009.509872685187</v>
      </c>
      <c r="B223" s="2">
        <v>45009.522268518522</v>
      </c>
      <c r="C223" t="s">
        <v>36</v>
      </c>
      <c r="D223" t="s">
        <v>1099</v>
      </c>
      <c r="E223">
        <v>100</v>
      </c>
      <c r="F223">
        <v>1071</v>
      </c>
      <c r="G223" t="b">
        <v>1</v>
      </c>
      <c r="H223" s="2">
        <v>45009.522280092591</v>
      </c>
      <c r="I223" t="s">
        <v>1100</v>
      </c>
      <c r="N223">
        <v>35.236899999999999</v>
      </c>
      <c r="O223">
        <v>-80.895700000000005</v>
      </c>
      <c r="P223" t="s">
        <v>100</v>
      </c>
      <c r="Q223" t="s">
        <v>95</v>
      </c>
      <c r="R223" t="s">
        <v>1101</v>
      </c>
      <c r="S223" t="s">
        <v>96</v>
      </c>
      <c r="V223">
        <v>61</v>
      </c>
      <c r="W223" t="s">
        <v>1102</v>
      </c>
      <c r="X223">
        <v>500</v>
      </c>
      <c r="Y223" t="s">
        <v>1103</v>
      </c>
      <c r="Z223" s="3">
        <v>0.01</v>
      </c>
      <c r="AA223">
        <v>20</v>
      </c>
      <c r="AB223">
        <v>100</v>
      </c>
      <c r="AC223" s="3">
        <v>0.9</v>
      </c>
      <c r="AD223" t="s">
        <v>297</v>
      </c>
      <c r="AE223">
        <v>100</v>
      </c>
      <c r="AF223" t="s">
        <v>1101</v>
      </c>
      <c r="AG223" t="s">
        <v>105</v>
      </c>
    </row>
    <row r="224" spans="1:33" x14ac:dyDescent="0.2">
      <c r="A224" s="2">
        <v>45009.519594907404</v>
      </c>
      <c r="B224" s="2">
        <v>45009.522361111114</v>
      </c>
      <c r="C224" t="s">
        <v>36</v>
      </c>
      <c r="D224" t="s">
        <v>1104</v>
      </c>
      <c r="E224">
        <v>100</v>
      </c>
      <c r="F224">
        <v>238</v>
      </c>
      <c r="G224" t="b">
        <v>1</v>
      </c>
      <c r="H224" s="2">
        <v>45009.522361111114</v>
      </c>
      <c r="I224" t="s">
        <v>1105</v>
      </c>
      <c r="N224">
        <v>38.768000000000001</v>
      </c>
      <c r="O224">
        <v>-121.3349</v>
      </c>
      <c r="P224" t="s">
        <v>100</v>
      </c>
      <c r="Q224" t="s">
        <v>95</v>
      </c>
      <c r="R224" t="s">
        <v>1106</v>
      </c>
      <c r="S224" t="s">
        <v>96</v>
      </c>
      <c r="V224">
        <v>30</v>
      </c>
      <c r="W224" t="s">
        <v>1107</v>
      </c>
      <c r="X224">
        <v>500</v>
      </c>
      <c r="Y224">
        <v>10</v>
      </c>
      <c r="Z224" s="4">
        <v>1E-3</v>
      </c>
      <c r="AA224" s="3">
        <v>0.2</v>
      </c>
      <c r="AB224">
        <v>100</v>
      </c>
      <c r="AC224" s="3">
        <v>0.9</v>
      </c>
      <c r="AD224" s="5">
        <v>0.05</v>
      </c>
      <c r="AE224">
        <v>5</v>
      </c>
      <c r="AF224" t="s">
        <v>1106</v>
      </c>
      <c r="AG224" t="s">
        <v>105</v>
      </c>
    </row>
    <row r="225" spans="1:33" x14ac:dyDescent="0.2">
      <c r="A225" s="2">
        <v>45009.519270833334</v>
      </c>
      <c r="B225" s="2">
        <v>45009.52238425926</v>
      </c>
      <c r="C225" t="s">
        <v>36</v>
      </c>
      <c r="D225" t="s">
        <v>1108</v>
      </c>
      <c r="E225">
        <v>100</v>
      </c>
      <c r="F225">
        <v>269</v>
      </c>
      <c r="G225" t="b">
        <v>1</v>
      </c>
      <c r="H225" s="2">
        <v>45009.52239583333</v>
      </c>
      <c r="I225" t="s">
        <v>1109</v>
      </c>
      <c r="N225">
        <v>46.2532</v>
      </c>
      <c r="O225">
        <v>-119.2864</v>
      </c>
      <c r="P225" t="s">
        <v>100</v>
      </c>
      <c r="Q225" t="s">
        <v>95</v>
      </c>
      <c r="R225" t="s">
        <v>1110</v>
      </c>
      <c r="S225" t="s">
        <v>96</v>
      </c>
      <c r="T225">
        <v>55</v>
      </c>
      <c r="V225">
        <v>55</v>
      </c>
      <c r="W225" t="s">
        <v>1111</v>
      </c>
      <c r="X225" t="s">
        <v>1112</v>
      </c>
      <c r="Y225" t="s">
        <v>1113</v>
      </c>
      <c r="Z225" s="4">
        <v>1E-3</v>
      </c>
      <c r="AA225">
        <v>20</v>
      </c>
      <c r="AB225">
        <v>100</v>
      </c>
      <c r="AC225" t="s">
        <v>1114</v>
      </c>
      <c r="AD225">
        <v>0.1</v>
      </c>
      <c r="AE225" t="s">
        <v>160</v>
      </c>
      <c r="AF225" t="s">
        <v>1110</v>
      </c>
      <c r="AG225" t="s">
        <v>125</v>
      </c>
    </row>
    <row r="226" spans="1:33" x14ac:dyDescent="0.2">
      <c r="A226" s="2">
        <v>45009.52003472222</v>
      </c>
      <c r="B226" s="2">
        <v>45009.52239583333</v>
      </c>
      <c r="C226" t="s">
        <v>36</v>
      </c>
      <c r="D226" t="s">
        <v>1115</v>
      </c>
      <c r="E226">
        <v>100</v>
      </c>
      <c r="F226">
        <v>203</v>
      </c>
      <c r="G226" t="b">
        <v>1</v>
      </c>
      <c r="H226" s="2">
        <v>45009.522407407407</v>
      </c>
      <c r="I226" t="s">
        <v>1116</v>
      </c>
      <c r="N226">
        <v>33.136600000000001</v>
      </c>
      <c r="O226">
        <v>-117.0611</v>
      </c>
      <c r="P226" t="s">
        <v>100</v>
      </c>
      <c r="Q226" t="s">
        <v>95</v>
      </c>
      <c r="R226" s="6" t="s">
        <v>1117</v>
      </c>
      <c r="S226" t="s">
        <v>96</v>
      </c>
      <c r="T226">
        <v>5</v>
      </c>
      <c r="U226">
        <v>20</v>
      </c>
      <c r="V226">
        <v>1</v>
      </c>
      <c r="W226" t="s">
        <v>1118</v>
      </c>
      <c r="X226">
        <v>500</v>
      </c>
      <c r="Y226">
        <v>10</v>
      </c>
      <c r="Z226" s="4">
        <v>1E-3</v>
      </c>
      <c r="AA226">
        <v>20</v>
      </c>
      <c r="AB226">
        <v>100</v>
      </c>
      <c r="AC226" s="3">
        <v>0.1</v>
      </c>
      <c r="AD226">
        <v>0.05</v>
      </c>
      <c r="AE226">
        <v>100</v>
      </c>
      <c r="AF226" s="6" t="s">
        <v>1117</v>
      </c>
      <c r="AG226" t="s">
        <v>125</v>
      </c>
    </row>
    <row r="227" spans="1:33" x14ac:dyDescent="0.2">
      <c r="A227" s="2">
        <v>45009.516122685185</v>
      </c>
      <c r="B227" s="2">
        <v>45009.52244212963</v>
      </c>
      <c r="C227" t="s">
        <v>36</v>
      </c>
      <c r="D227" t="s">
        <v>1119</v>
      </c>
      <c r="E227">
        <v>100</v>
      </c>
      <c r="F227">
        <v>546</v>
      </c>
      <c r="G227" t="b">
        <v>1</v>
      </c>
      <c r="H227" s="2">
        <v>45009.522453703707</v>
      </c>
      <c r="I227" t="s">
        <v>1120</v>
      </c>
      <c r="N227">
        <v>40.558500000000002</v>
      </c>
      <c r="O227">
        <v>-122.4139</v>
      </c>
      <c r="P227" t="s">
        <v>100</v>
      </c>
      <c r="Q227" t="s">
        <v>95</v>
      </c>
      <c r="R227" t="s">
        <v>1121</v>
      </c>
      <c r="S227" t="s">
        <v>96</v>
      </c>
      <c r="V227">
        <v>50</v>
      </c>
      <c r="W227" t="s">
        <v>1122</v>
      </c>
      <c r="X227">
        <v>500</v>
      </c>
      <c r="Y227">
        <v>10</v>
      </c>
      <c r="Z227">
        <v>0.1</v>
      </c>
      <c r="AA227">
        <v>20</v>
      </c>
      <c r="AB227">
        <v>100</v>
      </c>
      <c r="AC227">
        <v>9</v>
      </c>
      <c r="AD227">
        <v>0.05</v>
      </c>
      <c r="AE227">
        <v>5</v>
      </c>
      <c r="AF227" t="s">
        <v>1121</v>
      </c>
      <c r="AG227" t="s">
        <v>105</v>
      </c>
    </row>
    <row r="228" spans="1:33" x14ac:dyDescent="0.2">
      <c r="A228" s="2">
        <v>45009.521064814813</v>
      </c>
      <c r="B228" s="2">
        <v>45009.522592592592</v>
      </c>
      <c r="C228" t="s">
        <v>36</v>
      </c>
      <c r="D228" t="s">
        <v>1123</v>
      </c>
      <c r="E228">
        <v>100</v>
      </c>
      <c r="F228">
        <v>131</v>
      </c>
      <c r="G228" t="b">
        <v>1</v>
      </c>
      <c r="H228" s="2">
        <v>45009.522592592592</v>
      </c>
      <c r="I228" t="s">
        <v>1124</v>
      </c>
      <c r="N228">
        <v>32.740400000000001</v>
      </c>
      <c r="O228">
        <v>-117.13549999999999</v>
      </c>
      <c r="P228" t="s">
        <v>100</v>
      </c>
      <c r="Q228" t="s">
        <v>95</v>
      </c>
      <c r="R228" t="s">
        <v>1125</v>
      </c>
      <c r="S228" t="s">
        <v>96</v>
      </c>
      <c r="V228">
        <v>90</v>
      </c>
      <c r="W228" t="s">
        <v>1126</v>
      </c>
      <c r="X228">
        <v>459</v>
      </c>
      <c r="Y228">
        <v>1</v>
      </c>
      <c r="Z228">
        <v>0.1</v>
      </c>
      <c r="AA228">
        <v>20</v>
      </c>
      <c r="AB228">
        <v>0.1</v>
      </c>
      <c r="AC228">
        <v>45</v>
      </c>
      <c r="AD228">
        <v>0.05</v>
      </c>
      <c r="AE228">
        <v>5</v>
      </c>
      <c r="AF228" t="s">
        <v>1125</v>
      </c>
      <c r="AG228" t="s">
        <v>97</v>
      </c>
    </row>
    <row r="229" spans="1:33" x14ac:dyDescent="0.2">
      <c r="A229" s="2">
        <v>45009.519143518519</v>
      </c>
      <c r="B229" s="2">
        <v>45009.522604166668</v>
      </c>
      <c r="C229" t="s">
        <v>36</v>
      </c>
      <c r="D229" t="s">
        <v>1127</v>
      </c>
      <c r="E229">
        <v>100</v>
      </c>
      <c r="F229">
        <v>299</v>
      </c>
      <c r="G229" t="b">
        <v>1</v>
      </c>
      <c r="H229" s="2">
        <v>45009.522604166668</v>
      </c>
      <c r="I229" t="s">
        <v>1128</v>
      </c>
      <c r="N229">
        <v>40.7881</v>
      </c>
      <c r="O229">
        <v>-74.674999999999997</v>
      </c>
      <c r="P229" t="s">
        <v>100</v>
      </c>
      <c r="Q229" t="s">
        <v>95</v>
      </c>
      <c r="R229" t="s">
        <v>1129</v>
      </c>
      <c r="S229" t="s">
        <v>96</v>
      </c>
      <c r="V229">
        <v>90</v>
      </c>
      <c r="W229" t="s">
        <v>1130</v>
      </c>
      <c r="X229">
        <v>500</v>
      </c>
      <c r="Y229">
        <v>10</v>
      </c>
      <c r="Z229" t="s">
        <v>1131</v>
      </c>
      <c r="AA229">
        <v>1000</v>
      </c>
      <c r="AB229">
        <v>100</v>
      </c>
      <c r="AC229" s="3">
        <v>0.1</v>
      </c>
      <c r="AD229">
        <v>0.1</v>
      </c>
      <c r="AE229">
        <v>100</v>
      </c>
      <c r="AF229" t="s">
        <v>1129</v>
      </c>
      <c r="AG229" t="s">
        <v>97</v>
      </c>
    </row>
    <row r="230" spans="1:33" x14ac:dyDescent="0.2">
      <c r="A230" s="2">
        <v>45009.517708333333</v>
      </c>
      <c r="B230" s="2">
        <v>45009.522685185184</v>
      </c>
      <c r="C230" t="s">
        <v>36</v>
      </c>
      <c r="D230" t="s">
        <v>1132</v>
      </c>
      <c r="E230">
        <v>100</v>
      </c>
      <c r="F230">
        <v>429</v>
      </c>
      <c r="G230" t="b">
        <v>1</v>
      </c>
      <c r="H230" s="2">
        <v>45009.522685185184</v>
      </c>
      <c r="I230" t="s">
        <v>1133</v>
      </c>
      <c r="N230">
        <v>39.924100000000003</v>
      </c>
      <c r="O230">
        <v>-105.0639</v>
      </c>
      <c r="P230" t="s">
        <v>100</v>
      </c>
      <c r="Q230" t="s">
        <v>95</v>
      </c>
      <c r="R230" t="s">
        <v>1134</v>
      </c>
      <c r="S230" t="s">
        <v>96</v>
      </c>
      <c r="V230">
        <v>47</v>
      </c>
      <c r="W230" t="s">
        <v>1135</v>
      </c>
      <c r="X230">
        <v>500</v>
      </c>
      <c r="Y230">
        <v>1</v>
      </c>
      <c r="Z230" s="4">
        <v>1.0000000000000001E-5</v>
      </c>
      <c r="AA230" s="3">
        <v>0.2</v>
      </c>
      <c r="AB230">
        <v>100</v>
      </c>
      <c r="AC230" s="3">
        <v>0.9</v>
      </c>
      <c r="AD230">
        <v>0.1</v>
      </c>
      <c r="AE230" t="s">
        <v>266</v>
      </c>
      <c r="AF230" t="s">
        <v>1134</v>
      </c>
      <c r="AG230" t="s">
        <v>111</v>
      </c>
    </row>
    <row r="231" spans="1:33" x14ac:dyDescent="0.2">
      <c r="A231" s="2">
        <v>45009.516608796293</v>
      </c>
      <c r="B231" s="2">
        <v>45009.522719907407</v>
      </c>
      <c r="C231" t="s">
        <v>36</v>
      </c>
      <c r="D231" t="s">
        <v>1136</v>
      </c>
      <c r="E231">
        <v>100</v>
      </c>
      <c r="F231">
        <v>528</v>
      </c>
      <c r="G231" t="b">
        <v>1</v>
      </c>
      <c r="H231" s="2">
        <v>45009.522719907407</v>
      </c>
      <c r="I231" t="s">
        <v>1137</v>
      </c>
      <c r="N231">
        <v>45.480499999999999</v>
      </c>
      <c r="O231">
        <v>-122.63630000000001</v>
      </c>
      <c r="P231" t="s">
        <v>100</v>
      </c>
      <c r="Q231" t="s">
        <v>95</v>
      </c>
      <c r="R231" t="s">
        <v>1138</v>
      </c>
      <c r="S231" t="s">
        <v>96</v>
      </c>
      <c r="T231">
        <v>20</v>
      </c>
      <c r="U231" s="3">
        <v>0.4</v>
      </c>
      <c r="V231">
        <v>15</v>
      </c>
      <c r="W231" t="s">
        <v>1139</v>
      </c>
      <c r="X231">
        <v>500</v>
      </c>
      <c r="Y231">
        <v>10</v>
      </c>
      <c r="Z231">
        <v>1E-3</v>
      </c>
      <c r="AA231">
        <v>20</v>
      </c>
      <c r="AB231">
        <v>100</v>
      </c>
      <c r="AC231">
        <v>18</v>
      </c>
      <c r="AD231">
        <v>0.1</v>
      </c>
      <c r="AE231">
        <v>100</v>
      </c>
      <c r="AF231" t="s">
        <v>1138</v>
      </c>
      <c r="AG231" t="s">
        <v>125</v>
      </c>
    </row>
    <row r="232" spans="1:33" x14ac:dyDescent="0.2">
      <c r="A232" s="2">
        <v>45009.517557870371</v>
      </c>
      <c r="B232" s="2">
        <v>45009.522800925923</v>
      </c>
      <c r="C232" t="s">
        <v>36</v>
      </c>
      <c r="D232" t="s">
        <v>1140</v>
      </c>
      <c r="E232">
        <v>100</v>
      </c>
      <c r="F232">
        <v>453</v>
      </c>
      <c r="G232" t="b">
        <v>1</v>
      </c>
      <c r="H232" s="2">
        <v>45009.522800925923</v>
      </c>
      <c r="I232" t="s">
        <v>1141</v>
      </c>
      <c r="N232">
        <v>29.970099999999999</v>
      </c>
      <c r="O232">
        <v>-90.025400000000005</v>
      </c>
      <c r="P232" t="s">
        <v>100</v>
      </c>
      <c r="Q232" t="s">
        <v>95</v>
      </c>
      <c r="R232" t="s">
        <v>1142</v>
      </c>
      <c r="S232" t="s">
        <v>96</v>
      </c>
      <c r="V232">
        <v>71</v>
      </c>
      <c r="W232" t="s">
        <v>1143</v>
      </c>
      <c r="X232">
        <v>333</v>
      </c>
      <c r="Y232">
        <v>10</v>
      </c>
      <c r="Z232">
        <v>0.01</v>
      </c>
      <c r="AA232" s="3">
        <v>0.2</v>
      </c>
      <c r="AB232">
        <v>100</v>
      </c>
      <c r="AC232" s="3">
        <v>0.9</v>
      </c>
      <c r="AD232">
        <v>0.1</v>
      </c>
      <c r="AE232">
        <v>100</v>
      </c>
      <c r="AF232" t="s">
        <v>1142</v>
      </c>
      <c r="AG232" t="s">
        <v>97</v>
      </c>
    </row>
    <row r="233" spans="1:33" x14ac:dyDescent="0.2">
      <c r="A233" s="2">
        <v>45009.514432870368</v>
      </c>
      <c r="B233" s="2">
        <v>45009.522800925923</v>
      </c>
      <c r="C233" t="s">
        <v>36</v>
      </c>
      <c r="D233" t="s">
        <v>1144</v>
      </c>
      <c r="E233">
        <v>100</v>
      </c>
      <c r="F233">
        <v>722</v>
      </c>
      <c r="G233" t="b">
        <v>1</v>
      </c>
      <c r="H233" s="2">
        <v>45009.522800925923</v>
      </c>
      <c r="I233" t="s">
        <v>1145</v>
      </c>
      <c r="N233">
        <v>27.704499999999999</v>
      </c>
      <c r="O233">
        <v>-82.433800000000005</v>
      </c>
      <c r="P233" t="s">
        <v>100</v>
      </c>
      <c r="Q233" t="s">
        <v>95</v>
      </c>
      <c r="R233" t="s">
        <v>1146</v>
      </c>
      <c r="S233" t="s">
        <v>96</v>
      </c>
      <c r="V233">
        <v>80</v>
      </c>
      <c r="W233" t="s">
        <v>1147</v>
      </c>
      <c r="X233">
        <v>500</v>
      </c>
      <c r="Y233">
        <v>10</v>
      </c>
      <c r="Z233" s="4">
        <v>1E-4</v>
      </c>
      <c r="AA233">
        <v>20</v>
      </c>
      <c r="AB233">
        <v>100</v>
      </c>
      <c r="AC233" t="s">
        <v>1148</v>
      </c>
      <c r="AD233">
        <v>1.05</v>
      </c>
      <c r="AE233" t="s">
        <v>1149</v>
      </c>
      <c r="AF233" t="s">
        <v>1146</v>
      </c>
      <c r="AG233" t="s">
        <v>97</v>
      </c>
    </row>
    <row r="234" spans="1:33" x14ac:dyDescent="0.2">
      <c r="A234" s="2">
        <v>45009.516736111109</v>
      </c>
      <c r="B234" s="2">
        <v>45009.522824074076</v>
      </c>
      <c r="C234" t="s">
        <v>36</v>
      </c>
      <c r="D234" t="s">
        <v>1150</v>
      </c>
      <c r="E234">
        <v>100</v>
      </c>
      <c r="F234">
        <v>525</v>
      </c>
      <c r="G234" t="b">
        <v>1</v>
      </c>
      <c r="H234" s="2">
        <v>45009.522824074076</v>
      </c>
      <c r="I234" t="s">
        <v>1151</v>
      </c>
      <c r="N234">
        <v>34.744799999999998</v>
      </c>
      <c r="O234">
        <v>-92.288300000000007</v>
      </c>
      <c r="P234" t="s">
        <v>100</v>
      </c>
      <c r="Q234" t="s">
        <v>95</v>
      </c>
      <c r="R234" t="s">
        <v>1152</v>
      </c>
      <c r="S234" t="s">
        <v>96</v>
      </c>
      <c r="V234">
        <v>78</v>
      </c>
      <c r="W234" t="s">
        <v>1153</v>
      </c>
      <c r="X234">
        <v>550</v>
      </c>
      <c r="Y234">
        <v>100</v>
      </c>
      <c r="Z234" t="s">
        <v>1154</v>
      </c>
      <c r="AA234">
        <v>20</v>
      </c>
      <c r="AB234">
        <v>100</v>
      </c>
      <c r="AC234" t="s">
        <v>1155</v>
      </c>
      <c r="AD234">
        <v>10</v>
      </c>
      <c r="AE234" t="s">
        <v>104</v>
      </c>
      <c r="AF234" t="s">
        <v>1152</v>
      </c>
      <c r="AG234" t="s">
        <v>97</v>
      </c>
    </row>
    <row r="235" spans="1:33" x14ac:dyDescent="0.2">
      <c r="A235" s="2">
        <v>45009.518310185187</v>
      </c>
      <c r="B235" s="2">
        <v>45009.522824074076</v>
      </c>
      <c r="C235" t="s">
        <v>36</v>
      </c>
      <c r="D235" t="s">
        <v>1156</v>
      </c>
      <c r="E235">
        <v>100</v>
      </c>
      <c r="F235">
        <v>390</v>
      </c>
      <c r="G235" t="b">
        <v>1</v>
      </c>
      <c r="H235" s="2">
        <v>45009.522835648146</v>
      </c>
      <c r="I235" t="s">
        <v>1157</v>
      </c>
      <c r="N235">
        <v>37.720100000000002</v>
      </c>
      <c r="O235">
        <v>-122.4414</v>
      </c>
      <c r="P235" t="s">
        <v>100</v>
      </c>
      <c r="Q235" t="s">
        <v>95</v>
      </c>
      <c r="R235" t="s">
        <v>1158</v>
      </c>
      <c r="S235" t="s">
        <v>96</v>
      </c>
      <c r="V235">
        <v>4</v>
      </c>
      <c r="W235" t="s">
        <v>1159</v>
      </c>
      <c r="X235">
        <v>500</v>
      </c>
      <c r="Y235">
        <v>10</v>
      </c>
      <c r="Z235" s="4">
        <v>1E-3</v>
      </c>
      <c r="AA235">
        <v>20</v>
      </c>
      <c r="AB235">
        <v>100</v>
      </c>
      <c r="AC235" s="3">
        <v>0.18</v>
      </c>
      <c r="AD235" s="5">
        <v>0.1</v>
      </c>
      <c r="AE235">
        <v>100</v>
      </c>
      <c r="AF235" t="s">
        <v>1158</v>
      </c>
      <c r="AG235" t="s">
        <v>111</v>
      </c>
    </row>
    <row r="236" spans="1:33" x14ac:dyDescent="0.2">
      <c r="A236" s="2">
        <v>45009.520624999997</v>
      </c>
      <c r="B236" s="2">
        <v>45009.522847222222</v>
      </c>
      <c r="C236" t="s">
        <v>36</v>
      </c>
      <c r="D236" t="s">
        <v>1160</v>
      </c>
      <c r="E236">
        <v>100</v>
      </c>
      <c r="F236">
        <v>191</v>
      </c>
      <c r="G236" t="b">
        <v>1</v>
      </c>
      <c r="H236" s="2">
        <v>45009.522847222222</v>
      </c>
      <c r="I236" t="s">
        <v>1161</v>
      </c>
      <c r="N236">
        <v>36.427799999999998</v>
      </c>
      <c r="O236">
        <v>-89.065299999999993</v>
      </c>
      <c r="P236" t="s">
        <v>100</v>
      </c>
      <c r="Q236" t="s">
        <v>95</v>
      </c>
      <c r="R236" t="s">
        <v>1162</v>
      </c>
      <c r="S236" t="s">
        <v>96</v>
      </c>
      <c r="V236">
        <v>100</v>
      </c>
      <c r="W236" t="s">
        <v>1163</v>
      </c>
      <c r="X236">
        <v>45</v>
      </c>
      <c r="Y236">
        <v>10</v>
      </c>
      <c r="Z236" s="3">
        <v>0.01</v>
      </c>
      <c r="AA236">
        <v>20</v>
      </c>
      <c r="AB236">
        <v>10</v>
      </c>
      <c r="AC236">
        <v>5</v>
      </c>
      <c r="AD236">
        <v>0.1</v>
      </c>
      <c r="AE236" t="s">
        <v>104</v>
      </c>
      <c r="AF236" t="s">
        <v>1162</v>
      </c>
      <c r="AG236" t="s">
        <v>105</v>
      </c>
    </row>
    <row r="237" spans="1:33" x14ac:dyDescent="0.2">
      <c r="A237" s="2">
        <v>45009.511041666665</v>
      </c>
      <c r="B237" s="2">
        <v>45009.522847222222</v>
      </c>
      <c r="C237" t="s">
        <v>36</v>
      </c>
      <c r="D237" t="s">
        <v>1164</v>
      </c>
      <c r="E237">
        <v>100</v>
      </c>
      <c r="F237">
        <v>1019</v>
      </c>
      <c r="G237" t="b">
        <v>1</v>
      </c>
      <c r="H237" s="2">
        <v>45009.522847222222</v>
      </c>
      <c r="I237" t="s">
        <v>1165</v>
      </c>
      <c r="N237">
        <v>36.827199999999998</v>
      </c>
      <c r="O237">
        <v>-119.68049999999999</v>
      </c>
      <c r="P237" t="s">
        <v>100</v>
      </c>
      <c r="Q237" t="s">
        <v>95</v>
      </c>
      <c r="R237" t="s">
        <v>1166</v>
      </c>
      <c r="S237" t="s">
        <v>96</v>
      </c>
      <c r="T237">
        <v>100</v>
      </c>
      <c r="V237">
        <v>100</v>
      </c>
      <c r="W237" t="s">
        <v>1167</v>
      </c>
      <c r="X237">
        <v>500</v>
      </c>
      <c r="Y237">
        <v>10</v>
      </c>
      <c r="Z237" s="4">
        <v>1E-3</v>
      </c>
      <c r="AA237">
        <v>20</v>
      </c>
      <c r="AB237">
        <v>100</v>
      </c>
      <c r="AC237" s="3">
        <v>0.9</v>
      </c>
      <c r="AD237" s="5">
        <v>0.05</v>
      </c>
      <c r="AE237" t="s">
        <v>104</v>
      </c>
      <c r="AF237" t="s">
        <v>1166</v>
      </c>
      <c r="AG237" t="s">
        <v>125</v>
      </c>
    </row>
    <row r="238" spans="1:33" x14ac:dyDescent="0.2">
      <c r="A238" s="2">
        <v>45009.517557870371</v>
      </c>
      <c r="B238" s="2">
        <v>45009.522870370369</v>
      </c>
      <c r="C238" t="s">
        <v>36</v>
      </c>
      <c r="D238" t="s">
        <v>1168</v>
      </c>
      <c r="E238">
        <v>100</v>
      </c>
      <c r="F238">
        <v>459</v>
      </c>
      <c r="G238" t="b">
        <v>1</v>
      </c>
      <c r="H238" s="2">
        <v>45009.522870370369</v>
      </c>
      <c r="I238" t="s">
        <v>1169</v>
      </c>
      <c r="N238">
        <v>41.455800000000004</v>
      </c>
      <c r="O238">
        <v>-81.781499999999994</v>
      </c>
      <c r="P238" t="s">
        <v>100</v>
      </c>
      <c r="Q238" t="s">
        <v>95</v>
      </c>
      <c r="R238" t="s">
        <v>1170</v>
      </c>
      <c r="S238" t="s">
        <v>96</v>
      </c>
      <c r="V238">
        <v>0</v>
      </c>
      <c r="W238" t="s">
        <v>1171</v>
      </c>
      <c r="X238">
        <v>500</v>
      </c>
      <c r="Y238">
        <v>1</v>
      </c>
      <c r="Z238">
        <v>1</v>
      </c>
      <c r="AA238">
        <v>20</v>
      </c>
      <c r="AB238">
        <v>10</v>
      </c>
      <c r="AC238">
        <v>90</v>
      </c>
      <c r="AD238">
        <v>0.1</v>
      </c>
      <c r="AE238">
        <v>100</v>
      </c>
      <c r="AF238" t="s">
        <v>1170</v>
      </c>
      <c r="AG238" t="s">
        <v>105</v>
      </c>
    </row>
    <row r="239" spans="1:33" x14ac:dyDescent="0.2">
      <c r="A239" s="2">
        <v>45009.519328703704</v>
      </c>
      <c r="B239" s="2">
        <v>45009.522893518515</v>
      </c>
      <c r="C239" t="s">
        <v>36</v>
      </c>
      <c r="D239" t="s">
        <v>1172</v>
      </c>
      <c r="E239">
        <v>100</v>
      </c>
      <c r="F239">
        <v>308</v>
      </c>
      <c r="G239" t="b">
        <v>1</v>
      </c>
      <c r="H239" s="2">
        <v>45009.522893518515</v>
      </c>
      <c r="I239" t="s">
        <v>1173</v>
      </c>
      <c r="N239">
        <v>47.603400000000001</v>
      </c>
      <c r="O239">
        <v>-122.34139999999999</v>
      </c>
      <c r="P239" t="s">
        <v>100</v>
      </c>
      <c r="Q239" t="s">
        <v>95</v>
      </c>
      <c r="R239" t="s">
        <v>1174</v>
      </c>
      <c r="S239" t="s">
        <v>96</v>
      </c>
      <c r="T239">
        <v>7</v>
      </c>
      <c r="U239" t="s">
        <v>1175</v>
      </c>
      <c r="V239">
        <v>5</v>
      </c>
      <c r="W239" t="s">
        <v>1176</v>
      </c>
      <c r="X239">
        <v>500</v>
      </c>
      <c r="Y239">
        <v>10</v>
      </c>
      <c r="Z239">
        <v>0.1</v>
      </c>
      <c r="AA239">
        <v>20</v>
      </c>
      <c r="AB239">
        <v>100</v>
      </c>
      <c r="AC239" s="3">
        <v>0.5</v>
      </c>
      <c r="AD239">
        <v>0.05</v>
      </c>
      <c r="AE239" t="s">
        <v>104</v>
      </c>
      <c r="AF239" t="s">
        <v>1174</v>
      </c>
      <c r="AG239" t="s">
        <v>125</v>
      </c>
    </row>
    <row r="240" spans="1:33" x14ac:dyDescent="0.2">
      <c r="A240" s="2">
        <v>45009.517199074071</v>
      </c>
      <c r="B240" s="2">
        <v>45009.522905092592</v>
      </c>
      <c r="C240" t="s">
        <v>36</v>
      </c>
      <c r="D240" t="s">
        <v>1177</v>
      </c>
      <c r="E240">
        <v>100</v>
      </c>
      <c r="F240">
        <v>492</v>
      </c>
      <c r="G240" t="b">
        <v>1</v>
      </c>
      <c r="H240" s="2">
        <v>45009.522905092592</v>
      </c>
      <c r="I240" t="s">
        <v>1178</v>
      </c>
      <c r="N240">
        <v>33.078699999999998</v>
      </c>
      <c r="O240">
        <v>-83.2376</v>
      </c>
      <c r="P240" t="s">
        <v>100</v>
      </c>
      <c r="Q240" t="s">
        <v>95</v>
      </c>
      <c r="R240" t="s">
        <v>1179</v>
      </c>
      <c r="S240" t="s">
        <v>96</v>
      </c>
      <c r="V240">
        <v>0</v>
      </c>
      <c r="W240" t="s">
        <v>1180</v>
      </c>
      <c r="X240">
        <v>100</v>
      </c>
      <c r="Y240">
        <v>10</v>
      </c>
      <c r="Z240">
        <v>10</v>
      </c>
      <c r="AA240">
        <v>20</v>
      </c>
      <c r="AB240">
        <v>10</v>
      </c>
      <c r="AC240" t="s">
        <v>1181</v>
      </c>
      <c r="AD240">
        <v>0.1</v>
      </c>
      <c r="AE240" t="s">
        <v>266</v>
      </c>
      <c r="AF240" t="s">
        <v>1179</v>
      </c>
      <c r="AG240" t="s">
        <v>105</v>
      </c>
    </row>
    <row r="241" spans="1:33" x14ac:dyDescent="0.2">
      <c r="A241" s="2">
        <v>45009.517233796294</v>
      </c>
      <c r="B241" s="2">
        <v>45009.522974537038</v>
      </c>
      <c r="C241" t="s">
        <v>36</v>
      </c>
      <c r="D241" t="s">
        <v>1182</v>
      </c>
      <c r="E241">
        <v>100</v>
      </c>
      <c r="F241">
        <v>495</v>
      </c>
      <c r="G241" t="b">
        <v>1</v>
      </c>
      <c r="H241" s="2">
        <v>45009.522986111115</v>
      </c>
      <c r="I241" t="s">
        <v>1183</v>
      </c>
      <c r="N241">
        <v>42.391399999999997</v>
      </c>
      <c r="O241">
        <v>-83.149299999999997</v>
      </c>
      <c r="P241" t="s">
        <v>100</v>
      </c>
      <c r="Q241" t="s">
        <v>95</v>
      </c>
      <c r="R241" s="6" t="s">
        <v>1184</v>
      </c>
      <c r="S241" t="s">
        <v>96</v>
      </c>
      <c r="V241">
        <v>91</v>
      </c>
      <c r="W241" t="s">
        <v>1185</v>
      </c>
      <c r="X241">
        <v>500</v>
      </c>
      <c r="Y241">
        <v>1</v>
      </c>
      <c r="Z241" s="3">
        <v>0.01</v>
      </c>
      <c r="AA241">
        <v>20</v>
      </c>
      <c r="AB241">
        <v>100</v>
      </c>
      <c r="AC241" s="3">
        <v>0.9</v>
      </c>
      <c r="AD241">
        <v>0.05</v>
      </c>
      <c r="AE241">
        <v>5</v>
      </c>
      <c r="AF241" s="6" t="s">
        <v>1184</v>
      </c>
      <c r="AG241" t="s">
        <v>97</v>
      </c>
    </row>
    <row r="242" spans="1:33" x14ac:dyDescent="0.2">
      <c r="A242" s="2">
        <v>45009.517500000002</v>
      </c>
      <c r="B242" s="2">
        <v>45009.522997685184</v>
      </c>
      <c r="C242" t="s">
        <v>36</v>
      </c>
      <c r="D242" t="s">
        <v>1186</v>
      </c>
      <c r="E242">
        <v>100</v>
      </c>
      <c r="F242">
        <v>474</v>
      </c>
      <c r="G242" t="b">
        <v>1</v>
      </c>
      <c r="H242" s="2">
        <v>45009.522997685184</v>
      </c>
      <c r="I242" t="s">
        <v>1187</v>
      </c>
      <c r="N242">
        <v>42.356200000000001</v>
      </c>
      <c r="O242">
        <v>-71.063100000000006</v>
      </c>
      <c r="P242" t="s">
        <v>100</v>
      </c>
      <c r="Q242" t="s">
        <v>95</v>
      </c>
      <c r="R242" t="s">
        <v>1188</v>
      </c>
      <c r="S242" t="s">
        <v>96</v>
      </c>
      <c r="V242">
        <v>77</v>
      </c>
      <c r="W242" t="s">
        <v>1189</v>
      </c>
      <c r="X242">
        <v>500</v>
      </c>
      <c r="Y242">
        <v>10</v>
      </c>
      <c r="Z242" s="4">
        <v>1E-3</v>
      </c>
      <c r="AA242">
        <v>20</v>
      </c>
      <c r="AB242">
        <v>100</v>
      </c>
      <c r="AC242" s="3">
        <v>0.9</v>
      </c>
      <c r="AD242" t="s">
        <v>1190</v>
      </c>
      <c r="AE242">
        <v>100</v>
      </c>
      <c r="AF242" t="s">
        <v>1188</v>
      </c>
      <c r="AG242" t="s">
        <v>105</v>
      </c>
    </row>
    <row r="243" spans="1:33" x14ac:dyDescent="0.2">
      <c r="A243" s="2">
        <v>45009.518460648149</v>
      </c>
      <c r="B243" s="2">
        <v>45009.522997685184</v>
      </c>
      <c r="C243" t="s">
        <v>36</v>
      </c>
      <c r="D243" t="s">
        <v>1191</v>
      </c>
      <c r="E243">
        <v>100</v>
      </c>
      <c r="F243">
        <v>391</v>
      </c>
      <c r="G243" t="b">
        <v>1</v>
      </c>
      <c r="H243" s="2">
        <v>45009.522997685184</v>
      </c>
      <c r="I243" t="s">
        <v>1192</v>
      </c>
      <c r="N243">
        <v>40.273800000000001</v>
      </c>
      <c r="O243">
        <v>-81.866200000000006</v>
      </c>
      <c r="P243" t="s">
        <v>100</v>
      </c>
      <c r="Q243" t="s">
        <v>95</v>
      </c>
      <c r="R243" t="s">
        <v>1193</v>
      </c>
      <c r="S243" t="s">
        <v>96</v>
      </c>
      <c r="V243">
        <v>51</v>
      </c>
      <c r="W243" t="s">
        <v>1194</v>
      </c>
      <c r="X243">
        <v>500</v>
      </c>
      <c r="Y243">
        <v>10</v>
      </c>
      <c r="Z243">
        <v>1E-3</v>
      </c>
      <c r="AA243">
        <v>20</v>
      </c>
      <c r="AB243">
        <v>100</v>
      </c>
      <c r="AC243">
        <v>9</v>
      </c>
      <c r="AD243">
        <v>10</v>
      </c>
      <c r="AE243">
        <v>1</v>
      </c>
      <c r="AF243" t="s">
        <v>1193</v>
      </c>
      <c r="AG243" t="s">
        <v>97</v>
      </c>
    </row>
    <row r="244" spans="1:33" x14ac:dyDescent="0.2">
      <c r="A244" s="2">
        <v>45009.518611111111</v>
      </c>
      <c r="B244" s="2">
        <v>45009.523032407407</v>
      </c>
      <c r="C244" t="s">
        <v>36</v>
      </c>
      <c r="D244" t="s">
        <v>1195</v>
      </c>
      <c r="E244">
        <v>100</v>
      </c>
      <c r="F244">
        <v>381</v>
      </c>
      <c r="G244" t="b">
        <v>1</v>
      </c>
      <c r="H244" s="2">
        <v>45009.523032407407</v>
      </c>
      <c r="I244" t="s">
        <v>1196</v>
      </c>
      <c r="N244">
        <v>33.7485</v>
      </c>
      <c r="O244">
        <v>-84.387100000000004</v>
      </c>
      <c r="P244" t="s">
        <v>100</v>
      </c>
      <c r="Q244" t="s">
        <v>95</v>
      </c>
      <c r="R244" t="s">
        <v>1197</v>
      </c>
      <c r="S244" t="s">
        <v>96</v>
      </c>
      <c r="V244">
        <v>82</v>
      </c>
      <c r="W244" t="s">
        <v>1198</v>
      </c>
      <c r="X244">
        <v>500</v>
      </c>
      <c r="Y244">
        <v>10</v>
      </c>
      <c r="Z244">
        <v>1</v>
      </c>
      <c r="AA244">
        <v>20</v>
      </c>
      <c r="AB244">
        <v>10</v>
      </c>
      <c r="AC244">
        <v>90</v>
      </c>
      <c r="AD244">
        <v>0.1</v>
      </c>
      <c r="AE244">
        <v>100</v>
      </c>
      <c r="AF244" t="s">
        <v>1197</v>
      </c>
      <c r="AG244" t="s">
        <v>97</v>
      </c>
    </row>
    <row r="245" spans="1:33" x14ac:dyDescent="0.2">
      <c r="A245" s="2">
        <v>45009.515428240738</v>
      </c>
      <c r="B245" s="2">
        <v>45009.52306712963</v>
      </c>
      <c r="C245" t="s">
        <v>36</v>
      </c>
      <c r="D245" t="s">
        <v>1199</v>
      </c>
      <c r="E245">
        <v>100</v>
      </c>
      <c r="F245">
        <v>659</v>
      </c>
      <c r="G245" t="b">
        <v>1</v>
      </c>
      <c r="H245" s="2">
        <v>45009.52306712963</v>
      </c>
      <c r="I245" t="s">
        <v>1200</v>
      </c>
      <c r="N245">
        <v>34.001399999999997</v>
      </c>
      <c r="O245">
        <v>-84.014399999999995</v>
      </c>
      <c r="P245" t="s">
        <v>100</v>
      </c>
      <c r="Q245" t="s">
        <v>95</v>
      </c>
      <c r="R245" t="s">
        <v>1201</v>
      </c>
      <c r="S245" t="s">
        <v>96</v>
      </c>
      <c r="V245">
        <v>20</v>
      </c>
      <c r="W245" t="s">
        <v>1202</v>
      </c>
      <c r="X245">
        <v>500</v>
      </c>
      <c r="Y245">
        <v>10</v>
      </c>
      <c r="Z245">
        <v>0.1</v>
      </c>
      <c r="AA245">
        <v>20</v>
      </c>
      <c r="AB245">
        <v>100</v>
      </c>
      <c r="AC245">
        <v>10</v>
      </c>
      <c r="AD245">
        <v>0.05</v>
      </c>
      <c r="AE245">
        <v>5</v>
      </c>
      <c r="AF245" t="s">
        <v>1201</v>
      </c>
      <c r="AG245" t="s">
        <v>111</v>
      </c>
    </row>
    <row r="246" spans="1:33" x14ac:dyDescent="0.2">
      <c r="A246" s="2">
        <v>45009.517025462963</v>
      </c>
      <c r="B246" s="2">
        <v>45009.523090277777</v>
      </c>
      <c r="C246" t="s">
        <v>36</v>
      </c>
      <c r="D246" t="s">
        <v>1203</v>
      </c>
      <c r="E246">
        <v>100</v>
      </c>
      <c r="F246">
        <v>524</v>
      </c>
      <c r="G246" t="b">
        <v>1</v>
      </c>
      <c r="H246" s="2">
        <v>45009.523090277777</v>
      </c>
      <c r="I246" t="s">
        <v>1204</v>
      </c>
      <c r="N246">
        <v>42.111400000000003</v>
      </c>
      <c r="O246">
        <v>-77.9422</v>
      </c>
      <c r="P246" t="s">
        <v>100</v>
      </c>
      <c r="Q246" t="s">
        <v>95</v>
      </c>
      <c r="R246" t="s">
        <v>1205</v>
      </c>
      <c r="S246" t="s">
        <v>96</v>
      </c>
      <c r="V246">
        <v>100</v>
      </c>
      <c r="W246" t="s">
        <v>1206</v>
      </c>
      <c r="X246">
        <v>500</v>
      </c>
      <c r="Y246">
        <v>10</v>
      </c>
      <c r="Z246">
        <v>0.1</v>
      </c>
      <c r="AA246">
        <v>20</v>
      </c>
      <c r="AB246">
        <v>100</v>
      </c>
      <c r="AC246">
        <v>90</v>
      </c>
      <c r="AD246">
        <v>0.1</v>
      </c>
      <c r="AE246">
        <v>100</v>
      </c>
      <c r="AF246" t="s">
        <v>1205</v>
      </c>
      <c r="AG246" t="s">
        <v>97</v>
      </c>
    </row>
    <row r="247" spans="1:33" x14ac:dyDescent="0.2">
      <c r="A247" s="2">
        <v>45009.519583333335</v>
      </c>
      <c r="B247" s="2">
        <v>45009.523090277777</v>
      </c>
      <c r="C247" t="s">
        <v>36</v>
      </c>
      <c r="D247" t="s">
        <v>1207</v>
      </c>
      <c r="E247">
        <v>100</v>
      </c>
      <c r="F247">
        <v>302</v>
      </c>
      <c r="G247" t="b">
        <v>1</v>
      </c>
      <c r="H247" s="2">
        <v>45009.523090277777</v>
      </c>
      <c r="I247" t="s">
        <v>1208</v>
      </c>
      <c r="N247">
        <v>29.295500000000001</v>
      </c>
      <c r="O247">
        <v>-94.796000000000006</v>
      </c>
      <c r="P247" t="s">
        <v>100</v>
      </c>
      <c r="Q247" t="s">
        <v>95</v>
      </c>
      <c r="R247" t="s">
        <v>1209</v>
      </c>
      <c r="S247" t="s">
        <v>96</v>
      </c>
      <c r="V247">
        <v>82</v>
      </c>
      <c r="W247" t="s">
        <v>1210</v>
      </c>
      <c r="X247">
        <v>512</v>
      </c>
      <c r="Y247">
        <v>10</v>
      </c>
      <c r="Z247" s="4">
        <v>1E-3</v>
      </c>
      <c r="AA247">
        <v>20</v>
      </c>
      <c r="AB247">
        <v>10</v>
      </c>
      <c r="AC247">
        <v>4</v>
      </c>
      <c r="AD247">
        <v>0.1</v>
      </c>
      <c r="AE247" t="s">
        <v>104</v>
      </c>
      <c r="AF247" t="s">
        <v>1209</v>
      </c>
      <c r="AG247" t="s">
        <v>97</v>
      </c>
    </row>
    <row r="248" spans="1:33" x14ac:dyDescent="0.2">
      <c r="A248" s="2">
        <v>45009.512442129628</v>
      </c>
      <c r="B248" s="2">
        <v>45009.523148148146</v>
      </c>
      <c r="C248" t="s">
        <v>36</v>
      </c>
      <c r="D248" t="s">
        <v>1211</v>
      </c>
      <c r="E248">
        <v>100</v>
      </c>
      <c r="F248">
        <v>924</v>
      </c>
      <c r="G248" t="b">
        <v>1</v>
      </c>
      <c r="H248" s="2">
        <v>45009.523148148146</v>
      </c>
      <c r="I248" t="s">
        <v>1212</v>
      </c>
      <c r="N248">
        <v>33.918999999999997</v>
      </c>
      <c r="O248">
        <v>-117.2359</v>
      </c>
      <c r="P248" t="s">
        <v>100</v>
      </c>
      <c r="Q248" t="s">
        <v>95</v>
      </c>
      <c r="R248" t="s">
        <v>1213</v>
      </c>
      <c r="S248" t="s">
        <v>96</v>
      </c>
      <c r="V248">
        <v>74</v>
      </c>
      <c r="W248" t="s">
        <v>1214</v>
      </c>
      <c r="X248">
        <v>500</v>
      </c>
      <c r="Y248">
        <v>10</v>
      </c>
      <c r="Z248" s="3">
        <v>0.01</v>
      </c>
      <c r="AA248" s="3">
        <v>0.2</v>
      </c>
      <c r="AB248">
        <v>100</v>
      </c>
      <c r="AC248" s="3">
        <v>0.1</v>
      </c>
      <c r="AD248">
        <v>0.05</v>
      </c>
      <c r="AE248">
        <v>5</v>
      </c>
      <c r="AF248" t="s">
        <v>1213</v>
      </c>
      <c r="AG248" t="s">
        <v>97</v>
      </c>
    </row>
    <row r="249" spans="1:33" x14ac:dyDescent="0.2">
      <c r="A249" s="2">
        <v>45009.500358796293</v>
      </c>
      <c r="B249" s="2">
        <v>45009.523148148146</v>
      </c>
      <c r="C249" t="s">
        <v>36</v>
      </c>
      <c r="D249" t="s">
        <v>1215</v>
      </c>
      <c r="E249">
        <v>100</v>
      </c>
      <c r="F249">
        <v>1969</v>
      </c>
      <c r="G249" t="b">
        <v>1</v>
      </c>
      <c r="H249" s="2">
        <v>45009.523159722223</v>
      </c>
      <c r="I249" t="s">
        <v>1216</v>
      </c>
      <c r="N249">
        <v>40.395699999999998</v>
      </c>
      <c r="O249">
        <v>-120.6461</v>
      </c>
      <c r="P249" t="s">
        <v>100</v>
      </c>
      <c r="Q249" t="s">
        <v>95</v>
      </c>
      <c r="R249" t="s">
        <v>1217</v>
      </c>
      <c r="S249" t="s">
        <v>96</v>
      </c>
      <c r="V249">
        <v>56</v>
      </c>
      <c r="W249" t="s">
        <v>1218</v>
      </c>
      <c r="X249">
        <v>500</v>
      </c>
      <c r="Y249">
        <v>10</v>
      </c>
      <c r="Z249">
        <v>0.1</v>
      </c>
      <c r="AA249">
        <v>20</v>
      </c>
      <c r="AB249">
        <v>100</v>
      </c>
      <c r="AC249" t="s">
        <v>1219</v>
      </c>
      <c r="AD249">
        <v>0.1</v>
      </c>
      <c r="AE249" t="s">
        <v>266</v>
      </c>
      <c r="AF249" t="s">
        <v>1217</v>
      </c>
      <c r="AG249" t="s">
        <v>111</v>
      </c>
    </row>
    <row r="250" spans="1:33" x14ac:dyDescent="0.2">
      <c r="A250" s="2">
        <v>45009.520046296297</v>
      </c>
      <c r="B250" s="2">
        <v>45009.5231712963</v>
      </c>
      <c r="C250" t="s">
        <v>36</v>
      </c>
      <c r="D250" t="s">
        <v>1220</v>
      </c>
      <c r="E250">
        <v>100</v>
      </c>
      <c r="F250">
        <v>270</v>
      </c>
      <c r="G250" t="b">
        <v>1</v>
      </c>
      <c r="H250" s="2">
        <v>45009.523182870369</v>
      </c>
      <c r="I250" t="s">
        <v>1221</v>
      </c>
      <c r="N250">
        <v>33.190899999999999</v>
      </c>
      <c r="O250">
        <v>-96.619799999999998</v>
      </c>
      <c r="P250" t="s">
        <v>100</v>
      </c>
      <c r="Q250" t="s">
        <v>95</v>
      </c>
      <c r="R250" t="s">
        <v>1222</v>
      </c>
      <c r="S250" t="s">
        <v>96</v>
      </c>
      <c r="V250">
        <v>50</v>
      </c>
      <c r="W250" t="s">
        <v>1223</v>
      </c>
      <c r="X250">
        <v>500</v>
      </c>
      <c r="Y250">
        <v>10</v>
      </c>
      <c r="Z250">
        <v>1E-3</v>
      </c>
      <c r="AA250">
        <v>20</v>
      </c>
      <c r="AB250">
        <v>100</v>
      </c>
      <c r="AC250" t="s">
        <v>569</v>
      </c>
      <c r="AD250">
        <v>0.1</v>
      </c>
      <c r="AE250" t="s">
        <v>104</v>
      </c>
      <c r="AF250" t="s">
        <v>1222</v>
      </c>
      <c r="AG250" t="s">
        <v>105</v>
      </c>
    </row>
    <row r="251" spans="1:33" x14ac:dyDescent="0.2">
      <c r="A251" s="2">
        <v>45009.521087962959</v>
      </c>
      <c r="B251" s="2">
        <v>45009.523206018515</v>
      </c>
      <c r="C251" t="s">
        <v>36</v>
      </c>
      <c r="D251" t="s">
        <v>1224</v>
      </c>
      <c r="E251">
        <v>100</v>
      </c>
      <c r="F251">
        <v>183</v>
      </c>
      <c r="G251" t="b">
        <v>1</v>
      </c>
      <c r="H251" s="2">
        <v>45009.523206018515</v>
      </c>
      <c r="I251" t="s">
        <v>1225</v>
      </c>
      <c r="N251">
        <v>40.238900000000001</v>
      </c>
      <c r="O251">
        <v>-77.1935</v>
      </c>
      <c r="P251" t="s">
        <v>100</v>
      </c>
      <c r="Q251" t="s">
        <v>95</v>
      </c>
      <c r="R251" t="s">
        <v>1226</v>
      </c>
      <c r="S251" t="s">
        <v>96</v>
      </c>
      <c r="V251">
        <v>70</v>
      </c>
      <c r="W251" t="s">
        <v>1227</v>
      </c>
      <c r="X251">
        <v>500</v>
      </c>
      <c r="Y251">
        <v>10</v>
      </c>
      <c r="Z251" s="4">
        <v>1E-3</v>
      </c>
      <c r="AA251" t="s">
        <v>1228</v>
      </c>
      <c r="AB251">
        <v>100</v>
      </c>
      <c r="AC251" s="3">
        <v>0.09</v>
      </c>
      <c r="AD251" t="s">
        <v>297</v>
      </c>
      <c r="AE251" t="s">
        <v>266</v>
      </c>
      <c r="AF251" t="s">
        <v>1226</v>
      </c>
      <c r="AG251" t="s">
        <v>97</v>
      </c>
    </row>
    <row r="252" spans="1:33" x14ac:dyDescent="0.2">
      <c r="A252" s="2">
        <v>45009.51803240741</v>
      </c>
      <c r="B252" s="2">
        <v>45009.523206018515</v>
      </c>
      <c r="C252" t="s">
        <v>36</v>
      </c>
      <c r="D252" t="s">
        <v>1229</v>
      </c>
      <c r="E252">
        <v>100</v>
      </c>
      <c r="F252">
        <v>446</v>
      </c>
      <c r="G252" t="b">
        <v>1</v>
      </c>
      <c r="H252" s="2">
        <v>45009.523217592592</v>
      </c>
      <c r="I252" t="s">
        <v>1230</v>
      </c>
      <c r="N252">
        <v>39.688800000000001</v>
      </c>
      <c r="O252">
        <v>-105.15600000000001</v>
      </c>
      <c r="P252" t="s">
        <v>100</v>
      </c>
      <c r="Q252" t="s">
        <v>95</v>
      </c>
      <c r="R252" t="s">
        <v>1231</v>
      </c>
      <c r="S252" t="s">
        <v>96</v>
      </c>
      <c r="V252">
        <v>73</v>
      </c>
      <c r="W252" t="s">
        <v>1232</v>
      </c>
      <c r="X252">
        <v>500</v>
      </c>
      <c r="Y252">
        <v>100</v>
      </c>
      <c r="Z252" s="4">
        <v>1E-3</v>
      </c>
      <c r="AA252" s="3">
        <v>0.2</v>
      </c>
      <c r="AB252">
        <v>100</v>
      </c>
      <c r="AC252" s="3">
        <v>0.18</v>
      </c>
      <c r="AD252">
        <v>0.05</v>
      </c>
      <c r="AE252" t="s">
        <v>104</v>
      </c>
      <c r="AF252" t="s">
        <v>1231</v>
      </c>
      <c r="AG252" t="s">
        <v>111</v>
      </c>
    </row>
    <row r="253" spans="1:33" x14ac:dyDescent="0.2">
      <c r="A253" s="2">
        <v>45009.516956018517</v>
      </c>
      <c r="B253" s="2">
        <v>45009.523229166669</v>
      </c>
      <c r="C253" t="s">
        <v>36</v>
      </c>
      <c r="D253" t="s">
        <v>1233</v>
      </c>
      <c r="E253">
        <v>100</v>
      </c>
      <c r="F253">
        <v>542</v>
      </c>
      <c r="G253" t="b">
        <v>1</v>
      </c>
      <c r="H253" s="2">
        <v>45009.523229166669</v>
      </c>
      <c r="I253" t="s">
        <v>1234</v>
      </c>
      <c r="N253">
        <v>32.691699999999997</v>
      </c>
      <c r="O253">
        <v>-117.1151</v>
      </c>
      <c r="P253" t="s">
        <v>100</v>
      </c>
      <c r="Q253" t="s">
        <v>95</v>
      </c>
      <c r="R253" t="s">
        <v>1235</v>
      </c>
      <c r="S253" t="s">
        <v>96</v>
      </c>
      <c r="V253">
        <v>10</v>
      </c>
      <c r="W253" t="s">
        <v>1236</v>
      </c>
      <c r="X253">
        <v>500</v>
      </c>
      <c r="Y253">
        <v>10</v>
      </c>
      <c r="Z253" s="4">
        <v>1E-3</v>
      </c>
      <c r="AA253">
        <v>20</v>
      </c>
      <c r="AB253">
        <v>100</v>
      </c>
      <c r="AC253" s="3">
        <v>0.5</v>
      </c>
      <c r="AD253" s="5">
        <v>0.1</v>
      </c>
      <c r="AE253">
        <v>100</v>
      </c>
      <c r="AF253" t="s">
        <v>1235</v>
      </c>
      <c r="AG253" t="s">
        <v>111</v>
      </c>
    </row>
    <row r="254" spans="1:33" x14ac:dyDescent="0.2">
      <c r="A254" s="2">
        <v>45009.519756944443</v>
      </c>
      <c r="B254" s="2">
        <v>45009.523240740738</v>
      </c>
      <c r="C254" t="s">
        <v>36</v>
      </c>
      <c r="D254" t="s">
        <v>1237</v>
      </c>
      <c r="E254">
        <v>100</v>
      </c>
      <c r="F254">
        <v>301</v>
      </c>
      <c r="G254" t="b">
        <v>1</v>
      </c>
      <c r="H254" s="2">
        <v>45009.523240740738</v>
      </c>
      <c r="I254" t="s">
        <v>1238</v>
      </c>
      <c r="N254">
        <v>41.028700000000001</v>
      </c>
      <c r="O254">
        <v>-74.642899999999997</v>
      </c>
      <c r="P254" t="s">
        <v>100</v>
      </c>
      <c r="Q254" t="s">
        <v>95</v>
      </c>
      <c r="R254" t="s">
        <v>1239</v>
      </c>
      <c r="S254" t="s">
        <v>96</v>
      </c>
      <c r="V254">
        <v>50</v>
      </c>
      <c r="W254" t="s">
        <v>1240</v>
      </c>
      <c r="X254">
        <v>500</v>
      </c>
      <c r="Y254">
        <v>10</v>
      </c>
      <c r="Z254">
        <v>1</v>
      </c>
      <c r="AA254">
        <v>20</v>
      </c>
      <c r="AB254">
        <v>100</v>
      </c>
      <c r="AC254" t="s">
        <v>569</v>
      </c>
      <c r="AD254">
        <v>10</v>
      </c>
      <c r="AE254">
        <v>10</v>
      </c>
      <c r="AF254" t="s">
        <v>1239</v>
      </c>
      <c r="AG254" t="s">
        <v>105</v>
      </c>
    </row>
    <row r="255" spans="1:33" x14ac:dyDescent="0.2">
      <c r="A255" s="2">
        <v>45009.517465277779</v>
      </c>
      <c r="B255" s="2">
        <v>45009.523287037038</v>
      </c>
      <c r="C255" t="s">
        <v>36</v>
      </c>
      <c r="D255" t="s">
        <v>1241</v>
      </c>
      <c r="E255">
        <v>100</v>
      </c>
      <c r="F255">
        <v>502</v>
      </c>
      <c r="G255" t="b">
        <v>1</v>
      </c>
      <c r="H255" s="2">
        <v>45009.523287037038</v>
      </c>
      <c r="I255" t="s">
        <v>1242</v>
      </c>
      <c r="N255">
        <v>39.654499999999999</v>
      </c>
      <c r="O255">
        <v>-78.766499999999994</v>
      </c>
      <c r="P255" t="s">
        <v>100</v>
      </c>
      <c r="Q255" t="s">
        <v>95</v>
      </c>
      <c r="R255" t="s">
        <v>1243</v>
      </c>
      <c r="S255" t="s">
        <v>96</v>
      </c>
      <c r="V255">
        <v>57</v>
      </c>
      <c r="W255" t="s">
        <v>1244</v>
      </c>
      <c r="X255">
        <v>500</v>
      </c>
      <c r="Y255">
        <v>10</v>
      </c>
      <c r="Z255">
        <v>0.1</v>
      </c>
      <c r="AA255">
        <v>20</v>
      </c>
      <c r="AB255">
        <v>100</v>
      </c>
      <c r="AC255" s="3">
        <v>0.18</v>
      </c>
      <c r="AD255">
        <v>0.05</v>
      </c>
      <c r="AE255">
        <v>5</v>
      </c>
      <c r="AF255" t="s">
        <v>1243</v>
      </c>
      <c r="AG255" t="s">
        <v>97</v>
      </c>
    </row>
    <row r="256" spans="1:33" x14ac:dyDescent="0.2">
      <c r="A256" s="2">
        <v>45009.520949074074</v>
      </c>
      <c r="B256" s="2">
        <v>45009.523379629631</v>
      </c>
      <c r="C256" t="s">
        <v>36</v>
      </c>
      <c r="D256" t="s">
        <v>1245</v>
      </c>
      <c r="E256">
        <v>100</v>
      </c>
      <c r="F256">
        <v>209</v>
      </c>
      <c r="G256" t="b">
        <v>1</v>
      </c>
      <c r="H256" s="2">
        <v>45009.5233912037</v>
      </c>
      <c r="I256" t="s">
        <v>1246</v>
      </c>
      <c r="N256">
        <v>42.117699999999999</v>
      </c>
      <c r="O256">
        <v>-72.644499999999994</v>
      </c>
      <c r="P256" t="s">
        <v>100</v>
      </c>
      <c r="Q256" t="s">
        <v>95</v>
      </c>
      <c r="R256" t="s">
        <v>1247</v>
      </c>
      <c r="S256" t="s">
        <v>96</v>
      </c>
      <c r="T256">
        <v>0</v>
      </c>
      <c r="U256">
        <v>10</v>
      </c>
      <c r="V256">
        <v>20</v>
      </c>
      <c r="W256" t="s">
        <v>1248</v>
      </c>
      <c r="X256">
        <v>500</v>
      </c>
      <c r="Y256">
        <v>10</v>
      </c>
      <c r="Z256">
        <v>0.1</v>
      </c>
      <c r="AA256">
        <v>20</v>
      </c>
      <c r="AB256">
        <v>100</v>
      </c>
      <c r="AC256" s="3">
        <v>0.2</v>
      </c>
      <c r="AD256">
        <v>0.05</v>
      </c>
      <c r="AE256" t="s">
        <v>104</v>
      </c>
      <c r="AF256" t="s">
        <v>1247</v>
      </c>
      <c r="AG256" t="s">
        <v>125</v>
      </c>
    </row>
    <row r="257" spans="1:33" x14ac:dyDescent="0.2">
      <c r="A257" s="2">
        <v>45009.518171296295</v>
      </c>
      <c r="B257" s="2">
        <v>45009.523414351854</v>
      </c>
      <c r="C257" t="s">
        <v>36</v>
      </c>
      <c r="D257" t="s">
        <v>1249</v>
      </c>
      <c r="E257">
        <v>100</v>
      </c>
      <c r="F257">
        <v>453</v>
      </c>
      <c r="G257" t="b">
        <v>1</v>
      </c>
      <c r="H257" s="2">
        <v>45009.523425925923</v>
      </c>
      <c r="I257" t="s">
        <v>1250</v>
      </c>
      <c r="N257">
        <v>44.809800000000003</v>
      </c>
      <c r="O257">
        <v>-73.091800000000006</v>
      </c>
      <c r="P257" t="s">
        <v>100</v>
      </c>
      <c r="Q257" t="s">
        <v>95</v>
      </c>
      <c r="R257" t="s">
        <v>1251</v>
      </c>
      <c r="S257" t="s">
        <v>96</v>
      </c>
      <c r="T257">
        <v>80</v>
      </c>
      <c r="V257">
        <v>55</v>
      </c>
      <c r="W257" t="s">
        <v>1252</v>
      </c>
      <c r="X257">
        <v>500</v>
      </c>
      <c r="Y257">
        <v>10</v>
      </c>
      <c r="Z257">
        <v>0.01</v>
      </c>
      <c r="AA257">
        <v>20</v>
      </c>
      <c r="AB257">
        <v>100</v>
      </c>
      <c r="AC257">
        <v>9</v>
      </c>
      <c r="AD257">
        <v>0.05</v>
      </c>
      <c r="AE257" t="s">
        <v>104</v>
      </c>
      <c r="AF257" t="s">
        <v>1251</v>
      </c>
      <c r="AG257" t="s">
        <v>125</v>
      </c>
    </row>
    <row r="258" spans="1:33" x14ac:dyDescent="0.2">
      <c r="A258" s="2">
        <v>45009.511990740742</v>
      </c>
      <c r="B258" s="2">
        <v>45009.523449074077</v>
      </c>
      <c r="C258" t="s">
        <v>36</v>
      </c>
      <c r="D258" t="s">
        <v>1253</v>
      </c>
      <c r="E258">
        <v>100</v>
      </c>
      <c r="F258">
        <v>990</v>
      </c>
      <c r="G258" t="b">
        <v>1</v>
      </c>
      <c r="H258" s="2">
        <v>45009.523460648146</v>
      </c>
      <c r="I258" t="s">
        <v>1254</v>
      </c>
      <c r="N258">
        <v>32.459899999999998</v>
      </c>
      <c r="O258">
        <v>-83.724400000000003</v>
      </c>
      <c r="P258" t="s">
        <v>100</v>
      </c>
      <c r="Q258" t="s">
        <v>95</v>
      </c>
      <c r="R258" t="s">
        <v>1255</v>
      </c>
      <c r="S258" t="s">
        <v>96</v>
      </c>
      <c r="V258">
        <v>89</v>
      </c>
      <c r="W258" t="s">
        <v>1256</v>
      </c>
      <c r="X258">
        <v>250</v>
      </c>
      <c r="Y258">
        <v>1</v>
      </c>
      <c r="Z258">
        <v>0.1</v>
      </c>
      <c r="AA258">
        <v>20</v>
      </c>
      <c r="AB258">
        <v>1</v>
      </c>
      <c r="AC258">
        <v>5</v>
      </c>
      <c r="AD258">
        <v>10</v>
      </c>
      <c r="AE258">
        <v>20</v>
      </c>
      <c r="AF258" t="s">
        <v>1255</v>
      </c>
      <c r="AG258" t="s">
        <v>111</v>
      </c>
    </row>
    <row r="259" spans="1:33" x14ac:dyDescent="0.2">
      <c r="A259" s="2">
        <v>45009.520289351851</v>
      </c>
      <c r="B259" s="2">
        <v>45009.523518518516</v>
      </c>
      <c r="C259" t="s">
        <v>36</v>
      </c>
      <c r="D259" t="s">
        <v>1257</v>
      </c>
      <c r="E259">
        <v>100</v>
      </c>
      <c r="F259">
        <v>279</v>
      </c>
      <c r="G259" t="b">
        <v>1</v>
      </c>
      <c r="H259" s="2">
        <v>45009.523518518516</v>
      </c>
      <c r="I259" t="s">
        <v>1258</v>
      </c>
      <c r="N259">
        <v>26.316500000000001</v>
      </c>
      <c r="O259">
        <v>-80.274799999999999</v>
      </c>
      <c r="P259" t="s">
        <v>100</v>
      </c>
      <c r="Q259" t="s">
        <v>95</v>
      </c>
      <c r="R259" t="s">
        <v>1259</v>
      </c>
      <c r="S259" t="s">
        <v>96</v>
      </c>
      <c r="V259">
        <v>71</v>
      </c>
      <c r="W259" t="s">
        <v>1260</v>
      </c>
      <c r="X259">
        <v>500</v>
      </c>
      <c r="Y259">
        <v>10</v>
      </c>
      <c r="Z259">
        <v>0.1</v>
      </c>
      <c r="AA259">
        <v>20</v>
      </c>
      <c r="AB259">
        <v>100</v>
      </c>
      <c r="AC259" t="s">
        <v>569</v>
      </c>
      <c r="AD259">
        <v>0.1</v>
      </c>
      <c r="AE259" t="s">
        <v>266</v>
      </c>
      <c r="AF259" t="s">
        <v>1259</v>
      </c>
      <c r="AG259" t="s">
        <v>97</v>
      </c>
    </row>
    <row r="260" spans="1:33" x14ac:dyDescent="0.2">
      <c r="A260" s="2">
        <v>45009.519050925926</v>
      </c>
      <c r="B260" s="2">
        <v>45009.523530092592</v>
      </c>
      <c r="C260" t="s">
        <v>36</v>
      </c>
      <c r="D260" t="s">
        <v>1261</v>
      </c>
      <c r="E260">
        <v>100</v>
      </c>
      <c r="F260">
        <v>387</v>
      </c>
      <c r="G260" t="b">
        <v>1</v>
      </c>
      <c r="H260" s="2">
        <v>45009.523541666669</v>
      </c>
      <c r="I260" t="s">
        <v>1262</v>
      </c>
      <c r="N260">
        <v>43.644399999999997</v>
      </c>
      <c r="O260">
        <v>-72.245500000000007</v>
      </c>
      <c r="P260" t="s">
        <v>100</v>
      </c>
      <c r="Q260" t="s">
        <v>95</v>
      </c>
      <c r="R260" t="s">
        <v>1263</v>
      </c>
      <c r="S260" t="s">
        <v>96</v>
      </c>
      <c r="V260">
        <v>85</v>
      </c>
      <c r="W260" t="s">
        <v>1264</v>
      </c>
      <c r="X260">
        <v>500</v>
      </c>
      <c r="Y260">
        <v>10</v>
      </c>
      <c r="Z260">
        <v>10</v>
      </c>
      <c r="AA260">
        <v>20</v>
      </c>
      <c r="AB260">
        <v>100</v>
      </c>
      <c r="AC260" s="3">
        <v>0.48</v>
      </c>
      <c r="AD260">
        <v>0.1</v>
      </c>
      <c r="AE260" t="s">
        <v>104</v>
      </c>
      <c r="AF260" t="s">
        <v>1263</v>
      </c>
      <c r="AG260" t="s">
        <v>111</v>
      </c>
    </row>
    <row r="261" spans="1:33" x14ac:dyDescent="0.2">
      <c r="A261" s="2">
        <v>45009.519178240742</v>
      </c>
      <c r="B261" s="2">
        <v>45009.523564814815</v>
      </c>
      <c r="C261" t="s">
        <v>36</v>
      </c>
      <c r="D261" t="s">
        <v>1265</v>
      </c>
      <c r="E261">
        <v>100</v>
      </c>
      <c r="F261">
        <v>379</v>
      </c>
      <c r="G261" t="b">
        <v>1</v>
      </c>
      <c r="H261" s="2">
        <v>45009.523576388892</v>
      </c>
      <c r="I261" t="s">
        <v>1266</v>
      </c>
      <c r="N261">
        <v>29.441099999999999</v>
      </c>
      <c r="O261">
        <v>-98.493600000000001</v>
      </c>
      <c r="P261" t="s">
        <v>100</v>
      </c>
      <c r="Q261" t="s">
        <v>95</v>
      </c>
      <c r="R261" t="s">
        <v>1267</v>
      </c>
      <c r="S261" t="s">
        <v>96</v>
      </c>
      <c r="T261">
        <v>30</v>
      </c>
      <c r="U261" s="3">
        <v>0.1</v>
      </c>
      <c r="V261">
        <v>11</v>
      </c>
      <c r="W261" t="s">
        <v>1268</v>
      </c>
      <c r="X261">
        <v>500</v>
      </c>
      <c r="Y261">
        <v>10</v>
      </c>
      <c r="Z261" s="4">
        <v>1E-3</v>
      </c>
      <c r="AA261">
        <v>20</v>
      </c>
      <c r="AB261">
        <v>100</v>
      </c>
      <c r="AC261" s="3">
        <v>0.18</v>
      </c>
      <c r="AD261" t="s">
        <v>760</v>
      </c>
      <c r="AE261">
        <v>5</v>
      </c>
      <c r="AF261" t="s">
        <v>1267</v>
      </c>
      <c r="AG261" t="s">
        <v>125</v>
      </c>
    </row>
    <row r="262" spans="1:33" x14ac:dyDescent="0.2">
      <c r="A262" s="2">
        <v>45009.521527777775</v>
      </c>
      <c r="B262" s="2">
        <v>45009.523599537039</v>
      </c>
      <c r="C262" t="s">
        <v>36</v>
      </c>
      <c r="D262" t="s">
        <v>1269</v>
      </c>
      <c r="E262">
        <v>100</v>
      </c>
      <c r="F262">
        <v>178</v>
      </c>
      <c r="G262" t="b">
        <v>1</v>
      </c>
      <c r="H262" s="2">
        <v>45009.523599537039</v>
      </c>
      <c r="I262" t="s">
        <v>1270</v>
      </c>
      <c r="N262">
        <v>42.113900000000001</v>
      </c>
      <c r="O262">
        <v>-80.149900000000002</v>
      </c>
      <c r="P262" t="s">
        <v>100</v>
      </c>
      <c r="Q262" t="s">
        <v>95</v>
      </c>
      <c r="R262" t="s">
        <v>1271</v>
      </c>
      <c r="S262" t="s">
        <v>96</v>
      </c>
      <c r="V262">
        <v>50</v>
      </c>
      <c r="W262" t="s">
        <v>1272</v>
      </c>
      <c r="X262">
        <v>500</v>
      </c>
      <c r="Y262">
        <v>10</v>
      </c>
      <c r="Z262">
        <v>1E-3</v>
      </c>
      <c r="AA262">
        <v>20</v>
      </c>
      <c r="AB262">
        <v>100</v>
      </c>
      <c r="AC262">
        <v>50</v>
      </c>
      <c r="AD262">
        <v>0.05</v>
      </c>
      <c r="AE262">
        <v>5</v>
      </c>
      <c r="AF262" t="s">
        <v>1271</v>
      </c>
      <c r="AG262" t="s">
        <v>111</v>
      </c>
    </row>
    <row r="263" spans="1:33" x14ac:dyDescent="0.2">
      <c r="A263" s="2">
        <v>45009.516342592593</v>
      </c>
      <c r="B263" s="2">
        <v>45009.523611111108</v>
      </c>
      <c r="C263" t="s">
        <v>36</v>
      </c>
      <c r="D263" t="s">
        <v>1273</v>
      </c>
      <c r="E263">
        <v>100</v>
      </c>
      <c r="F263">
        <v>627</v>
      </c>
      <c r="G263" t="b">
        <v>1</v>
      </c>
      <c r="H263" s="2">
        <v>45009.523611111108</v>
      </c>
      <c r="I263" t="s">
        <v>1274</v>
      </c>
      <c r="N263">
        <v>32.530099999999997</v>
      </c>
      <c r="O263">
        <v>-92.6511</v>
      </c>
      <c r="P263" t="s">
        <v>100</v>
      </c>
      <c r="Q263" t="s">
        <v>95</v>
      </c>
      <c r="R263" t="s">
        <v>1275</v>
      </c>
      <c r="S263" t="s">
        <v>96</v>
      </c>
      <c r="T263">
        <v>70</v>
      </c>
      <c r="V263">
        <v>94</v>
      </c>
      <c r="W263" t="s">
        <v>1276</v>
      </c>
      <c r="X263">
        <v>500</v>
      </c>
      <c r="Y263">
        <v>10</v>
      </c>
      <c r="Z263">
        <v>1</v>
      </c>
      <c r="AA263">
        <v>20</v>
      </c>
      <c r="AB263">
        <v>100</v>
      </c>
      <c r="AC263" s="3">
        <v>0.18</v>
      </c>
      <c r="AD263">
        <v>0.1</v>
      </c>
      <c r="AE263" t="s">
        <v>252</v>
      </c>
      <c r="AF263" t="s">
        <v>1275</v>
      </c>
      <c r="AG263" t="s">
        <v>125</v>
      </c>
    </row>
    <row r="264" spans="1:33" x14ac:dyDescent="0.2">
      <c r="A264" s="2">
        <v>45009.520868055559</v>
      </c>
      <c r="B264" s="2">
        <v>45009.523611111108</v>
      </c>
      <c r="C264" t="s">
        <v>36</v>
      </c>
      <c r="D264" t="s">
        <v>1277</v>
      </c>
      <c r="E264">
        <v>100</v>
      </c>
      <c r="F264">
        <v>236</v>
      </c>
      <c r="G264" t="b">
        <v>1</v>
      </c>
      <c r="H264" s="2">
        <v>45009.523611111108</v>
      </c>
      <c r="I264" t="s">
        <v>1278</v>
      </c>
      <c r="N264">
        <v>32.781599999999997</v>
      </c>
      <c r="O264">
        <v>-97.082800000000006</v>
      </c>
      <c r="P264" t="s">
        <v>100</v>
      </c>
      <c r="Q264" t="s">
        <v>95</v>
      </c>
      <c r="R264" t="s">
        <v>1279</v>
      </c>
      <c r="S264" t="s">
        <v>96</v>
      </c>
      <c r="V264">
        <v>87</v>
      </c>
      <c r="W264" t="s">
        <v>1280</v>
      </c>
      <c r="X264">
        <v>500</v>
      </c>
      <c r="Y264">
        <v>10</v>
      </c>
      <c r="Z264">
        <v>0.1</v>
      </c>
      <c r="AA264">
        <v>20</v>
      </c>
      <c r="AB264">
        <v>100</v>
      </c>
      <c r="AC264" s="3">
        <v>0.1</v>
      </c>
      <c r="AD264" s="5">
        <v>0.05</v>
      </c>
      <c r="AE264" t="s">
        <v>104</v>
      </c>
      <c r="AF264" t="s">
        <v>1279</v>
      </c>
      <c r="AG264" t="s">
        <v>105</v>
      </c>
    </row>
    <row r="265" spans="1:33" x14ac:dyDescent="0.2">
      <c r="A265" s="2">
        <v>45009.51898148148</v>
      </c>
      <c r="B265" s="2">
        <v>45009.523622685185</v>
      </c>
      <c r="C265" t="s">
        <v>36</v>
      </c>
      <c r="D265" t="s">
        <v>1281</v>
      </c>
      <c r="E265">
        <v>100</v>
      </c>
      <c r="F265">
        <v>401</v>
      </c>
      <c r="G265" t="b">
        <v>1</v>
      </c>
      <c r="H265" s="2">
        <v>45009.523634259262</v>
      </c>
      <c r="I265" t="s">
        <v>1282</v>
      </c>
      <c r="N265">
        <v>29.7912</v>
      </c>
      <c r="O265">
        <v>-95.418199999999999</v>
      </c>
      <c r="P265" t="s">
        <v>100</v>
      </c>
      <c r="Q265" t="s">
        <v>95</v>
      </c>
      <c r="R265" t="s">
        <v>1283</v>
      </c>
      <c r="S265" t="s">
        <v>96</v>
      </c>
      <c r="V265">
        <v>68</v>
      </c>
      <c r="W265" t="s">
        <v>1284</v>
      </c>
      <c r="X265">
        <v>500</v>
      </c>
      <c r="Y265">
        <v>10</v>
      </c>
      <c r="Z265">
        <v>1E-3</v>
      </c>
      <c r="AA265">
        <v>20</v>
      </c>
      <c r="AB265">
        <v>100</v>
      </c>
      <c r="AC265" s="3">
        <v>0.5</v>
      </c>
      <c r="AD265" s="5">
        <v>0.1</v>
      </c>
      <c r="AE265" t="s">
        <v>104</v>
      </c>
      <c r="AF265" t="s">
        <v>1283</v>
      </c>
      <c r="AG265" t="s">
        <v>105</v>
      </c>
    </row>
    <row r="266" spans="1:33" x14ac:dyDescent="0.2">
      <c r="A266" s="2">
        <v>45009.519895833335</v>
      </c>
      <c r="B266" s="2">
        <v>45009.5237037037</v>
      </c>
      <c r="C266" t="s">
        <v>36</v>
      </c>
      <c r="D266" t="s">
        <v>1285</v>
      </c>
      <c r="E266">
        <v>100</v>
      </c>
      <c r="F266">
        <v>329</v>
      </c>
      <c r="G266" t="b">
        <v>1</v>
      </c>
      <c r="H266" s="2">
        <v>45009.523715277777</v>
      </c>
      <c r="I266" t="s">
        <v>1286</v>
      </c>
      <c r="N266">
        <v>40.694699999999997</v>
      </c>
      <c r="O266">
        <v>-74.268799999999999</v>
      </c>
      <c r="P266" t="s">
        <v>100</v>
      </c>
      <c r="Q266" t="s">
        <v>95</v>
      </c>
      <c r="R266" t="s">
        <v>1287</v>
      </c>
      <c r="S266" t="s">
        <v>96</v>
      </c>
      <c r="V266">
        <v>100</v>
      </c>
      <c r="W266" t="s">
        <v>1288</v>
      </c>
      <c r="X266">
        <v>500</v>
      </c>
      <c r="Y266">
        <v>10</v>
      </c>
      <c r="Z266">
        <v>1E-3</v>
      </c>
      <c r="AA266">
        <v>20</v>
      </c>
      <c r="AB266">
        <v>100</v>
      </c>
      <c r="AC266" s="3">
        <v>0.9</v>
      </c>
      <c r="AD266">
        <v>0.1</v>
      </c>
      <c r="AE266" t="s">
        <v>104</v>
      </c>
      <c r="AF266" t="s">
        <v>1287</v>
      </c>
      <c r="AG266" t="s">
        <v>105</v>
      </c>
    </row>
    <row r="267" spans="1:33" x14ac:dyDescent="0.2">
      <c r="A267" s="2">
        <v>45009.520162037035</v>
      </c>
      <c r="B267" s="2">
        <v>45009.523726851854</v>
      </c>
      <c r="C267" t="s">
        <v>36</v>
      </c>
      <c r="D267" t="s">
        <v>1289</v>
      </c>
      <c r="E267">
        <v>100</v>
      </c>
      <c r="F267">
        <v>307</v>
      </c>
      <c r="G267" t="b">
        <v>1</v>
      </c>
      <c r="H267" s="2">
        <v>45009.523726851854</v>
      </c>
      <c r="I267" t="s">
        <v>1290</v>
      </c>
      <c r="N267">
        <v>42.334400000000002</v>
      </c>
      <c r="O267">
        <v>-83.175600000000003</v>
      </c>
      <c r="P267" t="s">
        <v>100</v>
      </c>
      <c r="Q267" t="s">
        <v>95</v>
      </c>
      <c r="R267" t="s">
        <v>1291</v>
      </c>
      <c r="S267" t="s">
        <v>96</v>
      </c>
      <c r="V267">
        <v>100</v>
      </c>
      <c r="W267" t="s">
        <v>1292</v>
      </c>
      <c r="X267">
        <v>500</v>
      </c>
      <c r="Y267">
        <v>10</v>
      </c>
      <c r="Z267">
        <v>0.01</v>
      </c>
      <c r="AA267">
        <v>20</v>
      </c>
      <c r="AB267">
        <v>1000</v>
      </c>
      <c r="AC267" s="3">
        <v>0.1</v>
      </c>
      <c r="AD267">
        <v>0.1</v>
      </c>
      <c r="AE267" t="s">
        <v>104</v>
      </c>
      <c r="AF267" t="s">
        <v>1291</v>
      </c>
      <c r="AG267" t="s">
        <v>105</v>
      </c>
    </row>
    <row r="268" spans="1:33" x14ac:dyDescent="0.2">
      <c r="A268" s="2">
        <v>45009.521562499998</v>
      </c>
      <c r="B268" s="2">
        <v>45009.523738425924</v>
      </c>
      <c r="C268" t="s">
        <v>36</v>
      </c>
      <c r="D268" t="s">
        <v>1293</v>
      </c>
      <c r="E268">
        <v>100</v>
      </c>
      <c r="F268">
        <v>188</v>
      </c>
      <c r="G268" t="b">
        <v>1</v>
      </c>
      <c r="H268" s="2">
        <v>45009.523738425924</v>
      </c>
      <c r="I268" t="s">
        <v>1294</v>
      </c>
      <c r="N268">
        <v>35.187199999999997</v>
      </c>
      <c r="O268">
        <v>-111.6596</v>
      </c>
      <c r="P268" t="s">
        <v>100</v>
      </c>
      <c r="Q268" t="s">
        <v>95</v>
      </c>
      <c r="R268" t="s">
        <v>1295</v>
      </c>
      <c r="S268" t="s">
        <v>96</v>
      </c>
      <c r="V268">
        <v>90</v>
      </c>
      <c r="W268" t="s">
        <v>1296</v>
      </c>
      <c r="X268">
        <v>500</v>
      </c>
      <c r="Y268">
        <v>10</v>
      </c>
      <c r="Z268">
        <v>0.01</v>
      </c>
      <c r="AA268">
        <v>20</v>
      </c>
      <c r="AB268">
        <v>100</v>
      </c>
      <c r="AC268">
        <v>50</v>
      </c>
      <c r="AD268">
        <v>0.05</v>
      </c>
      <c r="AE268">
        <v>5</v>
      </c>
      <c r="AF268" t="s">
        <v>1295</v>
      </c>
      <c r="AG268" t="s">
        <v>97</v>
      </c>
    </row>
    <row r="269" spans="1:33" x14ac:dyDescent="0.2">
      <c r="A269" s="2">
        <v>45009.519189814811</v>
      </c>
      <c r="B269" s="2">
        <v>45009.523773148147</v>
      </c>
      <c r="C269" t="s">
        <v>36</v>
      </c>
      <c r="D269" t="s">
        <v>1297</v>
      </c>
      <c r="E269">
        <v>100</v>
      </c>
      <c r="F269">
        <v>395</v>
      </c>
      <c r="G269" t="b">
        <v>1</v>
      </c>
      <c r="H269" s="2">
        <v>45009.523784722223</v>
      </c>
      <c r="I269" t="s">
        <v>1298</v>
      </c>
      <c r="N269">
        <v>28.948</v>
      </c>
      <c r="O269">
        <v>-80.897900000000007</v>
      </c>
      <c r="P269" t="s">
        <v>100</v>
      </c>
      <c r="Q269" t="s">
        <v>95</v>
      </c>
      <c r="R269" t="s">
        <v>1299</v>
      </c>
      <c r="S269" t="s">
        <v>96</v>
      </c>
      <c r="V269">
        <v>50</v>
      </c>
      <c r="W269" t="s">
        <v>1300</v>
      </c>
      <c r="X269">
        <v>512</v>
      </c>
      <c r="Y269">
        <v>10</v>
      </c>
      <c r="Z269">
        <v>0.01</v>
      </c>
      <c r="AA269">
        <v>5</v>
      </c>
      <c r="AB269">
        <v>100</v>
      </c>
      <c r="AC269" t="s">
        <v>1301</v>
      </c>
      <c r="AD269">
        <v>0.1</v>
      </c>
      <c r="AE269" t="s">
        <v>1302</v>
      </c>
      <c r="AF269" t="s">
        <v>1299</v>
      </c>
      <c r="AG269" t="s">
        <v>97</v>
      </c>
    </row>
    <row r="270" spans="1:33" x14ac:dyDescent="0.2">
      <c r="A270" s="2">
        <v>45009.517488425925</v>
      </c>
      <c r="B270" s="2">
        <v>45009.523784722223</v>
      </c>
      <c r="C270" t="s">
        <v>36</v>
      </c>
      <c r="D270" t="s">
        <v>1303</v>
      </c>
      <c r="E270">
        <v>100</v>
      </c>
      <c r="F270">
        <v>543</v>
      </c>
      <c r="G270" t="b">
        <v>1</v>
      </c>
      <c r="H270" s="2">
        <v>45009.523796296293</v>
      </c>
      <c r="I270" t="s">
        <v>1304</v>
      </c>
      <c r="N270">
        <v>33.393099999999997</v>
      </c>
      <c r="O270">
        <v>-111.57680000000001</v>
      </c>
      <c r="P270" t="s">
        <v>100</v>
      </c>
      <c r="Q270" t="s">
        <v>95</v>
      </c>
      <c r="R270" t="s">
        <v>1305</v>
      </c>
      <c r="S270" t="s">
        <v>96</v>
      </c>
      <c r="V270">
        <v>71</v>
      </c>
      <c r="W270" t="s">
        <v>1306</v>
      </c>
      <c r="X270">
        <v>500</v>
      </c>
      <c r="Y270">
        <v>10</v>
      </c>
      <c r="Z270" s="4">
        <v>1E-3</v>
      </c>
      <c r="AA270">
        <v>20</v>
      </c>
      <c r="AB270">
        <v>100</v>
      </c>
      <c r="AC270" s="3">
        <v>0.1</v>
      </c>
      <c r="AD270">
        <v>0.1</v>
      </c>
      <c r="AE270">
        <v>100</v>
      </c>
      <c r="AF270" t="s">
        <v>1305</v>
      </c>
      <c r="AG270" t="s">
        <v>97</v>
      </c>
    </row>
    <row r="271" spans="1:33" x14ac:dyDescent="0.2">
      <c r="A271" s="2">
        <v>45009.513888888891</v>
      </c>
      <c r="B271" s="2">
        <v>45009.52380787037</v>
      </c>
      <c r="C271" t="s">
        <v>36</v>
      </c>
      <c r="D271" t="s">
        <v>1307</v>
      </c>
      <c r="E271">
        <v>100</v>
      </c>
      <c r="F271">
        <v>856</v>
      </c>
      <c r="G271" t="b">
        <v>1</v>
      </c>
      <c r="H271" s="2">
        <v>45009.52380787037</v>
      </c>
      <c r="I271" t="s">
        <v>1308</v>
      </c>
      <c r="N271">
        <v>42.553800000000003</v>
      </c>
      <c r="O271">
        <v>-82.918499999999995</v>
      </c>
      <c r="P271" t="s">
        <v>100</v>
      </c>
      <c r="Q271" t="s">
        <v>95</v>
      </c>
      <c r="R271" t="s">
        <v>1309</v>
      </c>
      <c r="S271" t="s">
        <v>96</v>
      </c>
      <c r="V271">
        <v>18</v>
      </c>
      <c r="W271" t="s">
        <v>1310</v>
      </c>
      <c r="X271">
        <v>166</v>
      </c>
      <c r="Y271">
        <v>100</v>
      </c>
      <c r="Z271">
        <v>90</v>
      </c>
      <c r="AA271">
        <v>25</v>
      </c>
      <c r="AB271">
        <v>100</v>
      </c>
      <c r="AC271" s="3">
        <v>0.1</v>
      </c>
      <c r="AD271">
        <v>0.1</v>
      </c>
      <c r="AE271" t="s">
        <v>104</v>
      </c>
      <c r="AF271" t="s">
        <v>1309</v>
      </c>
      <c r="AG271" t="s">
        <v>105</v>
      </c>
    </row>
    <row r="272" spans="1:33" x14ac:dyDescent="0.2">
      <c r="A272" s="2">
        <v>45009.520752314813</v>
      </c>
      <c r="B272" s="2">
        <v>45009.52380787037</v>
      </c>
      <c r="C272" t="s">
        <v>36</v>
      </c>
      <c r="D272" t="s">
        <v>1311</v>
      </c>
      <c r="E272">
        <v>100</v>
      </c>
      <c r="F272">
        <v>263</v>
      </c>
      <c r="G272" t="b">
        <v>1</v>
      </c>
      <c r="H272" s="2">
        <v>45009.523819444446</v>
      </c>
      <c r="I272" t="s">
        <v>1312</v>
      </c>
      <c r="N272">
        <v>29.5593</v>
      </c>
      <c r="O272">
        <v>-97.963099999999997</v>
      </c>
      <c r="P272" t="s">
        <v>100</v>
      </c>
      <c r="Q272" t="s">
        <v>95</v>
      </c>
      <c r="R272" t="s">
        <v>1313</v>
      </c>
      <c r="S272" t="s">
        <v>96</v>
      </c>
      <c r="V272">
        <v>100</v>
      </c>
      <c r="W272" t="s">
        <v>1314</v>
      </c>
      <c r="X272">
        <v>500</v>
      </c>
      <c r="Y272">
        <v>10</v>
      </c>
      <c r="Z272">
        <v>0.1</v>
      </c>
      <c r="AA272">
        <v>20</v>
      </c>
      <c r="AB272">
        <v>100</v>
      </c>
      <c r="AC272">
        <v>90</v>
      </c>
      <c r="AD272">
        <v>0.05</v>
      </c>
      <c r="AE272" t="s">
        <v>104</v>
      </c>
      <c r="AF272" t="s">
        <v>1313</v>
      </c>
      <c r="AG272" t="s">
        <v>105</v>
      </c>
    </row>
    <row r="273" spans="1:33" x14ac:dyDescent="0.2">
      <c r="A273" s="2">
        <v>45009.518472222226</v>
      </c>
      <c r="B273" s="2">
        <v>45009.523819444446</v>
      </c>
      <c r="C273" t="s">
        <v>36</v>
      </c>
      <c r="D273" t="s">
        <v>1315</v>
      </c>
      <c r="E273">
        <v>100</v>
      </c>
      <c r="F273">
        <v>462</v>
      </c>
      <c r="G273" t="b">
        <v>1</v>
      </c>
      <c r="H273" s="2">
        <v>45009.523819444446</v>
      </c>
      <c r="I273" t="s">
        <v>1316</v>
      </c>
      <c r="N273">
        <v>32.717300000000002</v>
      </c>
      <c r="O273">
        <v>-117.157</v>
      </c>
      <c r="P273" t="s">
        <v>100</v>
      </c>
      <c r="Q273" t="s">
        <v>95</v>
      </c>
      <c r="R273" t="s">
        <v>1317</v>
      </c>
      <c r="S273" t="s">
        <v>96</v>
      </c>
      <c r="V273">
        <v>90</v>
      </c>
      <c r="W273" t="s">
        <v>1318</v>
      </c>
      <c r="X273">
        <v>500</v>
      </c>
      <c r="Y273">
        <v>10</v>
      </c>
      <c r="Z273">
        <v>0.01</v>
      </c>
      <c r="AA273" s="3">
        <v>0.2</v>
      </c>
      <c r="AB273">
        <v>100</v>
      </c>
      <c r="AC273" s="3">
        <v>0.8</v>
      </c>
      <c r="AD273">
        <v>1.05</v>
      </c>
      <c r="AE273">
        <v>100</v>
      </c>
      <c r="AF273" t="s">
        <v>1317</v>
      </c>
      <c r="AG273" t="s">
        <v>111</v>
      </c>
    </row>
    <row r="274" spans="1:33" x14ac:dyDescent="0.2">
      <c r="A274" s="2">
        <v>45009.520127314812</v>
      </c>
      <c r="B274" s="2">
        <v>45009.523819444446</v>
      </c>
      <c r="C274" t="s">
        <v>36</v>
      </c>
      <c r="D274" t="s">
        <v>1319</v>
      </c>
      <c r="E274">
        <v>100</v>
      </c>
      <c r="F274">
        <v>319</v>
      </c>
      <c r="G274" t="b">
        <v>1</v>
      </c>
      <c r="H274" s="2">
        <v>45009.523831018516</v>
      </c>
      <c r="I274" t="s">
        <v>1320</v>
      </c>
      <c r="N274">
        <v>34.141599999999997</v>
      </c>
      <c r="O274">
        <v>-80.888599999999997</v>
      </c>
      <c r="P274" t="s">
        <v>100</v>
      </c>
      <c r="Q274" t="s">
        <v>95</v>
      </c>
      <c r="R274" t="s">
        <v>1321</v>
      </c>
      <c r="S274" t="s">
        <v>96</v>
      </c>
      <c r="V274">
        <v>80</v>
      </c>
      <c r="W274" t="s">
        <v>1322</v>
      </c>
      <c r="X274">
        <v>500</v>
      </c>
      <c r="Y274">
        <v>10</v>
      </c>
      <c r="Z274">
        <v>0.1</v>
      </c>
      <c r="AA274">
        <v>20</v>
      </c>
      <c r="AB274">
        <v>100</v>
      </c>
      <c r="AC274" s="3">
        <v>0.11</v>
      </c>
      <c r="AD274">
        <v>0.05</v>
      </c>
      <c r="AE274">
        <v>5</v>
      </c>
      <c r="AF274" t="s">
        <v>1321</v>
      </c>
      <c r="AG274" t="s">
        <v>97</v>
      </c>
    </row>
    <row r="275" spans="1:33" x14ac:dyDescent="0.2">
      <c r="A275" s="2">
        <v>45009.519363425927</v>
      </c>
      <c r="B275" s="2">
        <v>45009.523865740739</v>
      </c>
      <c r="C275" t="s">
        <v>36</v>
      </c>
      <c r="D275" t="s">
        <v>1323</v>
      </c>
      <c r="E275">
        <v>100</v>
      </c>
      <c r="F275">
        <v>388</v>
      </c>
      <c r="G275" t="b">
        <v>1</v>
      </c>
      <c r="H275" s="2">
        <v>45009.523865740739</v>
      </c>
      <c r="I275" t="s">
        <v>1324</v>
      </c>
      <c r="N275">
        <v>33.8718</v>
      </c>
      <c r="O275">
        <v>-118.3369</v>
      </c>
      <c r="P275" t="s">
        <v>100</v>
      </c>
      <c r="Q275" t="s">
        <v>95</v>
      </c>
      <c r="R275" t="s">
        <v>1325</v>
      </c>
      <c r="S275" t="s">
        <v>96</v>
      </c>
      <c r="V275">
        <v>60</v>
      </c>
      <c r="W275" t="s">
        <v>1326</v>
      </c>
      <c r="X275" t="s">
        <v>1327</v>
      </c>
      <c r="Y275" t="s">
        <v>716</v>
      </c>
      <c r="Z275" s="4">
        <v>1E-3</v>
      </c>
      <c r="AA275">
        <v>20</v>
      </c>
      <c r="AB275" t="s">
        <v>717</v>
      </c>
      <c r="AC275" t="s">
        <v>1328</v>
      </c>
      <c r="AD275" s="5">
        <v>0.1</v>
      </c>
      <c r="AE275" t="s">
        <v>104</v>
      </c>
      <c r="AF275" t="s">
        <v>1325</v>
      </c>
      <c r="AG275" t="s">
        <v>97</v>
      </c>
    </row>
    <row r="276" spans="1:33" x14ac:dyDescent="0.2">
      <c r="A276" s="2">
        <v>45009.520104166666</v>
      </c>
      <c r="B276" s="2">
        <v>45009.523912037039</v>
      </c>
      <c r="C276" t="s">
        <v>36</v>
      </c>
      <c r="D276" t="s">
        <v>1329</v>
      </c>
      <c r="E276">
        <v>100</v>
      </c>
      <c r="F276">
        <v>328</v>
      </c>
      <c r="G276" t="b">
        <v>1</v>
      </c>
      <c r="H276" s="2">
        <v>45009.523912037039</v>
      </c>
      <c r="I276" t="s">
        <v>1330</v>
      </c>
      <c r="N276">
        <v>42.946800000000003</v>
      </c>
      <c r="O276">
        <v>-83.816999999999993</v>
      </c>
      <c r="P276" t="s">
        <v>100</v>
      </c>
      <c r="Q276" t="s">
        <v>95</v>
      </c>
      <c r="R276" t="s">
        <v>1331</v>
      </c>
      <c r="S276" t="s">
        <v>96</v>
      </c>
      <c r="V276">
        <v>60</v>
      </c>
      <c r="W276" t="s">
        <v>1332</v>
      </c>
      <c r="X276">
        <v>500</v>
      </c>
      <c r="Y276">
        <v>10</v>
      </c>
      <c r="Z276">
        <v>0.1</v>
      </c>
      <c r="AA276">
        <v>20</v>
      </c>
      <c r="AB276">
        <v>100</v>
      </c>
      <c r="AC276" t="s">
        <v>624</v>
      </c>
      <c r="AD276">
        <v>0.05</v>
      </c>
      <c r="AE276" t="s">
        <v>104</v>
      </c>
      <c r="AF276" t="s">
        <v>1331</v>
      </c>
      <c r="AG276" t="s">
        <v>105</v>
      </c>
    </row>
    <row r="277" spans="1:33" x14ac:dyDescent="0.2">
      <c r="A277" s="2">
        <v>45009.520162037035</v>
      </c>
      <c r="B277" s="2">
        <v>45009.523935185185</v>
      </c>
      <c r="C277" t="s">
        <v>36</v>
      </c>
      <c r="D277" t="s">
        <v>1333</v>
      </c>
      <c r="E277">
        <v>100</v>
      </c>
      <c r="F277">
        <v>326</v>
      </c>
      <c r="G277" t="b">
        <v>1</v>
      </c>
      <c r="H277" s="2">
        <v>45009.523946759262</v>
      </c>
      <c r="I277" t="s">
        <v>1334</v>
      </c>
      <c r="N277">
        <v>30.2971</v>
      </c>
      <c r="O277">
        <v>-97.786199999999994</v>
      </c>
      <c r="P277" t="s">
        <v>100</v>
      </c>
      <c r="Q277" t="s">
        <v>95</v>
      </c>
      <c r="R277" t="s">
        <v>1335</v>
      </c>
      <c r="S277" t="s">
        <v>96</v>
      </c>
      <c r="V277">
        <v>50</v>
      </c>
      <c r="W277" t="s">
        <v>1336</v>
      </c>
      <c r="X277">
        <v>500</v>
      </c>
      <c r="Y277">
        <v>10</v>
      </c>
      <c r="Z277" s="4">
        <v>1E-3</v>
      </c>
      <c r="AA277">
        <v>20</v>
      </c>
      <c r="AB277">
        <v>100</v>
      </c>
      <c r="AC277" s="3">
        <v>0.9</v>
      </c>
      <c r="AD277" s="5">
        <v>0.05</v>
      </c>
      <c r="AE277">
        <v>5</v>
      </c>
      <c r="AF277" t="s">
        <v>1335</v>
      </c>
      <c r="AG277" t="s">
        <v>97</v>
      </c>
    </row>
    <row r="278" spans="1:33" x14ac:dyDescent="0.2">
      <c r="A278" s="2">
        <v>45009.517337962963</v>
      </c>
      <c r="B278" s="2">
        <v>45009.523946759262</v>
      </c>
      <c r="C278" t="s">
        <v>36</v>
      </c>
      <c r="D278" t="s">
        <v>1337</v>
      </c>
      <c r="E278">
        <v>100</v>
      </c>
      <c r="F278">
        <v>571</v>
      </c>
      <c r="G278" t="b">
        <v>1</v>
      </c>
      <c r="H278" s="2">
        <v>45009.523958333331</v>
      </c>
      <c r="I278" t="s">
        <v>1338</v>
      </c>
      <c r="N278">
        <v>33.465600000000002</v>
      </c>
      <c r="O278">
        <v>-111.9956</v>
      </c>
      <c r="P278" t="s">
        <v>100</v>
      </c>
      <c r="Q278" t="s">
        <v>95</v>
      </c>
      <c r="R278" t="s">
        <v>1339</v>
      </c>
      <c r="S278" t="s">
        <v>96</v>
      </c>
      <c r="V278">
        <v>100</v>
      </c>
      <c r="W278" t="s">
        <v>1340</v>
      </c>
      <c r="X278">
        <v>500</v>
      </c>
      <c r="Y278">
        <v>10</v>
      </c>
      <c r="Z278" s="3">
        <v>0.01</v>
      </c>
      <c r="AA278" s="3">
        <v>0.2</v>
      </c>
      <c r="AB278">
        <v>20</v>
      </c>
      <c r="AC278" s="3">
        <v>0.2</v>
      </c>
      <c r="AD278" t="s">
        <v>786</v>
      </c>
      <c r="AE278" t="s">
        <v>266</v>
      </c>
      <c r="AF278" t="s">
        <v>1339</v>
      </c>
      <c r="AG278" t="s">
        <v>97</v>
      </c>
    </row>
    <row r="279" spans="1:33" x14ac:dyDescent="0.2">
      <c r="A279" s="2">
        <v>45009.517141203702</v>
      </c>
      <c r="B279" s="2">
        <v>45009.523958333331</v>
      </c>
      <c r="C279" t="s">
        <v>36</v>
      </c>
      <c r="D279" t="s">
        <v>1341</v>
      </c>
      <c r="E279">
        <v>100</v>
      </c>
      <c r="F279">
        <v>588</v>
      </c>
      <c r="G279" t="b">
        <v>1</v>
      </c>
      <c r="H279" s="2">
        <v>45009.523969907408</v>
      </c>
      <c r="I279" t="s">
        <v>1342</v>
      </c>
      <c r="N279">
        <v>42.085700000000003</v>
      </c>
      <c r="O279">
        <v>-70.998999999999995</v>
      </c>
      <c r="P279" t="s">
        <v>100</v>
      </c>
      <c r="Q279" t="s">
        <v>95</v>
      </c>
      <c r="R279" t="s">
        <v>1343</v>
      </c>
      <c r="S279" t="s">
        <v>96</v>
      </c>
      <c r="V279">
        <v>35</v>
      </c>
      <c r="W279" t="s">
        <v>1344</v>
      </c>
      <c r="X279">
        <v>500</v>
      </c>
      <c r="Y279">
        <v>10</v>
      </c>
      <c r="Z279">
        <v>0.1</v>
      </c>
      <c r="AA279">
        <v>20</v>
      </c>
      <c r="AB279">
        <v>100</v>
      </c>
      <c r="AC279" s="3">
        <v>0.5</v>
      </c>
      <c r="AD279" s="5">
        <v>0.05</v>
      </c>
      <c r="AE279" t="s">
        <v>104</v>
      </c>
      <c r="AF279" t="s">
        <v>1343</v>
      </c>
      <c r="AG279" t="s">
        <v>105</v>
      </c>
    </row>
    <row r="280" spans="1:33" x14ac:dyDescent="0.2">
      <c r="A280" s="2">
        <v>45009.519606481481</v>
      </c>
      <c r="B280" s="2">
        <v>45009.524050925924</v>
      </c>
      <c r="C280" t="s">
        <v>36</v>
      </c>
      <c r="D280" t="s">
        <v>1345</v>
      </c>
      <c r="E280">
        <v>100</v>
      </c>
      <c r="F280">
        <v>384</v>
      </c>
      <c r="G280" t="b">
        <v>1</v>
      </c>
      <c r="H280" s="2">
        <v>45009.524062500001</v>
      </c>
      <c r="I280" t="s">
        <v>1346</v>
      </c>
      <c r="N280">
        <v>44.975200000000001</v>
      </c>
      <c r="O280">
        <v>-93.261200000000002</v>
      </c>
      <c r="P280" t="s">
        <v>100</v>
      </c>
      <c r="Q280" t="s">
        <v>95</v>
      </c>
      <c r="R280" t="s">
        <v>1347</v>
      </c>
      <c r="S280" t="s">
        <v>96</v>
      </c>
      <c r="V280">
        <v>68</v>
      </c>
      <c r="W280" t="s">
        <v>1348</v>
      </c>
      <c r="X280">
        <v>500</v>
      </c>
      <c r="Y280">
        <v>10</v>
      </c>
      <c r="Z280" s="4">
        <v>1E-3</v>
      </c>
      <c r="AA280">
        <v>20</v>
      </c>
      <c r="AB280">
        <v>100</v>
      </c>
      <c r="AC280" s="3">
        <v>0.9</v>
      </c>
      <c r="AD280">
        <v>0.05</v>
      </c>
      <c r="AE280" t="s">
        <v>104</v>
      </c>
      <c r="AF280" t="s">
        <v>1347</v>
      </c>
      <c r="AG280" t="s">
        <v>111</v>
      </c>
    </row>
    <row r="281" spans="1:33" x14ac:dyDescent="0.2">
      <c r="A281" s="2">
        <v>45009.520231481481</v>
      </c>
      <c r="B281" s="2">
        <v>45009.524074074077</v>
      </c>
      <c r="C281" t="s">
        <v>36</v>
      </c>
      <c r="D281" t="s">
        <v>1349</v>
      </c>
      <c r="E281">
        <v>100</v>
      </c>
      <c r="F281">
        <v>332</v>
      </c>
      <c r="G281" t="b">
        <v>1</v>
      </c>
      <c r="H281" s="2">
        <v>45009.524074074077</v>
      </c>
      <c r="I281" t="s">
        <v>1350</v>
      </c>
      <c r="N281">
        <v>41.606200000000001</v>
      </c>
      <c r="O281">
        <v>-71.979500000000002</v>
      </c>
      <c r="P281" t="s">
        <v>100</v>
      </c>
      <c r="Q281" t="s">
        <v>95</v>
      </c>
      <c r="R281" t="s">
        <v>1351</v>
      </c>
      <c r="S281" t="s">
        <v>96</v>
      </c>
      <c r="T281">
        <v>17</v>
      </c>
      <c r="U281" s="3">
        <v>0.3</v>
      </c>
      <c r="V281">
        <v>6</v>
      </c>
      <c r="W281" t="s">
        <v>1352</v>
      </c>
      <c r="X281">
        <v>500</v>
      </c>
      <c r="Y281">
        <v>10</v>
      </c>
      <c r="Z281" s="4">
        <v>1E-3</v>
      </c>
      <c r="AA281">
        <v>20</v>
      </c>
      <c r="AB281">
        <v>100</v>
      </c>
      <c r="AC281" s="3">
        <v>0.5</v>
      </c>
      <c r="AD281">
        <v>0.05</v>
      </c>
      <c r="AE281" t="s">
        <v>104</v>
      </c>
      <c r="AF281" t="s">
        <v>1351</v>
      </c>
      <c r="AG281" t="s">
        <v>125</v>
      </c>
    </row>
    <row r="282" spans="1:33" x14ac:dyDescent="0.2">
      <c r="A282" s="2">
        <v>45009.516030092593</v>
      </c>
      <c r="B282" s="2">
        <v>45009.524108796293</v>
      </c>
      <c r="C282" t="s">
        <v>36</v>
      </c>
      <c r="D282" t="s">
        <v>1353</v>
      </c>
      <c r="E282">
        <v>100</v>
      </c>
      <c r="F282">
        <v>698</v>
      </c>
      <c r="G282" t="b">
        <v>1</v>
      </c>
      <c r="H282" s="2">
        <v>45009.52412037037</v>
      </c>
      <c r="I282" t="s">
        <v>1354</v>
      </c>
      <c r="N282">
        <v>41.550699999999999</v>
      </c>
      <c r="O282">
        <v>-87.612300000000005</v>
      </c>
      <c r="P282" t="s">
        <v>100</v>
      </c>
      <c r="Q282" t="s">
        <v>95</v>
      </c>
      <c r="R282" t="s">
        <v>1355</v>
      </c>
      <c r="S282" t="s">
        <v>96</v>
      </c>
      <c r="V282">
        <v>100</v>
      </c>
      <c r="W282" t="s">
        <v>1356</v>
      </c>
      <c r="X282">
        <v>500</v>
      </c>
      <c r="Y282">
        <v>10</v>
      </c>
      <c r="Z282" s="4">
        <v>1E-3</v>
      </c>
      <c r="AA282" s="3">
        <v>0.2</v>
      </c>
      <c r="AB282">
        <v>100</v>
      </c>
      <c r="AC282" s="3">
        <v>0.1</v>
      </c>
      <c r="AD282">
        <v>0.1</v>
      </c>
      <c r="AE282">
        <v>100</v>
      </c>
      <c r="AF282" t="s">
        <v>1355</v>
      </c>
      <c r="AG282" t="s">
        <v>111</v>
      </c>
    </row>
    <row r="283" spans="1:33" x14ac:dyDescent="0.2">
      <c r="A283" s="2">
        <v>45009.521261574075</v>
      </c>
      <c r="B283" s="2">
        <v>45009.524155092593</v>
      </c>
      <c r="C283" t="s">
        <v>36</v>
      </c>
      <c r="D283" t="s">
        <v>1357</v>
      </c>
      <c r="E283">
        <v>100</v>
      </c>
      <c r="F283">
        <v>250</v>
      </c>
      <c r="G283" t="b">
        <v>1</v>
      </c>
      <c r="H283" s="2">
        <v>45009.52416666667</v>
      </c>
      <c r="I283" t="s">
        <v>1358</v>
      </c>
      <c r="N283">
        <v>38.845199999999998</v>
      </c>
      <c r="O283">
        <v>-77.465100000000007</v>
      </c>
      <c r="P283" t="s">
        <v>100</v>
      </c>
      <c r="Q283" t="s">
        <v>95</v>
      </c>
      <c r="R283" t="s">
        <v>1359</v>
      </c>
      <c r="S283" t="s">
        <v>96</v>
      </c>
      <c r="T283">
        <v>20</v>
      </c>
      <c r="U283">
        <v>15</v>
      </c>
      <c r="V283">
        <v>30</v>
      </c>
      <c r="W283" t="s">
        <v>1360</v>
      </c>
      <c r="X283">
        <v>500</v>
      </c>
      <c r="Y283">
        <v>10</v>
      </c>
      <c r="Z283">
        <v>0.1</v>
      </c>
      <c r="AA283">
        <v>20</v>
      </c>
      <c r="AB283">
        <v>100</v>
      </c>
      <c r="AC283">
        <v>90</v>
      </c>
      <c r="AD283">
        <v>0.05</v>
      </c>
      <c r="AE283">
        <v>5</v>
      </c>
      <c r="AF283" t="s">
        <v>1359</v>
      </c>
      <c r="AG283" t="s">
        <v>125</v>
      </c>
    </row>
    <row r="284" spans="1:33" x14ac:dyDescent="0.2">
      <c r="A284" s="2">
        <v>45009.519236111111</v>
      </c>
      <c r="B284" s="2">
        <v>45009.524201388886</v>
      </c>
      <c r="C284" t="s">
        <v>36</v>
      </c>
      <c r="D284" t="s">
        <v>1361</v>
      </c>
      <c r="E284">
        <v>100</v>
      </c>
      <c r="F284">
        <v>429</v>
      </c>
      <c r="G284" t="b">
        <v>1</v>
      </c>
      <c r="H284" s="2">
        <v>45009.524212962962</v>
      </c>
      <c r="I284" t="s">
        <v>1362</v>
      </c>
      <c r="N284">
        <v>33.3874</v>
      </c>
      <c r="O284">
        <v>-112.0998</v>
      </c>
      <c r="P284" t="s">
        <v>100</v>
      </c>
      <c r="Q284" t="s">
        <v>95</v>
      </c>
      <c r="R284" s="6" t="s">
        <v>1363</v>
      </c>
      <c r="S284" t="s">
        <v>96</v>
      </c>
      <c r="V284">
        <v>82</v>
      </c>
      <c r="W284" t="s">
        <v>1364</v>
      </c>
      <c r="X284">
        <v>500</v>
      </c>
      <c r="Y284">
        <v>10</v>
      </c>
      <c r="Z284" t="s">
        <v>1365</v>
      </c>
      <c r="AA284">
        <v>20</v>
      </c>
      <c r="AB284">
        <v>100</v>
      </c>
      <c r="AC284" s="3">
        <v>0.9</v>
      </c>
      <c r="AD284">
        <v>0.05</v>
      </c>
      <c r="AE284" t="s">
        <v>104</v>
      </c>
      <c r="AF284" s="6" t="s">
        <v>1363</v>
      </c>
      <c r="AG284" t="s">
        <v>111</v>
      </c>
    </row>
    <row r="285" spans="1:33" x14ac:dyDescent="0.2">
      <c r="A285" s="2">
        <v>45009.514652777776</v>
      </c>
      <c r="B285" s="2">
        <v>45009.524212962962</v>
      </c>
      <c r="C285" t="s">
        <v>36</v>
      </c>
      <c r="D285" t="s">
        <v>1366</v>
      </c>
      <c r="E285">
        <v>100</v>
      </c>
      <c r="F285">
        <v>826</v>
      </c>
      <c r="G285" t="b">
        <v>1</v>
      </c>
      <c r="H285" s="2">
        <v>45009.524224537039</v>
      </c>
      <c r="I285" t="s">
        <v>1367</v>
      </c>
      <c r="N285">
        <v>42.391399999999997</v>
      </c>
      <c r="O285">
        <v>-83.149299999999997</v>
      </c>
      <c r="P285" t="s">
        <v>100</v>
      </c>
      <c r="Q285" t="s">
        <v>95</v>
      </c>
      <c r="R285" t="s">
        <v>1368</v>
      </c>
      <c r="S285" t="s">
        <v>96</v>
      </c>
      <c r="T285">
        <v>27</v>
      </c>
      <c r="U285" t="s">
        <v>1369</v>
      </c>
      <c r="V285">
        <v>15</v>
      </c>
      <c r="W285" t="s">
        <v>1370</v>
      </c>
      <c r="X285" t="s">
        <v>1371</v>
      </c>
      <c r="Y285" t="s">
        <v>1372</v>
      </c>
      <c r="Z285" s="4">
        <v>1E-3</v>
      </c>
      <c r="AA285">
        <v>20</v>
      </c>
      <c r="AB285" t="s">
        <v>1373</v>
      </c>
      <c r="AC285" t="s">
        <v>1374</v>
      </c>
      <c r="AD285" t="s">
        <v>1375</v>
      </c>
      <c r="AE285" t="s">
        <v>232</v>
      </c>
      <c r="AF285" t="s">
        <v>1368</v>
      </c>
      <c r="AG285" t="s">
        <v>125</v>
      </c>
    </row>
    <row r="286" spans="1:33" x14ac:dyDescent="0.2">
      <c r="A286" s="2">
        <v>45009.519120370373</v>
      </c>
      <c r="B286" s="2">
        <v>45009.524236111109</v>
      </c>
      <c r="C286" t="s">
        <v>36</v>
      </c>
      <c r="D286" t="s">
        <v>1376</v>
      </c>
      <c r="E286">
        <v>100</v>
      </c>
      <c r="F286">
        <v>441</v>
      </c>
      <c r="G286" t="b">
        <v>1</v>
      </c>
      <c r="H286" s="2">
        <v>45009.524236111109</v>
      </c>
      <c r="I286" t="s">
        <v>1377</v>
      </c>
      <c r="N286">
        <v>38.948900000000002</v>
      </c>
      <c r="O286">
        <v>-76.935199999999995</v>
      </c>
      <c r="P286" t="s">
        <v>100</v>
      </c>
      <c r="Q286" t="s">
        <v>95</v>
      </c>
      <c r="R286" t="s">
        <v>1378</v>
      </c>
      <c r="S286" t="s">
        <v>96</v>
      </c>
      <c r="V286">
        <v>15</v>
      </c>
      <c r="W286" t="s">
        <v>1379</v>
      </c>
      <c r="X286">
        <v>500</v>
      </c>
      <c r="Y286">
        <v>10</v>
      </c>
      <c r="Z286" s="4">
        <v>1E-3</v>
      </c>
      <c r="AA286">
        <v>20</v>
      </c>
      <c r="AB286">
        <v>100</v>
      </c>
      <c r="AC286" s="3">
        <v>0.5</v>
      </c>
      <c r="AD286" s="5">
        <v>0.05</v>
      </c>
      <c r="AE286" t="s">
        <v>104</v>
      </c>
      <c r="AF286" t="s">
        <v>1378</v>
      </c>
      <c r="AG286" t="s">
        <v>111</v>
      </c>
    </row>
    <row r="287" spans="1:33" x14ac:dyDescent="0.2">
      <c r="A287" s="2">
        <v>45009.519803240742</v>
      </c>
      <c r="B287" s="2">
        <v>45009.524328703701</v>
      </c>
      <c r="C287" t="s">
        <v>36</v>
      </c>
      <c r="D287" t="s">
        <v>1380</v>
      </c>
      <c r="E287">
        <v>100</v>
      </c>
      <c r="F287">
        <v>391</v>
      </c>
      <c r="G287" t="b">
        <v>1</v>
      </c>
      <c r="H287" s="2">
        <v>45009.524328703701</v>
      </c>
      <c r="I287" t="s">
        <v>1381</v>
      </c>
      <c r="N287">
        <v>37.7958</v>
      </c>
      <c r="O287">
        <v>-122.4203</v>
      </c>
      <c r="P287" t="s">
        <v>100</v>
      </c>
      <c r="Q287" t="s">
        <v>95</v>
      </c>
      <c r="R287" s="6" t="s">
        <v>1382</v>
      </c>
      <c r="S287" t="s">
        <v>96</v>
      </c>
      <c r="V287">
        <v>77</v>
      </c>
      <c r="W287" t="s">
        <v>1383</v>
      </c>
      <c r="X287">
        <v>500</v>
      </c>
      <c r="Y287">
        <v>10</v>
      </c>
      <c r="Z287" s="4">
        <v>1E-3</v>
      </c>
      <c r="AA287" s="3">
        <v>0.2</v>
      </c>
      <c r="AB287">
        <v>100</v>
      </c>
      <c r="AC287">
        <v>18</v>
      </c>
      <c r="AD287" t="s">
        <v>1384</v>
      </c>
      <c r="AE287" t="s">
        <v>104</v>
      </c>
      <c r="AF287" s="6" t="s">
        <v>1382</v>
      </c>
      <c r="AG287" t="s">
        <v>97</v>
      </c>
    </row>
    <row r="288" spans="1:33" x14ac:dyDescent="0.2">
      <c r="A288" s="2">
        <v>45009.518495370372</v>
      </c>
      <c r="B288" s="2">
        <v>45009.524328703701</v>
      </c>
      <c r="C288" t="s">
        <v>36</v>
      </c>
      <c r="D288" t="s">
        <v>1385</v>
      </c>
      <c r="E288">
        <v>100</v>
      </c>
      <c r="F288">
        <v>504</v>
      </c>
      <c r="G288" t="b">
        <v>1</v>
      </c>
      <c r="H288" s="2">
        <v>45009.524340277778</v>
      </c>
      <c r="I288" t="s">
        <v>1386</v>
      </c>
      <c r="N288">
        <v>35.804699999999997</v>
      </c>
      <c r="O288">
        <v>-78.888099999999994</v>
      </c>
      <c r="P288" t="s">
        <v>100</v>
      </c>
      <c r="Q288" t="s">
        <v>95</v>
      </c>
      <c r="R288" t="s">
        <v>1387</v>
      </c>
      <c r="S288" t="s">
        <v>96</v>
      </c>
      <c r="V288">
        <v>100</v>
      </c>
      <c r="W288" t="s">
        <v>1388</v>
      </c>
      <c r="X288">
        <v>500</v>
      </c>
      <c r="Y288">
        <v>10</v>
      </c>
      <c r="Z288" s="4">
        <v>1E-3</v>
      </c>
      <c r="AA288">
        <v>20</v>
      </c>
      <c r="AB288">
        <v>100</v>
      </c>
      <c r="AC288" s="3">
        <v>0.5</v>
      </c>
      <c r="AD288">
        <v>0.05</v>
      </c>
      <c r="AE288" t="s">
        <v>266</v>
      </c>
      <c r="AF288" t="s">
        <v>1387</v>
      </c>
      <c r="AG288" t="s">
        <v>97</v>
      </c>
    </row>
    <row r="289" spans="1:33" x14ac:dyDescent="0.2">
      <c r="A289" s="2">
        <v>45009.519074074073</v>
      </c>
      <c r="B289" s="2">
        <v>45009.524340277778</v>
      </c>
      <c r="C289" t="s">
        <v>36</v>
      </c>
      <c r="D289" t="s">
        <v>1389</v>
      </c>
      <c r="E289">
        <v>100</v>
      </c>
      <c r="F289">
        <v>455</v>
      </c>
      <c r="G289" t="b">
        <v>1</v>
      </c>
      <c r="H289" s="2">
        <v>45009.524351851855</v>
      </c>
      <c r="I289" t="s">
        <v>1390</v>
      </c>
      <c r="N289">
        <v>33.468299999999999</v>
      </c>
      <c r="O289">
        <v>-112.0549</v>
      </c>
      <c r="P289" t="s">
        <v>100</v>
      </c>
      <c r="Q289" t="s">
        <v>95</v>
      </c>
      <c r="R289" t="s">
        <v>1391</v>
      </c>
      <c r="S289" t="s">
        <v>96</v>
      </c>
      <c r="T289">
        <v>10</v>
      </c>
      <c r="U289" s="3">
        <v>0.2</v>
      </c>
      <c r="V289">
        <v>9</v>
      </c>
      <c r="W289" t="s">
        <v>1392</v>
      </c>
      <c r="X289" t="s">
        <v>1393</v>
      </c>
      <c r="Y289" t="s">
        <v>1394</v>
      </c>
      <c r="Z289" t="s">
        <v>1395</v>
      </c>
      <c r="AA289" t="s">
        <v>122</v>
      </c>
      <c r="AB289">
        <v>100</v>
      </c>
      <c r="AC289" t="s">
        <v>1396</v>
      </c>
      <c r="AD289" t="s">
        <v>297</v>
      </c>
      <c r="AE289" t="s">
        <v>266</v>
      </c>
      <c r="AF289" t="s">
        <v>1391</v>
      </c>
      <c r="AG289" t="s">
        <v>125</v>
      </c>
    </row>
    <row r="290" spans="1:33" x14ac:dyDescent="0.2">
      <c r="A290" s="2">
        <v>45009.520162037035</v>
      </c>
      <c r="B290" s="2">
        <v>45009.524386574078</v>
      </c>
      <c r="C290" t="s">
        <v>36</v>
      </c>
      <c r="D290" t="s">
        <v>1397</v>
      </c>
      <c r="E290">
        <v>100</v>
      </c>
      <c r="F290">
        <v>365</v>
      </c>
      <c r="G290" t="b">
        <v>1</v>
      </c>
      <c r="H290" s="2">
        <v>45009.524386574078</v>
      </c>
      <c r="I290" t="s">
        <v>1398</v>
      </c>
      <c r="N290">
        <v>39.738799999999998</v>
      </c>
      <c r="O290">
        <v>-104.9868</v>
      </c>
      <c r="P290" t="s">
        <v>100</v>
      </c>
      <c r="Q290" t="s">
        <v>95</v>
      </c>
      <c r="R290" t="s">
        <v>1399</v>
      </c>
      <c r="S290" t="s">
        <v>96</v>
      </c>
      <c r="V290">
        <v>79</v>
      </c>
      <c r="W290" t="s">
        <v>1400</v>
      </c>
      <c r="X290">
        <v>790</v>
      </c>
      <c r="Y290">
        <v>130</v>
      </c>
      <c r="Z290">
        <v>10</v>
      </c>
      <c r="AA290">
        <v>20</v>
      </c>
      <c r="AB290">
        <v>100</v>
      </c>
      <c r="AC290" t="s">
        <v>1401</v>
      </c>
      <c r="AD290">
        <v>0.1</v>
      </c>
      <c r="AE290">
        <v>5</v>
      </c>
      <c r="AF290" t="s">
        <v>1399</v>
      </c>
      <c r="AG290" t="s">
        <v>111</v>
      </c>
    </row>
    <row r="291" spans="1:33" x14ac:dyDescent="0.2">
      <c r="A291" s="2">
        <v>45009.521736111114</v>
      </c>
      <c r="B291" s="2">
        <v>45009.524421296293</v>
      </c>
      <c r="C291" t="s">
        <v>36</v>
      </c>
      <c r="D291" t="s">
        <v>1402</v>
      </c>
      <c r="E291">
        <v>100</v>
      </c>
      <c r="F291">
        <v>231</v>
      </c>
      <c r="G291" t="b">
        <v>1</v>
      </c>
      <c r="H291" s="2">
        <v>45009.524421296293</v>
      </c>
      <c r="I291" t="s">
        <v>1403</v>
      </c>
      <c r="N291">
        <v>39.251399999999997</v>
      </c>
      <c r="O291">
        <v>-76.797899999999998</v>
      </c>
      <c r="P291" t="s">
        <v>100</v>
      </c>
      <c r="Q291" t="s">
        <v>95</v>
      </c>
      <c r="R291" s="6" t="s">
        <v>1404</v>
      </c>
      <c r="S291" t="s">
        <v>96</v>
      </c>
      <c r="T291">
        <v>40</v>
      </c>
      <c r="U291" s="3">
        <v>0.1</v>
      </c>
      <c r="V291">
        <v>60</v>
      </c>
      <c r="W291" t="s">
        <v>1405</v>
      </c>
      <c r="X291">
        <v>500</v>
      </c>
      <c r="Y291">
        <v>10</v>
      </c>
      <c r="Z291" s="4">
        <v>1E-3</v>
      </c>
      <c r="AA291">
        <v>20</v>
      </c>
      <c r="AB291">
        <v>100</v>
      </c>
      <c r="AC291">
        <v>5</v>
      </c>
      <c r="AD291">
        <v>0.05</v>
      </c>
      <c r="AE291" t="s">
        <v>104</v>
      </c>
      <c r="AF291" s="6" t="s">
        <v>1404</v>
      </c>
      <c r="AG291" t="s">
        <v>125</v>
      </c>
    </row>
    <row r="292" spans="1:33" x14ac:dyDescent="0.2">
      <c r="A292" s="2">
        <v>45009.521747685183</v>
      </c>
      <c r="B292" s="2">
        <v>45009.52443287037</v>
      </c>
      <c r="C292" t="s">
        <v>36</v>
      </c>
      <c r="D292" t="s">
        <v>1406</v>
      </c>
      <c r="E292">
        <v>100</v>
      </c>
      <c r="F292">
        <v>232</v>
      </c>
      <c r="G292" t="b">
        <v>1</v>
      </c>
      <c r="H292" s="2">
        <v>45009.524444444447</v>
      </c>
      <c r="I292" t="s">
        <v>1407</v>
      </c>
      <c r="N292">
        <v>28.049299999999999</v>
      </c>
      <c r="O292">
        <v>-82.006900000000002</v>
      </c>
      <c r="P292" t="s">
        <v>100</v>
      </c>
      <c r="Q292" t="s">
        <v>95</v>
      </c>
      <c r="R292" t="s">
        <v>1408</v>
      </c>
      <c r="S292" t="s">
        <v>96</v>
      </c>
      <c r="V292">
        <v>88</v>
      </c>
      <c r="W292" t="s">
        <v>1409</v>
      </c>
      <c r="X292">
        <v>500</v>
      </c>
      <c r="Y292">
        <v>1</v>
      </c>
      <c r="Z292">
        <v>1</v>
      </c>
      <c r="AA292">
        <v>20</v>
      </c>
      <c r="AB292">
        <v>100</v>
      </c>
      <c r="AC292">
        <v>10</v>
      </c>
      <c r="AD292">
        <v>0.1</v>
      </c>
      <c r="AE292">
        <v>100</v>
      </c>
      <c r="AF292" t="s">
        <v>1408</v>
      </c>
      <c r="AG292" t="s">
        <v>97</v>
      </c>
    </row>
    <row r="293" spans="1:33" x14ac:dyDescent="0.2">
      <c r="A293" s="2">
        <v>45009.52008101852</v>
      </c>
      <c r="B293" s="2">
        <v>45009.52447916667</v>
      </c>
      <c r="C293" t="s">
        <v>36</v>
      </c>
      <c r="D293" t="s">
        <v>1410</v>
      </c>
      <c r="E293">
        <v>100</v>
      </c>
      <c r="F293">
        <v>380</v>
      </c>
      <c r="G293" t="b">
        <v>1</v>
      </c>
      <c r="H293" s="2">
        <v>45009.52449074074</v>
      </c>
      <c r="I293" t="s">
        <v>1411</v>
      </c>
      <c r="N293">
        <v>41.6021</v>
      </c>
      <c r="O293">
        <v>-93.612399999999994</v>
      </c>
      <c r="P293" t="s">
        <v>100</v>
      </c>
      <c r="Q293" t="s">
        <v>95</v>
      </c>
      <c r="R293" t="s">
        <v>1412</v>
      </c>
      <c r="S293" t="s">
        <v>96</v>
      </c>
      <c r="V293">
        <v>28</v>
      </c>
      <c r="W293" t="s">
        <v>1413</v>
      </c>
      <c r="X293">
        <v>500</v>
      </c>
      <c r="Y293">
        <v>10</v>
      </c>
      <c r="Z293">
        <v>0.1</v>
      </c>
      <c r="AA293">
        <v>20</v>
      </c>
      <c r="AB293">
        <v>100</v>
      </c>
      <c r="AC293">
        <v>10</v>
      </c>
      <c r="AD293">
        <v>0.1</v>
      </c>
      <c r="AE293" t="s">
        <v>136</v>
      </c>
      <c r="AF293" t="s">
        <v>1412</v>
      </c>
      <c r="AG293" t="s">
        <v>111</v>
      </c>
    </row>
    <row r="294" spans="1:33" x14ac:dyDescent="0.2">
      <c r="A294" s="2">
        <v>45009.521365740744</v>
      </c>
      <c r="B294" s="2">
        <v>45009.524502314816</v>
      </c>
      <c r="C294" t="s">
        <v>36</v>
      </c>
      <c r="D294" t="s">
        <v>1414</v>
      </c>
      <c r="E294">
        <v>100</v>
      </c>
      <c r="F294">
        <v>271</v>
      </c>
      <c r="G294" t="b">
        <v>1</v>
      </c>
      <c r="H294" s="2">
        <v>45009.524502314816</v>
      </c>
      <c r="I294" t="s">
        <v>1415</v>
      </c>
      <c r="N294">
        <v>40.5334</v>
      </c>
      <c r="O294">
        <v>-74.209900000000005</v>
      </c>
      <c r="P294" t="s">
        <v>100</v>
      </c>
      <c r="Q294" t="s">
        <v>95</v>
      </c>
      <c r="R294" t="s">
        <v>1416</v>
      </c>
      <c r="S294" t="s">
        <v>96</v>
      </c>
      <c r="V294">
        <v>45</v>
      </c>
      <c r="W294" t="s">
        <v>1417</v>
      </c>
      <c r="X294">
        <v>500</v>
      </c>
      <c r="Y294">
        <v>10</v>
      </c>
      <c r="Z294">
        <v>0.1</v>
      </c>
      <c r="AA294">
        <v>20</v>
      </c>
      <c r="AB294">
        <v>100</v>
      </c>
      <c r="AC294" s="3">
        <v>0.5</v>
      </c>
      <c r="AD294">
        <v>0.05</v>
      </c>
      <c r="AE294">
        <v>5</v>
      </c>
      <c r="AF294" t="s">
        <v>1416</v>
      </c>
      <c r="AG294" t="s">
        <v>105</v>
      </c>
    </row>
    <row r="295" spans="1:33" x14ac:dyDescent="0.2">
      <c r="A295" s="2">
        <v>45009.517118055555</v>
      </c>
      <c r="B295" s="2">
        <v>45009.524502314816</v>
      </c>
      <c r="C295" t="s">
        <v>36</v>
      </c>
      <c r="D295" t="s">
        <v>1418</v>
      </c>
      <c r="E295">
        <v>100</v>
      </c>
      <c r="F295">
        <v>638</v>
      </c>
      <c r="G295" t="b">
        <v>1</v>
      </c>
      <c r="H295" s="2">
        <v>45009.524513888886</v>
      </c>
      <c r="I295" t="s">
        <v>1419</v>
      </c>
      <c r="N295">
        <v>36.581800000000001</v>
      </c>
      <c r="O295">
        <v>-87.416200000000003</v>
      </c>
      <c r="P295" t="s">
        <v>100</v>
      </c>
      <c r="Q295" t="s">
        <v>95</v>
      </c>
      <c r="R295" t="s">
        <v>1420</v>
      </c>
      <c r="S295" t="s">
        <v>96</v>
      </c>
      <c r="V295">
        <v>40</v>
      </c>
      <c r="W295" t="s">
        <v>1421</v>
      </c>
      <c r="X295">
        <v>500</v>
      </c>
      <c r="Y295">
        <v>10</v>
      </c>
      <c r="Z295" s="4">
        <v>1E-3</v>
      </c>
      <c r="AA295" s="3">
        <v>0.2</v>
      </c>
      <c r="AB295">
        <v>100</v>
      </c>
      <c r="AC295" s="3">
        <v>0.1</v>
      </c>
      <c r="AD295">
        <v>0.1</v>
      </c>
      <c r="AE295" t="s">
        <v>1422</v>
      </c>
      <c r="AF295" t="s">
        <v>1420</v>
      </c>
      <c r="AG295" t="s">
        <v>111</v>
      </c>
    </row>
    <row r="296" spans="1:33" x14ac:dyDescent="0.2">
      <c r="A296" s="2">
        <v>45009.519687499997</v>
      </c>
      <c r="B296" s="2">
        <v>45009.524571759262</v>
      </c>
      <c r="C296" t="s">
        <v>36</v>
      </c>
      <c r="D296" t="s">
        <v>1423</v>
      </c>
      <c r="E296">
        <v>100</v>
      </c>
      <c r="F296">
        <v>422</v>
      </c>
      <c r="G296" t="b">
        <v>1</v>
      </c>
      <c r="H296" s="2">
        <v>45009.524583333332</v>
      </c>
      <c r="I296" t="s">
        <v>1424</v>
      </c>
      <c r="N296">
        <v>33.7485</v>
      </c>
      <c r="O296">
        <v>-84.387100000000004</v>
      </c>
      <c r="P296" t="s">
        <v>100</v>
      </c>
      <c r="Q296" t="s">
        <v>95</v>
      </c>
      <c r="R296" s="6" t="s">
        <v>1425</v>
      </c>
      <c r="S296" t="s">
        <v>96</v>
      </c>
      <c r="V296">
        <v>100</v>
      </c>
      <c r="W296" t="s">
        <v>1426</v>
      </c>
      <c r="X296">
        <v>333</v>
      </c>
      <c r="Y296">
        <v>100</v>
      </c>
      <c r="Z296">
        <v>1</v>
      </c>
      <c r="AA296">
        <v>20</v>
      </c>
      <c r="AB296">
        <v>100</v>
      </c>
      <c r="AC296" s="3">
        <v>0.9</v>
      </c>
      <c r="AD296">
        <v>0.1</v>
      </c>
      <c r="AE296">
        <v>100</v>
      </c>
      <c r="AF296" s="6" t="s">
        <v>1425</v>
      </c>
      <c r="AG296" t="s">
        <v>97</v>
      </c>
    </row>
    <row r="297" spans="1:33" x14ac:dyDescent="0.2">
      <c r="A297" s="2">
        <v>45009.514097222222</v>
      </c>
      <c r="B297" s="2">
        <v>45009.524583333332</v>
      </c>
      <c r="C297" t="s">
        <v>36</v>
      </c>
      <c r="D297" t="s">
        <v>1427</v>
      </c>
      <c r="E297">
        <v>100</v>
      </c>
      <c r="F297">
        <v>905</v>
      </c>
      <c r="G297" t="b">
        <v>1</v>
      </c>
      <c r="H297" s="2">
        <v>45009.524594907409</v>
      </c>
      <c r="I297" t="s">
        <v>1428</v>
      </c>
      <c r="N297">
        <v>35.711300000000001</v>
      </c>
      <c r="O297">
        <v>-82.546700000000001</v>
      </c>
      <c r="P297" t="s">
        <v>100</v>
      </c>
      <c r="Q297" t="s">
        <v>95</v>
      </c>
      <c r="R297" t="s">
        <v>1429</v>
      </c>
      <c r="S297" t="s">
        <v>96</v>
      </c>
      <c r="V297">
        <v>0</v>
      </c>
      <c r="W297" t="s">
        <v>1430</v>
      </c>
      <c r="X297" t="s">
        <v>1431</v>
      </c>
      <c r="Y297" t="s">
        <v>1432</v>
      </c>
      <c r="Z297" t="s">
        <v>1433</v>
      </c>
      <c r="AA297" t="s">
        <v>1434</v>
      </c>
      <c r="AB297" t="s">
        <v>1435</v>
      </c>
      <c r="AC297" t="s">
        <v>1436</v>
      </c>
      <c r="AD297">
        <v>0.05</v>
      </c>
      <c r="AE297" t="s">
        <v>160</v>
      </c>
      <c r="AF297" t="s">
        <v>1429</v>
      </c>
      <c r="AG297" t="s">
        <v>111</v>
      </c>
    </row>
    <row r="298" spans="1:33" x14ac:dyDescent="0.2">
      <c r="A298" s="2">
        <v>45009.519004629627</v>
      </c>
      <c r="B298" s="2">
        <v>45009.524606481478</v>
      </c>
      <c r="C298" t="s">
        <v>36</v>
      </c>
      <c r="D298" t="s">
        <v>1437</v>
      </c>
      <c r="E298">
        <v>100</v>
      </c>
      <c r="F298">
        <v>483</v>
      </c>
      <c r="G298" t="b">
        <v>1</v>
      </c>
      <c r="H298" s="2">
        <v>45009.524606481478</v>
      </c>
      <c r="I298" t="s">
        <v>1438</v>
      </c>
      <c r="N298">
        <v>28.711500000000001</v>
      </c>
      <c r="O298">
        <v>-81.513499999999993</v>
      </c>
      <c r="P298" t="s">
        <v>100</v>
      </c>
      <c r="Q298" t="s">
        <v>95</v>
      </c>
      <c r="R298" t="s">
        <v>1439</v>
      </c>
      <c r="S298" t="s">
        <v>96</v>
      </c>
      <c r="V298">
        <v>90</v>
      </c>
      <c r="W298" t="s">
        <v>1440</v>
      </c>
      <c r="X298">
        <v>500</v>
      </c>
      <c r="Y298">
        <v>10</v>
      </c>
      <c r="Z298">
        <v>0.1</v>
      </c>
      <c r="AA298">
        <v>20</v>
      </c>
      <c r="AB298">
        <v>100</v>
      </c>
      <c r="AC298" s="3">
        <v>0.9</v>
      </c>
      <c r="AD298">
        <v>0.05</v>
      </c>
      <c r="AE298" t="s">
        <v>104</v>
      </c>
      <c r="AF298" t="s">
        <v>1439</v>
      </c>
      <c r="AG298" t="s">
        <v>97</v>
      </c>
    </row>
    <row r="299" spans="1:33" x14ac:dyDescent="0.2">
      <c r="A299" s="2">
        <v>45009.521793981483</v>
      </c>
      <c r="B299" s="2">
        <v>45009.524652777778</v>
      </c>
      <c r="C299" t="s">
        <v>36</v>
      </c>
      <c r="D299" t="s">
        <v>1441</v>
      </c>
      <c r="E299">
        <v>100</v>
      </c>
      <c r="F299">
        <v>246</v>
      </c>
      <c r="G299" t="b">
        <v>1</v>
      </c>
      <c r="H299" s="2">
        <v>45009.524652777778</v>
      </c>
      <c r="I299" t="s">
        <v>1442</v>
      </c>
      <c r="N299">
        <v>38.859699999999997</v>
      </c>
      <c r="O299">
        <v>-77.197999999999993</v>
      </c>
      <c r="P299" t="s">
        <v>100</v>
      </c>
      <c r="Q299" t="s">
        <v>95</v>
      </c>
      <c r="R299" s="6" t="s">
        <v>1443</v>
      </c>
      <c r="S299" t="s">
        <v>96</v>
      </c>
      <c r="V299">
        <v>38</v>
      </c>
      <c r="W299" t="s">
        <v>1444</v>
      </c>
      <c r="X299">
        <v>505</v>
      </c>
      <c r="Y299">
        <v>10</v>
      </c>
      <c r="Z299">
        <v>0.01</v>
      </c>
      <c r="AA299">
        <v>20</v>
      </c>
      <c r="AB299">
        <v>100</v>
      </c>
      <c r="AC299">
        <v>18</v>
      </c>
      <c r="AD299">
        <v>0.05</v>
      </c>
      <c r="AE299">
        <v>5</v>
      </c>
      <c r="AF299" s="6" t="s">
        <v>1443</v>
      </c>
      <c r="AG299" t="s">
        <v>105</v>
      </c>
    </row>
    <row r="300" spans="1:33" x14ac:dyDescent="0.2">
      <c r="A300" s="2">
        <v>45009.518958333334</v>
      </c>
      <c r="B300" s="2">
        <v>45009.524652777778</v>
      </c>
      <c r="C300" t="s">
        <v>36</v>
      </c>
      <c r="D300" t="s">
        <v>1445</v>
      </c>
      <c r="E300">
        <v>100</v>
      </c>
      <c r="F300">
        <v>492</v>
      </c>
      <c r="G300" t="b">
        <v>1</v>
      </c>
      <c r="H300" s="2">
        <v>45009.524652777778</v>
      </c>
      <c r="I300" t="s">
        <v>1446</v>
      </c>
      <c r="N300">
        <v>30.587499999999999</v>
      </c>
      <c r="O300">
        <v>-97.853499999999997</v>
      </c>
      <c r="P300" t="s">
        <v>100</v>
      </c>
      <c r="Q300" t="s">
        <v>95</v>
      </c>
      <c r="R300" t="s">
        <v>1447</v>
      </c>
      <c r="S300" t="s">
        <v>96</v>
      </c>
      <c r="V300">
        <v>100</v>
      </c>
      <c r="W300" t="s">
        <v>1448</v>
      </c>
      <c r="X300">
        <v>500</v>
      </c>
      <c r="Y300">
        <v>10</v>
      </c>
      <c r="Z300">
        <v>0.1</v>
      </c>
      <c r="AA300">
        <v>20</v>
      </c>
      <c r="AB300">
        <v>100</v>
      </c>
      <c r="AC300" s="3">
        <v>0.18</v>
      </c>
      <c r="AD300">
        <v>0.1</v>
      </c>
      <c r="AE300">
        <v>100</v>
      </c>
      <c r="AF300" t="s">
        <v>1447</v>
      </c>
      <c r="AG300" t="s">
        <v>111</v>
      </c>
    </row>
    <row r="301" spans="1:33" x14ac:dyDescent="0.2">
      <c r="A301" s="2">
        <v>45009.516226851854</v>
      </c>
      <c r="B301" s="2">
        <v>45009.524745370371</v>
      </c>
      <c r="C301" t="s">
        <v>36</v>
      </c>
      <c r="D301" t="s">
        <v>1449</v>
      </c>
      <c r="E301">
        <v>100</v>
      </c>
      <c r="F301">
        <v>736</v>
      </c>
      <c r="G301" t="b">
        <v>1</v>
      </c>
      <c r="H301" s="2">
        <v>45009.524745370371</v>
      </c>
      <c r="I301" t="s">
        <v>1450</v>
      </c>
      <c r="N301">
        <v>35.924300000000002</v>
      </c>
      <c r="O301">
        <v>-83.996499999999997</v>
      </c>
      <c r="P301" t="s">
        <v>100</v>
      </c>
      <c r="Q301" t="s">
        <v>95</v>
      </c>
      <c r="R301" t="s">
        <v>1451</v>
      </c>
      <c r="S301" t="s">
        <v>96</v>
      </c>
      <c r="V301">
        <v>41</v>
      </c>
      <c r="W301" t="s">
        <v>1452</v>
      </c>
      <c r="X301">
        <v>500</v>
      </c>
      <c r="Y301">
        <v>10</v>
      </c>
      <c r="Z301">
        <v>0.1</v>
      </c>
      <c r="AA301">
        <v>20</v>
      </c>
      <c r="AB301">
        <v>100</v>
      </c>
      <c r="AC301" s="3">
        <v>0.9</v>
      </c>
      <c r="AD301">
        <v>0.1</v>
      </c>
      <c r="AE301" t="s">
        <v>104</v>
      </c>
      <c r="AF301" t="s">
        <v>1451</v>
      </c>
      <c r="AG301" t="s">
        <v>111</v>
      </c>
    </row>
    <row r="302" spans="1:33" x14ac:dyDescent="0.2">
      <c r="A302" s="2">
        <v>45009.509444444448</v>
      </c>
      <c r="B302" s="2">
        <v>45009.524895833332</v>
      </c>
      <c r="C302" t="s">
        <v>36</v>
      </c>
      <c r="D302" t="s">
        <v>1453</v>
      </c>
      <c r="E302">
        <v>100</v>
      </c>
      <c r="F302">
        <v>1334</v>
      </c>
      <c r="G302" t="b">
        <v>1</v>
      </c>
      <c r="H302" s="2">
        <v>45009.524895833332</v>
      </c>
      <c r="I302" t="s">
        <v>1454</v>
      </c>
      <c r="N302">
        <v>41.781700000000001</v>
      </c>
      <c r="O302">
        <v>-124.1332</v>
      </c>
      <c r="P302" t="s">
        <v>100</v>
      </c>
      <c r="Q302" t="s">
        <v>95</v>
      </c>
      <c r="R302" t="s">
        <v>1455</v>
      </c>
      <c r="S302" t="s">
        <v>96</v>
      </c>
      <c r="T302">
        <v>30</v>
      </c>
      <c r="U302">
        <v>10</v>
      </c>
      <c r="V302">
        <v>30</v>
      </c>
      <c r="W302" t="s">
        <v>1456</v>
      </c>
      <c r="X302">
        <v>500</v>
      </c>
      <c r="Y302">
        <v>10</v>
      </c>
      <c r="Z302" s="3">
        <v>0.01</v>
      </c>
      <c r="AA302">
        <v>20</v>
      </c>
      <c r="AB302">
        <v>100</v>
      </c>
      <c r="AC302" s="3">
        <v>0.5</v>
      </c>
      <c r="AD302" s="5">
        <v>0.05</v>
      </c>
      <c r="AE302" t="s">
        <v>104</v>
      </c>
      <c r="AF302" t="s">
        <v>1455</v>
      </c>
      <c r="AG302" t="s">
        <v>125</v>
      </c>
    </row>
    <row r="303" spans="1:33" x14ac:dyDescent="0.2">
      <c r="A303" s="2">
        <v>45009.521412037036</v>
      </c>
      <c r="B303" s="2">
        <v>45009.524907407409</v>
      </c>
      <c r="C303" t="s">
        <v>36</v>
      </c>
      <c r="D303" t="s">
        <v>1457</v>
      </c>
      <c r="E303">
        <v>100</v>
      </c>
      <c r="F303">
        <v>302</v>
      </c>
      <c r="G303" t="b">
        <v>1</v>
      </c>
      <c r="H303" s="2">
        <v>45009.524907407409</v>
      </c>
      <c r="I303" t="s">
        <v>1458</v>
      </c>
      <c r="N303">
        <v>41.140999999999998</v>
      </c>
      <c r="O303">
        <v>-81.476799999999997</v>
      </c>
      <c r="P303" t="s">
        <v>100</v>
      </c>
      <c r="Q303" t="s">
        <v>95</v>
      </c>
      <c r="R303" t="s">
        <v>1459</v>
      </c>
      <c r="S303" t="s">
        <v>96</v>
      </c>
      <c r="V303">
        <v>40</v>
      </c>
      <c r="W303" t="s">
        <v>1460</v>
      </c>
      <c r="X303">
        <v>500</v>
      </c>
      <c r="Y303">
        <v>10</v>
      </c>
      <c r="Z303">
        <v>0.1</v>
      </c>
      <c r="AA303">
        <v>20</v>
      </c>
      <c r="AB303">
        <v>100</v>
      </c>
      <c r="AC303" s="3">
        <v>0.9</v>
      </c>
      <c r="AD303">
        <v>0.1</v>
      </c>
      <c r="AE303" t="s">
        <v>104</v>
      </c>
      <c r="AF303" t="s">
        <v>1459</v>
      </c>
      <c r="AG303" t="s">
        <v>111</v>
      </c>
    </row>
    <row r="304" spans="1:33" x14ac:dyDescent="0.2">
      <c r="A304" s="2">
        <v>45009.519166666665</v>
      </c>
      <c r="B304" s="2">
        <v>45009.524953703702</v>
      </c>
      <c r="C304" t="s">
        <v>36</v>
      </c>
      <c r="D304" t="s">
        <v>1461</v>
      </c>
      <c r="E304">
        <v>100</v>
      </c>
      <c r="F304">
        <v>499</v>
      </c>
      <c r="G304" t="b">
        <v>1</v>
      </c>
      <c r="H304" s="2">
        <v>45009.524953703702</v>
      </c>
      <c r="I304" t="s">
        <v>1462</v>
      </c>
      <c r="N304">
        <v>33.972299999999997</v>
      </c>
      <c r="O304">
        <v>-112.7278</v>
      </c>
      <c r="P304" t="s">
        <v>100</v>
      </c>
      <c r="Q304" t="s">
        <v>95</v>
      </c>
      <c r="R304" t="s">
        <v>1463</v>
      </c>
      <c r="S304" t="s">
        <v>96</v>
      </c>
      <c r="T304">
        <v>80</v>
      </c>
      <c r="V304">
        <v>90</v>
      </c>
      <c r="W304" t="s">
        <v>1464</v>
      </c>
      <c r="X304">
        <v>500</v>
      </c>
      <c r="Y304">
        <v>10</v>
      </c>
      <c r="Z304">
        <v>0.01</v>
      </c>
      <c r="AA304">
        <v>20</v>
      </c>
      <c r="AB304">
        <v>100</v>
      </c>
      <c r="AC304" s="3">
        <v>0.8</v>
      </c>
      <c r="AD304" t="s">
        <v>159</v>
      </c>
      <c r="AE304">
        <v>100</v>
      </c>
      <c r="AF304" t="s">
        <v>1463</v>
      </c>
      <c r="AG304" t="s">
        <v>125</v>
      </c>
    </row>
    <row r="305" spans="1:33" x14ac:dyDescent="0.2">
      <c r="A305" s="2">
        <v>45009.52003472222</v>
      </c>
      <c r="B305" s="2">
        <v>45009.52511574074</v>
      </c>
      <c r="C305" t="s">
        <v>36</v>
      </c>
      <c r="D305" t="s">
        <v>1465</v>
      </c>
      <c r="E305">
        <v>100</v>
      </c>
      <c r="F305">
        <v>439</v>
      </c>
      <c r="G305" t="b">
        <v>1</v>
      </c>
      <c r="H305" s="2">
        <v>45009.525127314817</v>
      </c>
      <c r="I305" t="s">
        <v>1466</v>
      </c>
      <c r="N305">
        <v>29.7545</v>
      </c>
      <c r="O305">
        <v>-95.409300000000002</v>
      </c>
      <c r="P305" t="s">
        <v>100</v>
      </c>
      <c r="Q305" t="s">
        <v>95</v>
      </c>
      <c r="R305" t="s">
        <v>1467</v>
      </c>
      <c r="S305" t="s">
        <v>96</v>
      </c>
      <c r="T305">
        <v>81</v>
      </c>
      <c r="V305">
        <v>98</v>
      </c>
      <c r="W305" t="s">
        <v>1468</v>
      </c>
      <c r="X305">
        <v>700</v>
      </c>
      <c r="Y305">
        <v>10</v>
      </c>
      <c r="Z305">
        <v>1</v>
      </c>
      <c r="AA305">
        <v>20</v>
      </c>
      <c r="AB305">
        <v>100</v>
      </c>
      <c r="AC305">
        <v>9</v>
      </c>
      <c r="AD305">
        <v>0.1</v>
      </c>
      <c r="AE305">
        <v>100</v>
      </c>
      <c r="AF305" t="s">
        <v>1467</v>
      </c>
      <c r="AG305" t="s">
        <v>125</v>
      </c>
    </row>
    <row r="306" spans="1:33" x14ac:dyDescent="0.2">
      <c r="A306" s="2">
        <v>45009.516932870371</v>
      </c>
      <c r="B306" s="2">
        <v>45009.52511574074</v>
      </c>
      <c r="C306" t="s">
        <v>36</v>
      </c>
      <c r="D306" t="s">
        <v>1469</v>
      </c>
      <c r="E306">
        <v>100</v>
      </c>
      <c r="F306">
        <v>707</v>
      </c>
      <c r="G306" t="b">
        <v>1</v>
      </c>
      <c r="H306" s="2">
        <v>45009.525127314817</v>
      </c>
      <c r="I306" t="s">
        <v>1470</v>
      </c>
      <c r="N306">
        <v>29.125399999999999</v>
      </c>
      <c r="O306">
        <v>-82.007599999999996</v>
      </c>
      <c r="P306" t="s">
        <v>100</v>
      </c>
      <c r="Q306" t="s">
        <v>95</v>
      </c>
      <c r="R306" t="s">
        <v>1471</v>
      </c>
      <c r="S306" t="s">
        <v>96</v>
      </c>
      <c r="V306">
        <v>100</v>
      </c>
      <c r="W306" t="s">
        <v>1472</v>
      </c>
      <c r="X306">
        <v>500</v>
      </c>
      <c r="Y306" s="3">
        <v>0.01</v>
      </c>
      <c r="Z306" s="4">
        <v>1E-3</v>
      </c>
      <c r="AA306">
        <v>20</v>
      </c>
      <c r="AB306">
        <v>5</v>
      </c>
      <c r="AC306" t="s">
        <v>1473</v>
      </c>
      <c r="AD306">
        <v>0.05</v>
      </c>
      <c r="AE306">
        <v>5</v>
      </c>
      <c r="AF306" t="s">
        <v>1471</v>
      </c>
      <c r="AG306" t="s">
        <v>105</v>
      </c>
    </row>
    <row r="307" spans="1:33" x14ac:dyDescent="0.2">
      <c r="A307" s="2">
        <v>45009.521817129629</v>
      </c>
      <c r="B307" s="2">
        <v>45009.525127314817</v>
      </c>
      <c r="C307" t="s">
        <v>36</v>
      </c>
      <c r="D307" t="s">
        <v>1474</v>
      </c>
      <c r="E307">
        <v>100</v>
      </c>
      <c r="F307">
        <v>285</v>
      </c>
      <c r="G307" t="b">
        <v>1</v>
      </c>
      <c r="H307" s="2">
        <v>45009.525127314817</v>
      </c>
      <c r="I307" t="s">
        <v>1475</v>
      </c>
      <c r="N307">
        <v>29.873699999999999</v>
      </c>
      <c r="O307">
        <v>-97.936099999999996</v>
      </c>
      <c r="P307" t="s">
        <v>100</v>
      </c>
      <c r="Q307" t="s">
        <v>95</v>
      </c>
      <c r="R307" t="s">
        <v>1476</v>
      </c>
      <c r="S307" t="s">
        <v>96</v>
      </c>
      <c r="V307">
        <v>64</v>
      </c>
      <c r="W307" t="s">
        <v>1477</v>
      </c>
      <c r="X307">
        <v>500</v>
      </c>
      <c r="Y307">
        <v>10</v>
      </c>
      <c r="Z307">
        <v>0.1</v>
      </c>
      <c r="AA307">
        <v>20</v>
      </c>
      <c r="AB307">
        <v>1</v>
      </c>
      <c r="AC307">
        <v>9</v>
      </c>
      <c r="AD307">
        <v>0.05</v>
      </c>
      <c r="AE307" t="s">
        <v>104</v>
      </c>
      <c r="AF307" t="s">
        <v>1476</v>
      </c>
      <c r="AG307" t="s">
        <v>105</v>
      </c>
    </row>
    <row r="308" spans="1:33" x14ac:dyDescent="0.2">
      <c r="A308" s="2">
        <v>45009.512592592589</v>
      </c>
      <c r="B308" s="2">
        <v>45009.52516203704</v>
      </c>
      <c r="C308" t="s">
        <v>36</v>
      </c>
      <c r="D308" t="s">
        <v>1478</v>
      </c>
      <c r="E308">
        <v>100</v>
      </c>
      <c r="F308">
        <v>1086</v>
      </c>
      <c r="G308" t="b">
        <v>1</v>
      </c>
      <c r="H308" s="2">
        <v>45009.525173611109</v>
      </c>
      <c r="I308" t="s">
        <v>1479</v>
      </c>
      <c r="N308">
        <v>29.613800000000001</v>
      </c>
      <c r="O308">
        <v>-82.385999999999996</v>
      </c>
      <c r="P308" t="s">
        <v>100</v>
      </c>
      <c r="Q308" t="s">
        <v>95</v>
      </c>
      <c r="R308" t="s">
        <v>1480</v>
      </c>
      <c r="S308" t="s">
        <v>96</v>
      </c>
      <c r="V308">
        <v>85</v>
      </c>
      <c r="W308" t="s">
        <v>1481</v>
      </c>
      <c r="X308">
        <v>500</v>
      </c>
      <c r="Y308">
        <v>12</v>
      </c>
      <c r="Z308">
        <v>1</v>
      </c>
      <c r="AA308">
        <v>20</v>
      </c>
      <c r="AB308">
        <v>100</v>
      </c>
      <c r="AC308">
        <v>23</v>
      </c>
      <c r="AD308">
        <v>0.05</v>
      </c>
      <c r="AE308">
        <v>5</v>
      </c>
      <c r="AF308" t="s">
        <v>1480</v>
      </c>
      <c r="AG308" t="s">
        <v>97</v>
      </c>
    </row>
    <row r="309" spans="1:33" x14ac:dyDescent="0.2">
      <c r="A309" s="2">
        <v>45009.519224537034</v>
      </c>
      <c r="B309" s="2">
        <v>45009.525173611109</v>
      </c>
      <c r="C309" t="s">
        <v>36</v>
      </c>
      <c r="D309" t="s">
        <v>1482</v>
      </c>
      <c r="E309">
        <v>100</v>
      </c>
      <c r="F309">
        <v>513</v>
      </c>
      <c r="G309" t="b">
        <v>1</v>
      </c>
      <c r="H309" s="2">
        <v>45009.525173611109</v>
      </c>
      <c r="I309" t="s">
        <v>1483</v>
      </c>
      <c r="N309">
        <v>39.7684</v>
      </c>
      <c r="O309">
        <v>-86.158000000000001</v>
      </c>
      <c r="P309" t="s">
        <v>100</v>
      </c>
      <c r="Q309" t="s">
        <v>95</v>
      </c>
      <c r="R309" t="s">
        <v>1484</v>
      </c>
      <c r="S309" t="s">
        <v>96</v>
      </c>
      <c r="T309">
        <v>40</v>
      </c>
      <c r="U309" s="3">
        <v>0.15</v>
      </c>
      <c r="V309">
        <v>19</v>
      </c>
      <c r="W309" t="s">
        <v>1485</v>
      </c>
      <c r="X309" t="s">
        <v>1486</v>
      </c>
      <c r="Y309">
        <v>10</v>
      </c>
      <c r="Z309" s="4">
        <v>1E-3</v>
      </c>
      <c r="AA309" s="3">
        <v>0.2</v>
      </c>
      <c r="AB309">
        <v>100</v>
      </c>
      <c r="AC309" s="3">
        <v>0.5</v>
      </c>
      <c r="AD309">
        <v>0.1</v>
      </c>
      <c r="AE309" t="s">
        <v>104</v>
      </c>
      <c r="AF309" t="s">
        <v>1484</v>
      </c>
      <c r="AG309" t="s">
        <v>125</v>
      </c>
    </row>
    <row r="310" spans="1:33" x14ac:dyDescent="0.2">
      <c r="A310" s="2">
        <v>45009.516076388885</v>
      </c>
      <c r="B310" s="2">
        <v>45009.525185185186</v>
      </c>
      <c r="C310" t="s">
        <v>36</v>
      </c>
      <c r="D310" t="s">
        <v>1487</v>
      </c>
      <c r="E310">
        <v>100</v>
      </c>
      <c r="F310">
        <v>786</v>
      </c>
      <c r="G310" t="b">
        <v>1</v>
      </c>
      <c r="H310" s="2">
        <v>45009.525185185186</v>
      </c>
      <c r="I310" t="s">
        <v>1488</v>
      </c>
      <c r="N310">
        <v>44.749899999999997</v>
      </c>
      <c r="O310">
        <v>-93.208100000000002</v>
      </c>
      <c r="P310" t="s">
        <v>100</v>
      </c>
      <c r="Q310" t="s">
        <v>95</v>
      </c>
      <c r="R310" t="s">
        <v>1489</v>
      </c>
      <c r="S310" t="s">
        <v>96</v>
      </c>
      <c r="T310">
        <v>71</v>
      </c>
      <c r="V310">
        <v>71</v>
      </c>
      <c r="W310" t="s">
        <v>1490</v>
      </c>
      <c r="X310">
        <v>500</v>
      </c>
      <c r="Y310">
        <v>10</v>
      </c>
      <c r="Z310" s="4">
        <v>1E-3</v>
      </c>
      <c r="AA310">
        <v>20</v>
      </c>
      <c r="AB310">
        <v>100</v>
      </c>
      <c r="AC310" s="3">
        <v>0.45</v>
      </c>
      <c r="AD310">
        <v>0.05</v>
      </c>
      <c r="AE310" t="s">
        <v>104</v>
      </c>
      <c r="AF310" t="s">
        <v>1489</v>
      </c>
      <c r="AG310" t="s">
        <v>125</v>
      </c>
    </row>
    <row r="311" spans="1:33" x14ac:dyDescent="0.2">
      <c r="A311" s="2">
        <v>45009.516736111109</v>
      </c>
      <c r="B311" s="2">
        <v>45009.525208333333</v>
      </c>
      <c r="C311" t="s">
        <v>36</v>
      </c>
      <c r="D311" t="s">
        <v>1491</v>
      </c>
      <c r="E311">
        <v>100</v>
      </c>
      <c r="F311">
        <v>731</v>
      </c>
      <c r="G311" t="b">
        <v>1</v>
      </c>
      <c r="H311" s="2">
        <v>45009.525208333333</v>
      </c>
      <c r="I311" t="s">
        <v>1492</v>
      </c>
      <c r="N311">
        <v>36.168500000000002</v>
      </c>
      <c r="O311">
        <v>-115.1164</v>
      </c>
      <c r="P311" t="s">
        <v>100</v>
      </c>
      <c r="Q311" t="s">
        <v>95</v>
      </c>
      <c r="R311" t="s">
        <v>1493</v>
      </c>
      <c r="S311" t="s">
        <v>96</v>
      </c>
      <c r="V311">
        <v>52</v>
      </c>
      <c r="W311" t="s">
        <v>1494</v>
      </c>
      <c r="X311">
        <v>500</v>
      </c>
      <c r="Y311" t="s">
        <v>121</v>
      </c>
      <c r="Z311" t="s">
        <v>121</v>
      </c>
      <c r="AA311" t="s">
        <v>1495</v>
      </c>
      <c r="AB311">
        <v>100</v>
      </c>
      <c r="AC311" t="s">
        <v>121</v>
      </c>
      <c r="AD311">
        <v>1.05</v>
      </c>
      <c r="AE311" t="s">
        <v>136</v>
      </c>
      <c r="AF311" t="s">
        <v>1493</v>
      </c>
      <c r="AG311" t="s">
        <v>111</v>
      </c>
    </row>
    <row r="312" spans="1:33" x14ac:dyDescent="0.2">
      <c r="A312" s="2">
        <v>45009.522326388891</v>
      </c>
      <c r="B312" s="2">
        <v>45009.525208333333</v>
      </c>
      <c r="C312" t="s">
        <v>36</v>
      </c>
      <c r="D312" t="s">
        <v>1496</v>
      </c>
      <c r="E312">
        <v>100</v>
      </c>
      <c r="F312">
        <v>249</v>
      </c>
      <c r="G312" t="b">
        <v>1</v>
      </c>
      <c r="H312" s="2">
        <v>45009.525219907409</v>
      </c>
      <c r="I312" t="s">
        <v>1497</v>
      </c>
      <c r="N312">
        <v>36.732799999999997</v>
      </c>
      <c r="O312">
        <v>-76.589799999999997</v>
      </c>
      <c r="P312" t="s">
        <v>100</v>
      </c>
      <c r="Q312" t="s">
        <v>95</v>
      </c>
      <c r="R312" t="s">
        <v>1498</v>
      </c>
      <c r="S312" t="s">
        <v>96</v>
      </c>
      <c r="T312">
        <v>30</v>
      </c>
      <c r="U312">
        <v>10</v>
      </c>
      <c r="V312">
        <v>35</v>
      </c>
      <c r="W312" t="s">
        <v>1499</v>
      </c>
      <c r="X312">
        <v>500</v>
      </c>
      <c r="Y312">
        <v>10</v>
      </c>
      <c r="Z312">
        <v>0.1</v>
      </c>
      <c r="AA312">
        <v>20</v>
      </c>
      <c r="AB312">
        <v>100</v>
      </c>
      <c r="AC312" s="3">
        <v>0.5</v>
      </c>
      <c r="AD312">
        <v>0.05</v>
      </c>
      <c r="AE312">
        <v>5</v>
      </c>
      <c r="AF312" t="s">
        <v>1498</v>
      </c>
      <c r="AG312" t="s">
        <v>125</v>
      </c>
    </row>
    <row r="313" spans="1:33" x14ac:dyDescent="0.2">
      <c r="A313" s="2">
        <v>45009.521041666667</v>
      </c>
      <c r="B313" s="2">
        <v>45009.525208333333</v>
      </c>
      <c r="C313" t="s">
        <v>36</v>
      </c>
      <c r="D313" t="s">
        <v>1500</v>
      </c>
      <c r="E313">
        <v>100</v>
      </c>
      <c r="F313">
        <v>360</v>
      </c>
      <c r="G313" t="b">
        <v>1</v>
      </c>
      <c r="H313" s="2">
        <v>45009.525219907409</v>
      </c>
      <c r="I313" t="s">
        <v>1501</v>
      </c>
      <c r="N313">
        <v>42.465200000000003</v>
      </c>
      <c r="O313">
        <v>-83.371300000000005</v>
      </c>
      <c r="P313" t="s">
        <v>100</v>
      </c>
      <c r="Q313" t="s">
        <v>95</v>
      </c>
      <c r="R313" t="s">
        <v>1502</v>
      </c>
      <c r="S313" t="s">
        <v>96</v>
      </c>
      <c r="V313">
        <v>39</v>
      </c>
      <c r="W313" t="s">
        <v>1503</v>
      </c>
      <c r="X313">
        <v>600</v>
      </c>
      <c r="Y313">
        <v>1</v>
      </c>
      <c r="Z313">
        <v>1</v>
      </c>
      <c r="AA313">
        <v>20</v>
      </c>
      <c r="AB313">
        <v>100</v>
      </c>
      <c r="AC313">
        <v>10</v>
      </c>
      <c r="AD313">
        <v>0.1</v>
      </c>
      <c r="AE313">
        <v>100</v>
      </c>
      <c r="AF313" t="s">
        <v>1502</v>
      </c>
      <c r="AG313" t="s">
        <v>97</v>
      </c>
    </row>
    <row r="314" spans="1:33" x14ac:dyDescent="0.2">
      <c r="A314" s="2">
        <v>45009.517268518517</v>
      </c>
      <c r="B314" s="2">
        <v>45009.525231481479</v>
      </c>
      <c r="C314" t="s">
        <v>36</v>
      </c>
      <c r="D314" t="s">
        <v>1504</v>
      </c>
      <c r="E314">
        <v>100</v>
      </c>
      <c r="F314">
        <v>688</v>
      </c>
      <c r="G314" t="b">
        <v>1</v>
      </c>
      <c r="H314" s="2">
        <v>45009.525231481479</v>
      </c>
      <c r="I314" t="s">
        <v>1505</v>
      </c>
      <c r="N314">
        <v>28.493200000000002</v>
      </c>
      <c r="O314">
        <v>-81.287800000000004</v>
      </c>
      <c r="P314" t="s">
        <v>100</v>
      </c>
      <c r="Q314" t="s">
        <v>95</v>
      </c>
      <c r="R314" t="s">
        <v>1506</v>
      </c>
      <c r="S314" t="s">
        <v>96</v>
      </c>
      <c r="V314">
        <v>60</v>
      </c>
      <c r="W314" t="s">
        <v>1507</v>
      </c>
      <c r="X314">
        <v>500</v>
      </c>
      <c r="Y314">
        <v>10</v>
      </c>
      <c r="Z314">
        <v>0.1</v>
      </c>
      <c r="AA314">
        <v>20</v>
      </c>
      <c r="AB314">
        <v>100</v>
      </c>
      <c r="AC314">
        <v>90</v>
      </c>
      <c r="AD314">
        <v>0.1</v>
      </c>
      <c r="AE314">
        <v>20</v>
      </c>
      <c r="AF314" t="s">
        <v>1506</v>
      </c>
      <c r="AG314" t="s">
        <v>105</v>
      </c>
    </row>
    <row r="315" spans="1:33" x14ac:dyDescent="0.2">
      <c r="A315" s="2">
        <v>45009.521134259259</v>
      </c>
      <c r="B315" s="2">
        <v>45009.525266203702</v>
      </c>
      <c r="C315" t="s">
        <v>36</v>
      </c>
      <c r="D315" t="s">
        <v>1508</v>
      </c>
      <c r="E315">
        <v>100</v>
      </c>
      <c r="F315">
        <v>356</v>
      </c>
      <c r="G315" t="b">
        <v>1</v>
      </c>
      <c r="H315" s="2">
        <v>45009.525266203702</v>
      </c>
      <c r="I315" t="s">
        <v>1509</v>
      </c>
      <c r="N315">
        <v>42.231400000000001</v>
      </c>
      <c r="O315">
        <v>-83.634399999999999</v>
      </c>
      <c r="P315" t="s">
        <v>100</v>
      </c>
      <c r="Q315" t="s">
        <v>95</v>
      </c>
      <c r="R315" t="s">
        <v>1510</v>
      </c>
      <c r="S315" t="s">
        <v>96</v>
      </c>
      <c r="V315">
        <v>54</v>
      </c>
      <c r="W315" t="s">
        <v>1511</v>
      </c>
      <c r="X315">
        <v>500</v>
      </c>
      <c r="Y315">
        <v>10</v>
      </c>
      <c r="Z315" t="s">
        <v>1512</v>
      </c>
      <c r="AA315" t="s">
        <v>1513</v>
      </c>
      <c r="AB315">
        <v>100</v>
      </c>
      <c r="AC315" s="3">
        <v>0.5</v>
      </c>
      <c r="AD315" s="5">
        <v>0.05</v>
      </c>
      <c r="AE315">
        <v>5</v>
      </c>
      <c r="AF315" t="s">
        <v>1510</v>
      </c>
      <c r="AG315" t="s">
        <v>111</v>
      </c>
    </row>
    <row r="316" spans="1:33" ht="34" x14ac:dyDescent="0.2">
      <c r="A316" s="2">
        <v>45009.518495370372</v>
      </c>
      <c r="B316" s="2">
        <v>45009.525358796294</v>
      </c>
      <c r="C316" t="s">
        <v>36</v>
      </c>
      <c r="D316" t="s">
        <v>1514</v>
      </c>
      <c r="E316">
        <v>100</v>
      </c>
      <c r="F316">
        <v>592</v>
      </c>
      <c r="G316" t="b">
        <v>1</v>
      </c>
      <c r="H316" s="2">
        <v>45009.525358796294</v>
      </c>
      <c r="I316" t="s">
        <v>1515</v>
      </c>
      <c r="N316">
        <v>39.7684</v>
      </c>
      <c r="O316">
        <v>-86.158000000000001</v>
      </c>
      <c r="P316" t="s">
        <v>100</v>
      </c>
      <c r="Q316" t="s">
        <v>95</v>
      </c>
      <c r="R316" t="s">
        <v>1516</v>
      </c>
      <c r="S316" t="s">
        <v>96</v>
      </c>
      <c r="T316">
        <v>76</v>
      </c>
      <c r="V316">
        <v>75</v>
      </c>
      <c r="W316" t="s">
        <v>1517</v>
      </c>
      <c r="X316" s="1" t="s">
        <v>1518</v>
      </c>
      <c r="Y316">
        <v>1</v>
      </c>
      <c r="Z316">
        <v>0.1</v>
      </c>
      <c r="AA316">
        <v>2</v>
      </c>
      <c r="AB316">
        <v>1</v>
      </c>
      <c r="AC316">
        <v>10</v>
      </c>
      <c r="AD316">
        <v>0.1</v>
      </c>
      <c r="AE316">
        <v>100</v>
      </c>
      <c r="AF316" t="s">
        <v>1516</v>
      </c>
      <c r="AG316" t="s">
        <v>125</v>
      </c>
    </row>
    <row r="317" spans="1:33" x14ac:dyDescent="0.2">
      <c r="A317" s="2">
        <v>45009.517962962964</v>
      </c>
      <c r="B317" s="2">
        <v>45009.525381944448</v>
      </c>
      <c r="C317" t="s">
        <v>36</v>
      </c>
      <c r="D317" t="s">
        <v>1519</v>
      </c>
      <c r="E317">
        <v>100</v>
      </c>
      <c r="F317">
        <v>641</v>
      </c>
      <c r="G317" t="b">
        <v>1</v>
      </c>
      <c r="H317" s="2">
        <v>45009.525393518517</v>
      </c>
      <c r="I317" t="s">
        <v>1520</v>
      </c>
      <c r="N317">
        <v>35.383299999999998</v>
      </c>
      <c r="O317">
        <v>-85.394499999999994</v>
      </c>
      <c r="P317" t="s">
        <v>100</v>
      </c>
      <c r="Q317" t="s">
        <v>95</v>
      </c>
      <c r="R317" t="s">
        <v>1521</v>
      </c>
      <c r="S317" t="s">
        <v>96</v>
      </c>
      <c r="V317">
        <v>32</v>
      </c>
      <c r="W317" t="s">
        <v>1522</v>
      </c>
      <c r="X317">
        <v>500</v>
      </c>
      <c r="Y317">
        <v>10</v>
      </c>
      <c r="Z317">
        <v>0.1</v>
      </c>
      <c r="AA317">
        <v>20</v>
      </c>
      <c r="AB317">
        <v>100</v>
      </c>
      <c r="AC317" s="3">
        <v>0.5</v>
      </c>
      <c r="AD317">
        <v>0.1</v>
      </c>
      <c r="AE317">
        <v>5</v>
      </c>
      <c r="AF317" t="s">
        <v>1521</v>
      </c>
      <c r="AG317" t="s">
        <v>111</v>
      </c>
    </row>
    <row r="318" spans="1:33" x14ac:dyDescent="0.2">
      <c r="A318" s="2">
        <v>45009.51734953704</v>
      </c>
      <c r="B318" s="2">
        <v>45009.52553240741</v>
      </c>
      <c r="C318" t="s">
        <v>36</v>
      </c>
      <c r="D318" t="s">
        <v>1523</v>
      </c>
      <c r="E318">
        <v>100</v>
      </c>
      <c r="F318">
        <v>707</v>
      </c>
      <c r="G318" t="b">
        <v>1</v>
      </c>
      <c r="H318" s="2">
        <v>45009.525543981479</v>
      </c>
      <c r="I318" t="s">
        <v>1524</v>
      </c>
      <c r="N318">
        <v>35.319899999999997</v>
      </c>
      <c r="O318">
        <v>-94.401799999999994</v>
      </c>
      <c r="P318" t="s">
        <v>100</v>
      </c>
      <c r="Q318" t="s">
        <v>95</v>
      </c>
      <c r="R318" t="s">
        <v>1525</v>
      </c>
      <c r="S318" t="s">
        <v>96</v>
      </c>
      <c r="V318">
        <v>70</v>
      </c>
      <c r="W318" t="s">
        <v>1526</v>
      </c>
      <c r="X318">
        <v>500</v>
      </c>
      <c r="Y318">
        <v>10</v>
      </c>
      <c r="Z318">
        <v>0.1</v>
      </c>
      <c r="AA318" s="3">
        <v>0.2</v>
      </c>
      <c r="AB318">
        <v>100</v>
      </c>
      <c r="AC318" s="3">
        <v>0.9</v>
      </c>
      <c r="AD318">
        <v>0.05</v>
      </c>
      <c r="AE318">
        <v>5</v>
      </c>
      <c r="AF318" t="s">
        <v>1525</v>
      </c>
      <c r="AG318" t="s">
        <v>111</v>
      </c>
    </row>
    <row r="319" spans="1:33" x14ac:dyDescent="0.2">
      <c r="A319" s="2">
        <v>45009.521168981482</v>
      </c>
      <c r="B319" s="2">
        <v>45009.525567129633</v>
      </c>
      <c r="C319" t="s">
        <v>36</v>
      </c>
      <c r="D319" t="s">
        <v>1527</v>
      </c>
      <c r="E319">
        <v>100</v>
      </c>
      <c r="F319">
        <v>380</v>
      </c>
      <c r="G319" t="b">
        <v>1</v>
      </c>
      <c r="H319" s="2">
        <v>45009.525567129633</v>
      </c>
      <c r="I319" t="s">
        <v>1528</v>
      </c>
      <c r="N319">
        <v>34.029699999999998</v>
      </c>
      <c r="O319">
        <v>-84.146900000000002</v>
      </c>
      <c r="P319" t="s">
        <v>100</v>
      </c>
      <c r="Q319" t="s">
        <v>95</v>
      </c>
      <c r="R319" t="s">
        <v>1529</v>
      </c>
      <c r="S319" t="s">
        <v>96</v>
      </c>
      <c r="V319">
        <v>80</v>
      </c>
      <c r="W319" t="s">
        <v>1530</v>
      </c>
      <c r="X319">
        <v>500</v>
      </c>
      <c r="Y319">
        <v>10</v>
      </c>
      <c r="Z319">
        <v>0.1</v>
      </c>
      <c r="AA319">
        <v>20</v>
      </c>
      <c r="AB319">
        <v>100</v>
      </c>
      <c r="AC319" s="3">
        <v>0.5</v>
      </c>
      <c r="AD319">
        <v>0.05</v>
      </c>
      <c r="AE319" t="s">
        <v>266</v>
      </c>
      <c r="AF319" t="s">
        <v>1529</v>
      </c>
      <c r="AG319" t="s">
        <v>105</v>
      </c>
    </row>
    <row r="320" spans="1:33" x14ac:dyDescent="0.2">
      <c r="A320" s="2">
        <v>45009.520810185182</v>
      </c>
      <c r="B320" s="2">
        <v>45009.525601851848</v>
      </c>
      <c r="C320" t="s">
        <v>36</v>
      </c>
      <c r="D320" t="s">
        <v>1531</v>
      </c>
      <c r="E320">
        <v>100</v>
      </c>
      <c r="F320">
        <v>413</v>
      </c>
      <c r="G320" t="b">
        <v>1</v>
      </c>
      <c r="H320" s="2">
        <v>45009.525601851848</v>
      </c>
      <c r="I320" t="s">
        <v>1532</v>
      </c>
      <c r="N320">
        <v>40.417099999999998</v>
      </c>
      <c r="O320">
        <v>-80.561400000000006</v>
      </c>
      <c r="P320" t="s">
        <v>100</v>
      </c>
      <c r="Q320" t="s">
        <v>95</v>
      </c>
      <c r="R320" t="s">
        <v>1533</v>
      </c>
      <c r="S320" t="s">
        <v>96</v>
      </c>
      <c r="V320">
        <v>0</v>
      </c>
      <c r="W320" t="s">
        <v>1534</v>
      </c>
      <c r="X320">
        <v>500</v>
      </c>
      <c r="Y320">
        <v>1</v>
      </c>
      <c r="Z320" s="4">
        <v>1E-3</v>
      </c>
      <c r="AA320">
        <v>20</v>
      </c>
      <c r="AB320">
        <v>100</v>
      </c>
      <c r="AC320" t="s">
        <v>1535</v>
      </c>
      <c r="AD320">
        <v>0.1</v>
      </c>
      <c r="AE320">
        <v>20</v>
      </c>
      <c r="AF320" t="s">
        <v>1533</v>
      </c>
      <c r="AG320" t="s">
        <v>111</v>
      </c>
    </row>
    <row r="321" spans="1:33" x14ac:dyDescent="0.2">
      <c r="A321" s="2">
        <v>45009.517372685186</v>
      </c>
      <c r="B321" s="2">
        <v>45009.525613425925</v>
      </c>
      <c r="C321" t="s">
        <v>36</v>
      </c>
      <c r="D321" t="s">
        <v>1536</v>
      </c>
      <c r="E321">
        <v>100</v>
      </c>
      <c r="F321">
        <v>712</v>
      </c>
      <c r="G321" t="b">
        <v>1</v>
      </c>
      <c r="H321" s="2">
        <v>45009.525625000002</v>
      </c>
      <c r="I321" t="s">
        <v>1537</v>
      </c>
      <c r="N321">
        <v>33.907299999999999</v>
      </c>
      <c r="O321">
        <v>-118.0087</v>
      </c>
      <c r="P321" t="s">
        <v>100</v>
      </c>
      <c r="Q321" t="s">
        <v>95</v>
      </c>
      <c r="R321" t="s">
        <v>1538</v>
      </c>
      <c r="S321" t="s">
        <v>96</v>
      </c>
      <c r="V321">
        <v>77</v>
      </c>
      <c r="W321" t="s">
        <v>1539</v>
      </c>
      <c r="X321" t="s">
        <v>1540</v>
      </c>
      <c r="Y321" t="s">
        <v>1541</v>
      </c>
      <c r="Z321" s="3">
        <v>0.1</v>
      </c>
      <c r="AA321" s="3">
        <v>0.02</v>
      </c>
      <c r="AB321" t="s">
        <v>1541</v>
      </c>
      <c r="AC321" s="3">
        <v>0.18</v>
      </c>
      <c r="AD321" t="s">
        <v>786</v>
      </c>
      <c r="AE321" t="s">
        <v>266</v>
      </c>
      <c r="AF321" t="s">
        <v>1538</v>
      </c>
      <c r="AG321" t="s">
        <v>111</v>
      </c>
    </row>
    <row r="322" spans="1:33" x14ac:dyDescent="0.2">
      <c r="A322" s="2">
        <v>45009.521631944444</v>
      </c>
      <c r="B322" s="2">
        <v>45009.525763888887</v>
      </c>
      <c r="C322" t="s">
        <v>36</v>
      </c>
      <c r="D322" t="s">
        <v>1542</v>
      </c>
      <c r="E322">
        <v>100</v>
      </c>
      <c r="F322">
        <v>356</v>
      </c>
      <c r="G322" t="b">
        <v>1</v>
      </c>
      <c r="H322" s="2">
        <v>45009.525763888887</v>
      </c>
      <c r="I322" t="s">
        <v>1543</v>
      </c>
      <c r="N322">
        <v>30.4421</v>
      </c>
      <c r="O322">
        <v>-97.633899999999997</v>
      </c>
      <c r="P322" t="s">
        <v>100</v>
      </c>
      <c r="Q322" t="s">
        <v>95</v>
      </c>
      <c r="R322" t="s">
        <v>1544</v>
      </c>
      <c r="S322" t="s">
        <v>96</v>
      </c>
      <c r="V322">
        <v>15</v>
      </c>
      <c r="W322" t="s">
        <v>1545</v>
      </c>
      <c r="X322">
        <v>500</v>
      </c>
      <c r="Y322">
        <v>10</v>
      </c>
      <c r="Z322" s="4">
        <v>1E-3</v>
      </c>
      <c r="AA322">
        <v>20</v>
      </c>
      <c r="AB322">
        <v>100</v>
      </c>
      <c r="AC322">
        <v>10</v>
      </c>
      <c r="AD322" s="5">
        <v>0.05</v>
      </c>
      <c r="AE322" t="s">
        <v>1546</v>
      </c>
      <c r="AF322" t="s">
        <v>1544</v>
      </c>
      <c r="AG322" t="s">
        <v>111</v>
      </c>
    </row>
    <row r="323" spans="1:33" x14ac:dyDescent="0.2">
      <c r="A323" s="2">
        <v>45009.521249999998</v>
      </c>
      <c r="B323" s="2">
        <v>45009.525949074072</v>
      </c>
      <c r="C323" t="s">
        <v>36</v>
      </c>
      <c r="D323" t="s">
        <v>1547</v>
      </c>
      <c r="E323">
        <v>100</v>
      </c>
      <c r="F323">
        <v>406</v>
      </c>
      <c r="G323" t="b">
        <v>1</v>
      </c>
      <c r="H323" s="2">
        <v>45009.525949074072</v>
      </c>
      <c r="I323" t="s">
        <v>1548</v>
      </c>
      <c r="N323">
        <v>34.054400000000001</v>
      </c>
      <c r="O323">
        <v>-118.2441</v>
      </c>
      <c r="P323" t="s">
        <v>100</v>
      </c>
      <c r="Q323" t="s">
        <v>95</v>
      </c>
      <c r="R323" t="s">
        <v>1549</v>
      </c>
      <c r="S323" t="s">
        <v>96</v>
      </c>
      <c r="V323">
        <v>65</v>
      </c>
      <c r="W323" t="s">
        <v>1550</v>
      </c>
      <c r="X323">
        <v>500</v>
      </c>
      <c r="Y323">
        <v>1</v>
      </c>
      <c r="Z323">
        <v>1</v>
      </c>
      <c r="AA323">
        <v>20</v>
      </c>
      <c r="AB323">
        <v>10</v>
      </c>
      <c r="AC323">
        <v>18</v>
      </c>
      <c r="AD323">
        <v>1.05</v>
      </c>
      <c r="AE323">
        <v>5</v>
      </c>
      <c r="AF323" t="s">
        <v>1549</v>
      </c>
      <c r="AG323" t="s">
        <v>105</v>
      </c>
    </row>
    <row r="324" spans="1:33" x14ac:dyDescent="0.2">
      <c r="A324" s="2">
        <v>45009.520520833335</v>
      </c>
      <c r="B324" s="2">
        <v>45009.525949074072</v>
      </c>
      <c r="C324" t="s">
        <v>36</v>
      </c>
      <c r="D324" t="s">
        <v>1551</v>
      </c>
      <c r="E324">
        <v>100</v>
      </c>
      <c r="F324">
        <v>469</v>
      </c>
      <c r="G324" t="b">
        <v>1</v>
      </c>
      <c r="H324" s="2">
        <v>45009.525960648149</v>
      </c>
      <c r="I324" t="s">
        <v>1552</v>
      </c>
      <c r="N324">
        <v>44.872399999999999</v>
      </c>
      <c r="O324">
        <v>-92.819299999999998</v>
      </c>
      <c r="P324" t="s">
        <v>100</v>
      </c>
      <c r="Q324" t="s">
        <v>95</v>
      </c>
      <c r="R324" t="s">
        <v>1553</v>
      </c>
      <c r="S324" t="s">
        <v>96</v>
      </c>
      <c r="V324">
        <v>68</v>
      </c>
      <c r="W324" t="s">
        <v>1554</v>
      </c>
      <c r="X324">
        <v>500</v>
      </c>
      <c r="Y324">
        <v>10</v>
      </c>
      <c r="Z324">
        <v>1E-3</v>
      </c>
      <c r="AA324">
        <v>20</v>
      </c>
      <c r="AB324">
        <v>100</v>
      </c>
      <c r="AC324" s="3">
        <v>0.09</v>
      </c>
      <c r="AD324">
        <v>1.05</v>
      </c>
      <c r="AE324">
        <v>5</v>
      </c>
      <c r="AF324" t="s">
        <v>1553</v>
      </c>
      <c r="AG324" t="s">
        <v>97</v>
      </c>
    </row>
    <row r="325" spans="1:33" x14ac:dyDescent="0.2">
      <c r="A325" s="2">
        <v>45009.520057870373</v>
      </c>
      <c r="B325" s="2">
        <v>45009.525983796295</v>
      </c>
      <c r="C325" t="s">
        <v>36</v>
      </c>
      <c r="D325" t="s">
        <v>1555</v>
      </c>
      <c r="E325">
        <v>100</v>
      </c>
      <c r="F325">
        <v>511</v>
      </c>
      <c r="G325" t="b">
        <v>1</v>
      </c>
      <c r="H325" s="2">
        <v>45009.525983796295</v>
      </c>
      <c r="I325" t="s">
        <v>1556</v>
      </c>
      <c r="N325">
        <v>42.346400000000003</v>
      </c>
      <c r="O325">
        <v>-71.097499999999997</v>
      </c>
      <c r="P325" t="s">
        <v>100</v>
      </c>
      <c r="Q325" t="s">
        <v>95</v>
      </c>
      <c r="R325" t="s">
        <v>1557</v>
      </c>
      <c r="S325" t="s">
        <v>96</v>
      </c>
      <c r="V325">
        <v>61</v>
      </c>
      <c r="W325" t="s">
        <v>1558</v>
      </c>
      <c r="X325">
        <v>500</v>
      </c>
      <c r="Y325">
        <v>10</v>
      </c>
      <c r="Z325">
        <v>0.1</v>
      </c>
      <c r="AA325">
        <v>20</v>
      </c>
      <c r="AB325">
        <v>100</v>
      </c>
      <c r="AC325" s="3">
        <v>0.5</v>
      </c>
      <c r="AD325">
        <v>0.05</v>
      </c>
      <c r="AE325">
        <v>5</v>
      </c>
      <c r="AF325" t="s">
        <v>1557</v>
      </c>
      <c r="AG325" t="s">
        <v>105</v>
      </c>
    </row>
    <row r="326" spans="1:33" x14ac:dyDescent="0.2">
      <c r="A326" s="2">
        <v>45009.518194444441</v>
      </c>
      <c r="B326" s="2">
        <v>45009.525995370372</v>
      </c>
      <c r="C326" t="s">
        <v>36</v>
      </c>
      <c r="D326" t="s">
        <v>1559</v>
      </c>
      <c r="E326">
        <v>100</v>
      </c>
      <c r="F326">
        <v>674</v>
      </c>
      <c r="G326" t="b">
        <v>1</v>
      </c>
      <c r="H326" s="2">
        <v>45009.525995370372</v>
      </c>
      <c r="I326" t="s">
        <v>1560</v>
      </c>
      <c r="N326">
        <v>43.000599999999999</v>
      </c>
      <c r="O326">
        <v>-88.22</v>
      </c>
      <c r="P326" t="s">
        <v>100</v>
      </c>
      <c r="Q326" t="s">
        <v>95</v>
      </c>
      <c r="R326" t="s">
        <v>1561</v>
      </c>
      <c r="S326" t="s">
        <v>96</v>
      </c>
      <c r="V326">
        <v>85</v>
      </c>
      <c r="W326" t="s">
        <v>1562</v>
      </c>
      <c r="X326">
        <v>500</v>
      </c>
      <c r="Y326">
        <v>10</v>
      </c>
      <c r="Z326" s="4">
        <v>1E-3</v>
      </c>
      <c r="AA326" s="3">
        <v>0.2</v>
      </c>
      <c r="AB326">
        <v>100</v>
      </c>
      <c r="AC326" s="3">
        <v>0.9</v>
      </c>
      <c r="AD326" s="5">
        <v>0.05</v>
      </c>
      <c r="AE326" t="s">
        <v>1302</v>
      </c>
      <c r="AF326" t="s">
        <v>1561</v>
      </c>
      <c r="AG326" t="s">
        <v>105</v>
      </c>
    </row>
    <row r="327" spans="1:33" x14ac:dyDescent="0.2">
      <c r="A327" s="2">
        <v>45009.521828703706</v>
      </c>
      <c r="B327" s="2">
        <v>45009.526192129626</v>
      </c>
      <c r="C327" t="s">
        <v>36</v>
      </c>
      <c r="D327" t="s">
        <v>1563</v>
      </c>
      <c r="E327">
        <v>100</v>
      </c>
      <c r="F327">
        <v>376</v>
      </c>
      <c r="G327" t="b">
        <v>1</v>
      </c>
      <c r="H327" s="2">
        <v>45009.526192129626</v>
      </c>
      <c r="I327" t="s">
        <v>1564</v>
      </c>
      <c r="N327">
        <v>33.717300000000002</v>
      </c>
      <c r="O327">
        <v>-84.478300000000004</v>
      </c>
      <c r="P327" t="s">
        <v>100</v>
      </c>
      <c r="Q327" t="s">
        <v>95</v>
      </c>
      <c r="R327" t="s">
        <v>1565</v>
      </c>
      <c r="S327" t="s">
        <v>96</v>
      </c>
      <c r="T327">
        <v>76</v>
      </c>
      <c r="V327">
        <v>70</v>
      </c>
      <c r="W327" t="s">
        <v>1566</v>
      </c>
      <c r="X327">
        <v>500</v>
      </c>
      <c r="Y327">
        <v>100</v>
      </c>
      <c r="Z327" s="3">
        <v>0.01</v>
      </c>
      <c r="AA327" s="3">
        <v>0.2</v>
      </c>
      <c r="AB327">
        <v>100</v>
      </c>
      <c r="AC327" s="3">
        <v>0.1</v>
      </c>
      <c r="AD327">
        <v>0.1</v>
      </c>
      <c r="AE327">
        <v>100</v>
      </c>
      <c r="AF327" t="s">
        <v>1565</v>
      </c>
      <c r="AG327" t="s">
        <v>125</v>
      </c>
    </row>
    <row r="328" spans="1:33" x14ac:dyDescent="0.2">
      <c r="A328" s="2">
        <v>45009.520833333336</v>
      </c>
      <c r="B328" s="2">
        <v>45009.526435185187</v>
      </c>
      <c r="C328" t="s">
        <v>36</v>
      </c>
      <c r="D328" t="s">
        <v>1567</v>
      </c>
      <c r="E328">
        <v>100</v>
      </c>
      <c r="F328">
        <v>483</v>
      </c>
      <c r="G328" t="b">
        <v>1</v>
      </c>
      <c r="H328" s="2">
        <v>45009.526435185187</v>
      </c>
      <c r="I328" t="s">
        <v>1568</v>
      </c>
      <c r="N328">
        <v>32.9636</v>
      </c>
      <c r="O328">
        <v>-96.746799999999993</v>
      </c>
      <c r="P328" t="s">
        <v>100</v>
      </c>
      <c r="Q328" t="s">
        <v>95</v>
      </c>
      <c r="R328" t="s">
        <v>1569</v>
      </c>
      <c r="S328" t="s">
        <v>96</v>
      </c>
      <c r="T328">
        <v>6</v>
      </c>
      <c r="U328">
        <v>25</v>
      </c>
      <c r="V328">
        <v>5</v>
      </c>
      <c r="W328" t="s">
        <v>1570</v>
      </c>
      <c r="X328">
        <v>500</v>
      </c>
      <c r="Y328">
        <v>10</v>
      </c>
      <c r="Z328">
        <v>0.1</v>
      </c>
      <c r="AA328">
        <v>20</v>
      </c>
      <c r="AB328">
        <v>100</v>
      </c>
      <c r="AC328" t="s">
        <v>1571</v>
      </c>
      <c r="AD328">
        <v>0.05</v>
      </c>
      <c r="AE328" t="s">
        <v>1572</v>
      </c>
      <c r="AF328" t="s">
        <v>1569</v>
      </c>
      <c r="AG328" t="s">
        <v>125</v>
      </c>
    </row>
    <row r="329" spans="1:33" x14ac:dyDescent="0.2">
      <c r="A329" s="2">
        <v>45009.516909722224</v>
      </c>
      <c r="B329" s="2">
        <v>45009.526469907411</v>
      </c>
      <c r="C329" t="s">
        <v>36</v>
      </c>
      <c r="D329" t="s">
        <v>1573</v>
      </c>
      <c r="E329">
        <v>100</v>
      </c>
      <c r="F329">
        <v>825</v>
      </c>
      <c r="G329" t="b">
        <v>1</v>
      </c>
      <c r="H329" s="2">
        <v>45009.52648148148</v>
      </c>
      <c r="I329" t="s">
        <v>1574</v>
      </c>
      <c r="N329">
        <v>40.7149</v>
      </c>
      <c r="O329">
        <v>-73.9893</v>
      </c>
      <c r="P329" t="s">
        <v>100</v>
      </c>
      <c r="Q329" t="s">
        <v>95</v>
      </c>
      <c r="R329" t="s">
        <v>1575</v>
      </c>
      <c r="S329" t="s">
        <v>96</v>
      </c>
      <c r="T329">
        <v>25</v>
      </c>
      <c r="U329">
        <v>5</v>
      </c>
      <c r="V329">
        <v>20</v>
      </c>
      <c r="W329" t="s">
        <v>1576</v>
      </c>
      <c r="X329">
        <v>500</v>
      </c>
      <c r="Y329">
        <v>10</v>
      </c>
      <c r="Z329" s="4">
        <v>1E-3</v>
      </c>
      <c r="AA329" s="3">
        <v>0.2</v>
      </c>
      <c r="AB329">
        <v>100</v>
      </c>
      <c r="AC329" s="3">
        <v>0.09</v>
      </c>
      <c r="AD329" s="5">
        <v>0.05</v>
      </c>
      <c r="AE329" t="s">
        <v>104</v>
      </c>
      <c r="AF329" t="s">
        <v>1575</v>
      </c>
      <c r="AG329" t="s">
        <v>125</v>
      </c>
    </row>
    <row r="330" spans="1:33" x14ac:dyDescent="0.2">
      <c r="A330" s="2">
        <v>45009.521944444445</v>
      </c>
      <c r="B330" s="2">
        <v>45009.526643518519</v>
      </c>
      <c r="C330" t="s">
        <v>36</v>
      </c>
      <c r="D330" t="s">
        <v>1577</v>
      </c>
      <c r="E330">
        <v>100</v>
      </c>
      <c r="F330">
        <v>405</v>
      </c>
      <c r="G330" t="b">
        <v>1</v>
      </c>
      <c r="H330" s="2">
        <v>45009.526643518519</v>
      </c>
      <c r="I330" t="s">
        <v>1578</v>
      </c>
      <c r="N330">
        <v>32.209600000000002</v>
      </c>
      <c r="O330">
        <v>-110.97329999999999</v>
      </c>
      <c r="P330" t="s">
        <v>100</v>
      </c>
      <c r="Q330" t="s">
        <v>95</v>
      </c>
      <c r="R330" t="s">
        <v>1579</v>
      </c>
      <c r="S330" t="s">
        <v>96</v>
      </c>
      <c r="V330">
        <v>94</v>
      </c>
      <c r="W330" t="s">
        <v>1580</v>
      </c>
      <c r="X330">
        <v>500</v>
      </c>
      <c r="Y330">
        <v>10</v>
      </c>
      <c r="Z330">
        <v>0.1</v>
      </c>
      <c r="AA330">
        <v>20</v>
      </c>
      <c r="AB330">
        <v>100</v>
      </c>
      <c r="AC330" t="s">
        <v>237</v>
      </c>
      <c r="AD330" s="5">
        <v>0.1</v>
      </c>
      <c r="AE330" t="s">
        <v>104</v>
      </c>
      <c r="AF330" t="s">
        <v>1579</v>
      </c>
      <c r="AG330" t="s">
        <v>97</v>
      </c>
    </row>
    <row r="331" spans="1:33" x14ac:dyDescent="0.2">
      <c r="A331" s="2">
        <v>45009.519444444442</v>
      </c>
      <c r="B331" s="2">
        <v>45009.526747685188</v>
      </c>
      <c r="C331" t="s">
        <v>36</v>
      </c>
      <c r="D331" t="s">
        <v>1581</v>
      </c>
      <c r="E331">
        <v>100</v>
      </c>
      <c r="F331">
        <v>631</v>
      </c>
      <c r="G331" t="b">
        <v>1</v>
      </c>
      <c r="H331" s="2">
        <v>45009.526747685188</v>
      </c>
      <c r="I331" t="s">
        <v>1582</v>
      </c>
      <c r="N331">
        <v>29.554200000000002</v>
      </c>
      <c r="O331">
        <v>-95.732500000000002</v>
      </c>
      <c r="P331" t="s">
        <v>100</v>
      </c>
      <c r="Q331" t="s">
        <v>95</v>
      </c>
      <c r="R331" t="s">
        <v>1583</v>
      </c>
      <c r="S331" t="s">
        <v>96</v>
      </c>
      <c r="V331">
        <v>73</v>
      </c>
      <c r="W331" t="s">
        <v>1584</v>
      </c>
      <c r="X331">
        <v>500</v>
      </c>
      <c r="Y331">
        <v>10</v>
      </c>
      <c r="Z331" s="4">
        <v>1E-3</v>
      </c>
      <c r="AA331">
        <v>20</v>
      </c>
      <c r="AB331">
        <v>100</v>
      </c>
      <c r="AC331" s="3">
        <v>0.1</v>
      </c>
      <c r="AD331">
        <v>0.05</v>
      </c>
      <c r="AE331" t="s">
        <v>104</v>
      </c>
      <c r="AF331" t="s">
        <v>1583</v>
      </c>
      <c r="AG331" t="s">
        <v>97</v>
      </c>
    </row>
    <row r="332" spans="1:33" x14ac:dyDescent="0.2">
      <c r="A332" s="2">
        <v>45009.519988425927</v>
      </c>
      <c r="B332" s="2">
        <v>45009.526759259257</v>
      </c>
      <c r="C332" t="s">
        <v>36</v>
      </c>
      <c r="D332" t="s">
        <v>1585</v>
      </c>
      <c r="E332">
        <v>100</v>
      </c>
      <c r="F332">
        <v>584</v>
      </c>
      <c r="G332" t="b">
        <v>1</v>
      </c>
      <c r="H332" s="2">
        <v>45009.526759259257</v>
      </c>
      <c r="I332" t="s">
        <v>1586</v>
      </c>
      <c r="N332">
        <v>38.886499999999998</v>
      </c>
      <c r="O332">
        <v>-77.091099999999997</v>
      </c>
      <c r="P332" t="s">
        <v>100</v>
      </c>
      <c r="Q332" t="s">
        <v>95</v>
      </c>
      <c r="R332" t="s">
        <v>1587</v>
      </c>
      <c r="S332" t="s">
        <v>96</v>
      </c>
      <c r="V332">
        <v>100</v>
      </c>
      <c r="W332" t="s">
        <v>1588</v>
      </c>
      <c r="X332">
        <v>500</v>
      </c>
      <c r="Y332">
        <v>10</v>
      </c>
      <c r="Z332" s="4">
        <v>1E-3</v>
      </c>
      <c r="AA332">
        <v>20</v>
      </c>
      <c r="AB332">
        <v>100</v>
      </c>
      <c r="AC332" s="3">
        <v>0.1</v>
      </c>
      <c r="AD332">
        <v>0.05</v>
      </c>
      <c r="AE332" t="s">
        <v>104</v>
      </c>
      <c r="AF332" t="s">
        <v>1587</v>
      </c>
      <c r="AG332" t="s">
        <v>97</v>
      </c>
    </row>
    <row r="333" spans="1:33" x14ac:dyDescent="0.2">
      <c r="A333" s="2">
        <v>45009.517881944441</v>
      </c>
      <c r="B333" s="2">
        <v>45009.526932870373</v>
      </c>
      <c r="C333" t="s">
        <v>36</v>
      </c>
      <c r="D333" t="s">
        <v>1589</v>
      </c>
      <c r="E333">
        <v>100</v>
      </c>
      <c r="F333">
        <v>782</v>
      </c>
      <c r="G333" t="b">
        <v>1</v>
      </c>
      <c r="H333" s="2">
        <v>45009.526944444442</v>
      </c>
      <c r="I333" t="s">
        <v>1590</v>
      </c>
      <c r="N333">
        <v>36.7943</v>
      </c>
      <c r="O333">
        <v>-119.8856</v>
      </c>
      <c r="P333" t="s">
        <v>100</v>
      </c>
      <c r="Q333" t="s">
        <v>95</v>
      </c>
      <c r="R333" t="s">
        <v>1591</v>
      </c>
      <c r="S333" t="s">
        <v>96</v>
      </c>
      <c r="V333">
        <v>10</v>
      </c>
      <c r="W333" t="s">
        <v>1592</v>
      </c>
      <c r="X333">
        <v>500</v>
      </c>
      <c r="Y333">
        <v>10</v>
      </c>
      <c r="Z333" s="4">
        <v>1E-3</v>
      </c>
      <c r="AA333">
        <v>20</v>
      </c>
      <c r="AB333">
        <v>100</v>
      </c>
      <c r="AC333" s="3">
        <v>0.5</v>
      </c>
      <c r="AD333">
        <v>0.05</v>
      </c>
      <c r="AE333" t="s">
        <v>104</v>
      </c>
      <c r="AF333" t="s">
        <v>1591</v>
      </c>
      <c r="AG333" t="s">
        <v>111</v>
      </c>
    </row>
    <row r="334" spans="1:33" x14ac:dyDescent="0.2">
      <c r="A334" s="2">
        <v>45009.50885416667</v>
      </c>
      <c r="B334" s="2">
        <v>45009.526956018519</v>
      </c>
      <c r="C334" t="s">
        <v>36</v>
      </c>
      <c r="D334" t="s">
        <v>1593</v>
      </c>
      <c r="E334">
        <v>100</v>
      </c>
      <c r="F334">
        <v>1564</v>
      </c>
      <c r="G334" t="b">
        <v>1</v>
      </c>
      <c r="H334" s="2">
        <v>45009.526967592596</v>
      </c>
      <c r="I334" t="s">
        <v>1594</v>
      </c>
      <c r="N334">
        <v>40.269199999999998</v>
      </c>
      <c r="O334">
        <v>-80.161100000000005</v>
      </c>
      <c r="P334" t="s">
        <v>100</v>
      </c>
      <c r="Q334" t="s">
        <v>95</v>
      </c>
      <c r="R334" t="s">
        <v>1595</v>
      </c>
      <c r="S334" t="s">
        <v>96</v>
      </c>
      <c r="V334">
        <v>51</v>
      </c>
      <c r="W334" t="s">
        <v>1596</v>
      </c>
      <c r="X334">
        <v>500</v>
      </c>
      <c r="Y334">
        <v>10</v>
      </c>
      <c r="Z334">
        <v>0.1</v>
      </c>
      <c r="AA334">
        <v>20</v>
      </c>
      <c r="AB334">
        <v>100</v>
      </c>
      <c r="AC334">
        <v>9</v>
      </c>
      <c r="AD334">
        <v>10</v>
      </c>
      <c r="AE334">
        <v>5</v>
      </c>
      <c r="AF334" t="s">
        <v>1595</v>
      </c>
      <c r="AG334" t="s">
        <v>97</v>
      </c>
    </row>
    <row r="335" spans="1:33" x14ac:dyDescent="0.2">
      <c r="A335" s="2">
        <v>45009.521770833337</v>
      </c>
      <c r="B335" s="2">
        <v>45009.527037037034</v>
      </c>
      <c r="C335" t="s">
        <v>36</v>
      </c>
      <c r="D335" t="s">
        <v>1597</v>
      </c>
      <c r="E335">
        <v>100</v>
      </c>
      <c r="F335">
        <v>454</v>
      </c>
      <c r="G335" t="b">
        <v>1</v>
      </c>
      <c r="H335" s="2">
        <v>45009.527048611111</v>
      </c>
      <c r="I335" t="s">
        <v>1598</v>
      </c>
      <c r="N335">
        <v>43.616500000000002</v>
      </c>
      <c r="O335">
        <v>-116.20010000000001</v>
      </c>
      <c r="P335" t="s">
        <v>100</v>
      </c>
      <c r="Q335" t="s">
        <v>95</v>
      </c>
      <c r="R335" t="s">
        <v>1599</v>
      </c>
      <c r="S335" t="s">
        <v>96</v>
      </c>
      <c r="T335">
        <v>0</v>
      </c>
      <c r="U335" s="3">
        <v>0.2</v>
      </c>
      <c r="V335">
        <v>0</v>
      </c>
      <c r="W335" t="s">
        <v>1600</v>
      </c>
      <c r="X335">
        <v>500</v>
      </c>
      <c r="Y335">
        <v>10</v>
      </c>
      <c r="Z335">
        <v>1E-3</v>
      </c>
      <c r="AA335">
        <v>20</v>
      </c>
      <c r="AB335">
        <v>100</v>
      </c>
      <c r="AC335" s="3">
        <v>0.18</v>
      </c>
      <c r="AD335" s="5">
        <v>0.1</v>
      </c>
      <c r="AE335" t="s">
        <v>266</v>
      </c>
      <c r="AF335" t="s">
        <v>1599</v>
      </c>
      <c r="AG335" t="s">
        <v>125</v>
      </c>
    </row>
    <row r="336" spans="1:33" x14ac:dyDescent="0.2">
      <c r="A336" s="2">
        <v>45009.521689814814</v>
      </c>
      <c r="B336" s="2">
        <v>45009.52715277778</v>
      </c>
      <c r="C336" t="s">
        <v>36</v>
      </c>
      <c r="D336" t="s">
        <v>1601</v>
      </c>
      <c r="E336">
        <v>100</v>
      </c>
      <c r="F336">
        <v>471</v>
      </c>
      <c r="G336" t="b">
        <v>1</v>
      </c>
      <c r="H336" s="2">
        <v>45009.52715277778</v>
      </c>
      <c r="I336" t="s">
        <v>1602</v>
      </c>
      <c r="N336">
        <v>32.791600000000003</v>
      </c>
      <c r="O336">
        <v>-116.971</v>
      </c>
      <c r="P336" t="s">
        <v>100</v>
      </c>
      <c r="Q336" t="s">
        <v>95</v>
      </c>
      <c r="R336" t="s">
        <v>1603</v>
      </c>
      <c r="S336" t="s">
        <v>96</v>
      </c>
      <c r="T336">
        <v>100</v>
      </c>
      <c r="V336">
        <v>100</v>
      </c>
      <c r="W336" t="s">
        <v>1604</v>
      </c>
      <c r="X336">
        <v>500</v>
      </c>
      <c r="Y336">
        <v>10</v>
      </c>
      <c r="Z336">
        <v>0.1</v>
      </c>
      <c r="AA336">
        <v>20</v>
      </c>
      <c r="AB336">
        <v>100</v>
      </c>
      <c r="AC336">
        <v>9</v>
      </c>
      <c r="AD336">
        <v>0.1</v>
      </c>
      <c r="AE336">
        <v>5</v>
      </c>
      <c r="AF336" t="s">
        <v>1603</v>
      </c>
      <c r="AG336" t="s">
        <v>125</v>
      </c>
    </row>
    <row r="337" spans="1:35" x14ac:dyDescent="0.2">
      <c r="A337" s="2">
        <v>45009.515879629631</v>
      </c>
      <c r="B337" s="2">
        <v>45009.52716435185</v>
      </c>
      <c r="C337" t="s">
        <v>36</v>
      </c>
      <c r="D337" t="s">
        <v>1605</v>
      </c>
      <c r="E337">
        <v>100</v>
      </c>
      <c r="F337">
        <v>974</v>
      </c>
      <c r="G337" t="b">
        <v>1</v>
      </c>
      <c r="H337" s="2">
        <v>45009.52716435185</v>
      </c>
      <c r="I337" t="s">
        <v>1606</v>
      </c>
      <c r="N337">
        <v>31.142800000000001</v>
      </c>
      <c r="O337">
        <v>-93.256600000000006</v>
      </c>
      <c r="P337" t="s">
        <v>100</v>
      </c>
      <c r="Q337" t="s">
        <v>95</v>
      </c>
      <c r="R337" t="s">
        <v>1607</v>
      </c>
      <c r="S337" t="s">
        <v>96</v>
      </c>
      <c r="V337">
        <v>71</v>
      </c>
      <c r="W337" t="s">
        <v>1608</v>
      </c>
      <c r="X337">
        <v>700</v>
      </c>
      <c r="Y337">
        <v>10</v>
      </c>
      <c r="Z337" s="3">
        <v>0.1</v>
      </c>
      <c r="AA337" s="3">
        <v>0.02</v>
      </c>
      <c r="AB337" s="3">
        <v>0.01</v>
      </c>
      <c r="AC337">
        <v>10</v>
      </c>
      <c r="AD337">
        <v>10</v>
      </c>
      <c r="AE337">
        <v>100</v>
      </c>
      <c r="AF337" t="s">
        <v>1607</v>
      </c>
      <c r="AG337" t="s">
        <v>97</v>
      </c>
    </row>
    <row r="338" spans="1:35" x14ac:dyDescent="0.2">
      <c r="A338" s="2">
        <v>45009.513657407406</v>
      </c>
      <c r="B338" s="2">
        <v>45009.52716435185</v>
      </c>
      <c r="C338" t="s">
        <v>36</v>
      </c>
      <c r="D338" t="s">
        <v>1609</v>
      </c>
      <c r="E338">
        <v>100</v>
      </c>
      <c r="F338">
        <v>1166</v>
      </c>
      <c r="G338" t="b">
        <v>1</v>
      </c>
      <c r="H338" s="2">
        <v>45009.52716435185</v>
      </c>
      <c r="I338" t="s">
        <v>1610</v>
      </c>
      <c r="N338">
        <v>32.776699999999998</v>
      </c>
      <c r="O338">
        <v>-96.805000000000007</v>
      </c>
      <c r="P338" t="s">
        <v>100</v>
      </c>
      <c r="Q338" t="s">
        <v>95</v>
      </c>
      <c r="R338" t="s">
        <v>1611</v>
      </c>
      <c r="S338" t="s">
        <v>96</v>
      </c>
      <c r="V338">
        <v>60</v>
      </c>
      <c r="W338" t="s">
        <v>1612</v>
      </c>
      <c r="X338">
        <v>500</v>
      </c>
      <c r="Y338">
        <v>10</v>
      </c>
      <c r="Z338" s="4">
        <v>1E-3</v>
      </c>
      <c r="AA338">
        <v>20</v>
      </c>
      <c r="AB338">
        <v>100</v>
      </c>
      <c r="AC338" s="3">
        <v>0.1</v>
      </c>
      <c r="AD338">
        <v>0.1</v>
      </c>
      <c r="AE338" t="s">
        <v>266</v>
      </c>
      <c r="AF338" t="s">
        <v>1611</v>
      </c>
      <c r="AG338" t="s">
        <v>105</v>
      </c>
    </row>
    <row r="339" spans="1:35" x14ac:dyDescent="0.2">
      <c r="A339" s="2">
        <v>45009.51871527778</v>
      </c>
      <c r="B339" s="2">
        <v>45009.527222222219</v>
      </c>
      <c r="C339" t="s">
        <v>36</v>
      </c>
      <c r="D339" t="s">
        <v>1613</v>
      </c>
      <c r="E339">
        <v>100</v>
      </c>
      <c r="F339">
        <v>734</v>
      </c>
      <c r="G339" t="b">
        <v>1</v>
      </c>
      <c r="H339" s="2">
        <v>45009.527233796296</v>
      </c>
      <c r="I339" t="s">
        <v>1614</v>
      </c>
      <c r="N339">
        <v>40.6877</v>
      </c>
      <c r="O339">
        <v>-73.926699999999997</v>
      </c>
      <c r="P339" t="s">
        <v>100</v>
      </c>
      <c r="Q339" t="s">
        <v>95</v>
      </c>
      <c r="R339" s="6" t="s">
        <v>1615</v>
      </c>
      <c r="S339" t="s">
        <v>96</v>
      </c>
      <c r="V339">
        <v>100</v>
      </c>
      <c r="W339" t="s">
        <v>1616</v>
      </c>
      <c r="X339">
        <v>500</v>
      </c>
      <c r="Y339">
        <v>10</v>
      </c>
      <c r="Z339">
        <v>0.01</v>
      </c>
      <c r="AA339">
        <v>20</v>
      </c>
      <c r="AB339">
        <v>100</v>
      </c>
      <c r="AC339">
        <v>90</v>
      </c>
      <c r="AD339">
        <v>0.1</v>
      </c>
      <c r="AE339">
        <v>100</v>
      </c>
      <c r="AF339" s="6" t="s">
        <v>1615</v>
      </c>
      <c r="AG339" t="s">
        <v>105</v>
      </c>
    </row>
    <row r="340" spans="1:35" x14ac:dyDescent="0.2">
      <c r="A340" s="2">
        <v>45009.521122685182</v>
      </c>
      <c r="B340" s="2">
        <v>45009.527233796296</v>
      </c>
      <c r="C340" t="s">
        <v>36</v>
      </c>
      <c r="D340" t="s">
        <v>1617</v>
      </c>
      <c r="E340">
        <v>100</v>
      </c>
      <c r="F340">
        <v>527</v>
      </c>
      <c r="G340" t="b">
        <v>1</v>
      </c>
      <c r="H340" s="2">
        <v>45009.527233796296</v>
      </c>
      <c r="I340" t="s">
        <v>1618</v>
      </c>
      <c r="N340">
        <v>38.661999999999999</v>
      </c>
      <c r="O340">
        <v>-90.288899999999998</v>
      </c>
      <c r="P340" t="s">
        <v>100</v>
      </c>
      <c r="Q340" t="s">
        <v>95</v>
      </c>
      <c r="R340" t="s">
        <v>1619</v>
      </c>
      <c r="S340" t="s">
        <v>96</v>
      </c>
      <c r="V340">
        <v>60</v>
      </c>
      <c r="W340" t="s">
        <v>1620</v>
      </c>
      <c r="X340">
        <v>500</v>
      </c>
      <c r="Y340">
        <v>10</v>
      </c>
      <c r="Z340">
        <v>0.1</v>
      </c>
      <c r="AA340">
        <v>20</v>
      </c>
      <c r="AB340">
        <v>100</v>
      </c>
      <c r="AC340">
        <v>10</v>
      </c>
      <c r="AD340">
        <v>0.1</v>
      </c>
      <c r="AE340" t="s">
        <v>1546</v>
      </c>
      <c r="AF340" t="s">
        <v>1619</v>
      </c>
      <c r="AG340" t="s">
        <v>111</v>
      </c>
    </row>
    <row r="341" spans="1:35" x14ac:dyDescent="0.2">
      <c r="A341" s="2">
        <v>45009.518912037034</v>
      </c>
      <c r="B341" s="2">
        <v>45009.527233796296</v>
      </c>
      <c r="C341" t="s">
        <v>36</v>
      </c>
      <c r="D341" t="s">
        <v>1621</v>
      </c>
      <c r="E341">
        <v>100</v>
      </c>
      <c r="F341">
        <v>719</v>
      </c>
      <c r="G341" t="b">
        <v>1</v>
      </c>
      <c r="H341" s="2">
        <v>45009.527233796296</v>
      </c>
      <c r="I341" t="s">
        <v>1622</v>
      </c>
      <c r="N341">
        <v>38.893999999999998</v>
      </c>
      <c r="O341">
        <v>-77.036500000000004</v>
      </c>
      <c r="P341" t="s">
        <v>100</v>
      </c>
      <c r="Q341" t="s">
        <v>95</v>
      </c>
      <c r="R341" t="s">
        <v>1623</v>
      </c>
      <c r="S341" t="s">
        <v>96</v>
      </c>
      <c r="V341">
        <v>61</v>
      </c>
      <c r="W341" t="s">
        <v>1624</v>
      </c>
      <c r="X341">
        <v>500</v>
      </c>
      <c r="Y341">
        <v>10</v>
      </c>
      <c r="Z341">
        <v>0.1</v>
      </c>
      <c r="AA341">
        <v>20</v>
      </c>
      <c r="AB341">
        <v>100</v>
      </c>
      <c r="AC341" s="3">
        <v>0.9</v>
      </c>
      <c r="AD341">
        <v>0.1</v>
      </c>
      <c r="AE341" t="s">
        <v>266</v>
      </c>
      <c r="AF341" t="s">
        <v>1623</v>
      </c>
      <c r="AG341" t="s">
        <v>105</v>
      </c>
    </row>
    <row r="342" spans="1:35" ht="34" x14ac:dyDescent="0.2">
      <c r="A342" s="2">
        <v>45009.508819444447</v>
      </c>
      <c r="B342" s="2">
        <v>45009.527256944442</v>
      </c>
      <c r="C342" t="s">
        <v>36</v>
      </c>
      <c r="D342" t="s">
        <v>1625</v>
      </c>
      <c r="E342">
        <v>100</v>
      </c>
      <c r="F342">
        <v>1593</v>
      </c>
      <c r="G342" t="b">
        <v>1</v>
      </c>
      <c r="H342" s="2">
        <v>45009.527256944442</v>
      </c>
      <c r="I342" t="s">
        <v>1626</v>
      </c>
      <c r="N342">
        <v>32.695700000000002</v>
      </c>
      <c r="O342">
        <v>-97.090699999999998</v>
      </c>
      <c r="P342" t="s">
        <v>100</v>
      </c>
      <c r="Q342" t="s">
        <v>95</v>
      </c>
      <c r="R342" t="s">
        <v>1627</v>
      </c>
      <c r="S342" t="s">
        <v>96</v>
      </c>
      <c r="V342">
        <v>92</v>
      </c>
      <c r="W342" t="s">
        <v>1628</v>
      </c>
      <c r="X342" s="1" t="s">
        <v>1518</v>
      </c>
      <c r="Y342">
        <v>10</v>
      </c>
      <c r="Z342">
        <v>1</v>
      </c>
      <c r="AA342">
        <v>20</v>
      </c>
      <c r="AB342">
        <v>100</v>
      </c>
      <c r="AC342">
        <v>50</v>
      </c>
      <c r="AD342">
        <v>0.05</v>
      </c>
      <c r="AE342">
        <v>5</v>
      </c>
      <c r="AF342" t="s">
        <v>1627</v>
      </c>
      <c r="AG342" t="s">
        <v>97</v>
      </c>
    </row>
    <row r="343" spans="1:35" x14ac:dyDescent="0.2">
      <c r="A343" s="2">
        <v>45009.520902777775</v>
      </c>
      <c r="B343" s="2">
        <v>45009.527268518519</v>
      </c>
      <c r="C343" t="s">
        <v>36</v>
      </c>
      <c r="D343" t="s">
        <v>1629</v>
      </c>
      <c r="E343">
        <v>100</v>
      </c>
      <c r="F343">
        <v>550</v>
      </c>
      <c r="G343" t="b">
        <v>1</v>
      </c>
      <c r="H343" s="2">
        <v>45009.527280092596</v>
      </c>
      <c r="I343" t="s">
        <v>1630</v>
      </c>
      <c r="N343">
        <v>40.8123</v>
      </c>
      <c r="O343">
        <v>-73.968199999999996</v>
      </c>
      <c r="P343" t="s">
        <v>100</v>
      </c>
      <c r="Q343" t="s">
        <v>95</v>
      </c>
      <c r="R343" t="s">
        <v>1631</v>
      </c>
      <c r="S343" t="s">
        <v>96</v>
      </c>
      <c r="V343">
        <v>53</v>
      </c>
      <c r="W343" t="s">
        <v>1632</v>
      </c>
      <c r="X343">
        <v>500</v>
      </c>
      <c r="Y343" s="5">
        <v>10</v>
      </c>
      <c r="Z343" s="4">
        <v>1E-3</v>
      </c>
      <c r="AA343" s="3">
        <v>0.2</v>
      </c>
      <c r="AB343" s="3">
        <v>0.1</v>
      </c>
      <c r="AC343" s="3">
        <v>0.1</v>
      </c>
      <c r="AD343" t="s">
        <v>159</v>
      </c>
      <c r="AE343" t="s">
        <v>530</v>
      </c>
      <c r="AF343" t="s">
        <v>1631</v>
      </c>
      <c r="AG343" t="s">
        <v>111</v>
      </c>
      <c r="AI343" t="s">
        <v>1941</v>
      </c>
    </row>
    <row r="344" spans="1:35" x14ac:dyDescent="0.2">
      <c r="A344" s="2">
        <v>45009.521099537036</v>
      </c>
      <c r="B344" s="2">
        <v>45009.527291666665</v>
      </c>
      <c r="C344" t="s">
        <v>36</v>
      </c>
      <c r="D344" t="s">
        <v>1633</v>
      </c>
      <c r="E344">
        <v>100</v>
      </c>
      <c r="F344">
        <v>534</v>
      </c>
      <c r="G344" t="b">
        <v>1</v>
      </c>
      <c r="H344" s="2">
        <v>45009.527303240742</v>
      </c>
      <c r="I344" t="s">
        <v>1634</v>
      </c>
      <c r="N344">
        <v>40.017200000000003</v>
      </c>
      <c r="O344">
        <v>-75.088300000000004</v>
      </c>
      <c r="P344" t="s">
        <v>100</v>
      </c>
      <c r="Q344" t="s">
        <v>95</v>
      </c>
      <c r="R344" t="s">
        <v>1635</v>
      </c>
      <c r="S344" t="s">
        <v>96</v>
      </c>
      <c r="T344">
        <v>69</v>
      </c>
      <c r="V344">
        <v>65</v>
      </c>
      <c r="W344" t="s">
        <v>1632</v>
      </c>
      <c r="X344">
        <v>500</v>
      </c>
      <c r="Y344" s="5">
        <v>10</v>
      </c>
      <c r="Z344" s="4">
        <v>1E-3</v>
      </c>
      <c r="AA344" s="3">
        <v>0.2</v>
      </c>
      <c r="AB344" s="3">
        <v>0.1</v>
      </c>
      <c r="AC344" s="3">
        <v>0.1</v>
      </c>
      <c r="AD344" t="s">
        <v>159</v>
      </c>
      <c r="AE344" t="s">
        <v>530</v>
      </c>
      <c r="AF344" t="s">
        <v>1635</v>
      </c>
      <c r="AG344" t="s">
        <v>125</v>
      </c>
      <c r="AI344" t="s">
        <v>1941</v>
      </c>
    </row>
    <row r="345" spans="1:35" x14ac:dyDescent="0.2">
      <c r="A345" s="2">
        <v>45009.522037037037</v>
      </c>
      <c r="B345" s="2">
        <v>45009.527453703704</v>
      </c>
      <c r="C345" t="s">
        <v>36</v>
      </c>
      <c r="D345" t="s">
        <v>1636</v>
      </c>
      <c r="E345">
        <v>100</v>
      </c>
      <c r="F345">
        <v>467</v>
      </c>
      <c r="G345" t="b">
        <v>1</v>
      </c>
      <c r="H345" s="2">
        <v>45009.527453703704</v>
      </c>
      <c r="I345" t="s">
        <v>1637</v>
      </c>
      <c r="N345">
        <v>39.340699999999998</v>
      </c>
      <c r="O345">
        <v>-76.675299999999993</v>
      </c>
      <c r="P345" t="s">
        <v>100</v>
      </c>
      <c r="Q345" t="s">
        <v>95</v>
      </c>
      <c r="R345" t="s">
        <v>1638</v>
      </c>
      <c r="S345" t="s">
        <v>96</v>
      </c>
      <c r="T345">
        <v>50</v>
      </c>
      <c r="V345">
        <v>50</v>
      </c>
      <c r="W345" t="s">
        <v>1639</v>
      </c>
      <c r="X345">
        <v>500</v>
      </c>
      <c r="Y345">
        <v>10</v>
      </c>
      <c r="Z345" s="3">
        <v>0.01</v>
      </c>
      <c r="AA345" s="3">
        <v>0.2</v>
      </c>
      <c r="AB345">
        <v>10</v>
      </c>
      <c r="AC345" s="3">
        <v>0.1</v>
      </c>
      <c r="AD345">
        <v>0.1</v>
      </c>
      <c r="AE345">
        <v>100</v>
      </c>
      <c r="AF345" t="s">
        <v>1638</v>
      </c>
      <c r="AG345" t="s">
        <v>125</v>
      </c>
    </row>
    <row r="346" spans="1:35" x14ac:dyDescent="0.2">
      <c r="A346" s="2">
        <v>45009.52002314815</v>
      </c>
      <c r="B346" s="2">
        <v>45009.527581018519</v>
      </c>
      <c r="C346" t="s">
        <v>36</v>
      </c>
      <c r="D346" t="s">
        <v>1640</v>
      </c>
      <c r="E346">
        <v>100</v>
      </c>
      <c r="F346">
        <v>652</v>
      </c>
      <c r="G346" t="b">
        <v>1</v>
      </c>
      <c r="H346" s="2">
        <v>45009.527581018519</v>
      </c>
      <c r="I346" t="s">
        <v>1641</v>
      </c>
      <c r="N346">
        <v>35.366399999999999</v>
      </c>
      <c r="O346">
        <v>-77.9221</v>
      </c>
      <c r="P346" t="s">
        <v>100</v>
      </c>
      <c r="Q346" t="s">
        <v>95</v>
      </c>
      <c r="R346" t="s">
        <v>1642</v>
      </c>
      <c r="S346" t="s">
        <v>96</v>
      </c>
      <c r="V346">
        <v>100</v>
      </c>
      <c r="W346" t="s">
        <v>1643</v>
      </c>
      <c r="X346">
        <v>250</v>
      </c>
      <c r="Y346">
        <v>100</v>
      </c>
      <c r="Z346" s="4">
        <v>1E-3</v>
      </c>
      <c r="AA346">
        <v>20</v>
      </c>
      <c r="AB346">
        <v>100</v>
      </c>
      <c r="AC346" s="3">
        <v>0.9</v>
      </c>
      <c r="AD346" t="s">
        <v>1644</v>
      </c>
      <c r="AE346" t="s">
        <v>104</v>
      </c>
      <c r="AF346" t="s">
        <v>1642</v>
      </c>
      <c r="AG346" t="s">
        <v>111</v>
      </c>
    </row>
    <row r="347" spans="1:35" x14ac:dyDescent="0.2">
      <c r="A347" s="2">
        <v>45009.521458333336</v>
      </c>
      <c r="B347" s="2">
        <v>45009.527615740742</v>
      </c>
      <c r="C347" t="s">
        <v>36</v>
      </c>
      <c r="D347" t="s">
        <v>1645</v>
      </c>
      <c r="E347">
        <v>100</v>
      </c>
      <c r="F347">
        <v>531</v>
      </c>
      <c r="G347" t="b">
        <v>1</v>
      </c>
      <c r="H347" s="2">
        <v>45009.527615740742</v>
      </c>
      <c r="I347" t="s">
        <v>1646</v>
      </c>
      <c r="N347">
        <v>39.888199999999998</v>
      </c>
      <c r="O347">
        <v>-76.9953</v>
      </c>
      <c r="P347" t="s">
        <v>100</v>
      </c>
      <c r="Q347" t="s">
        <v>95</v>
      </c>
      <c r="R347" t="s">
        <v>1647</v>
      </c>
      <c r="S347" t="s">
        <v>96</v>
      </c>
      <c r="T347">
        <v>15</v>
      </c>
      <c r="U347">
        <v>40</v>
      </c>
      <c r="V347">
        <v>25</v>
      </c>
      <c r="W347" t="s">
        <v>1648</v>
      </c>
      <c r="X347">
        <v>500</v>
      </c>
      <c r="Y347">
        <v>10</v>
      </c>
      <c r="Z347" s="4">
        <v>1E-3</v>
      </c>
      <c r="AA347" s="3">
        <v>0.25</v>
      </c>
      <c r="AB347">
        <v>100</v>
      </c>
      <c r="AC347" s="3">
        <v>0.1</v>
      </c>
      <c r="AD347">
        <v>0.1</v>
      </c>
      <c r="AE347" t="s">
        <v>104</v>
      </c>
      <c r="AF347" t="s">
        <v>1647</v>
      </c>
      <c r="AG347" t="s">
        <v>125</v>
      </c>
    </row>
    <row r="348" spans="1:35" x14ac:dyDescent="0.2">
      <c r="A348" s="2">
        <v>45009.519409722219</v>
      </c>
      <c r="B348" s="2">
        <v>45009.527650462966</v>
      </c>
      <c r="C348" t="s">
        <v>36</v>
      </c>
      <c r="D348" t="s">
        <v>1649</v>
      </c>
      <c r="E348">
        <v>100</v>
      </c>
      <c r="F348">
        <v>711</v>
      </c>
      <c r="G348" t="b">
        <v>1</v>
      </c>
      <c r="H348" s="2">
        <v>45009.527650462966</v>
      </c>
      <c r="I348" t="s">
        <v>1650</v>
      </c>
      <c r="N348">
        <v>37.6965</v>
      </c>
      <c r="O348">
        <v>-97.343500000000006</v>
      </c>
      <c r="P348" t="s">
        <v>100</v>
      </c>
      <c r="Q348" t="s">
        <v>95</v>
      </c>
      <c r="R348" t="s">
        <v>1651</v>
      </c>
      <c r="S348" t="s">
        <v>96</v>
      </c>
      <c r="V348">
        <v>70</v>
      </c>
      <c r="W348" t="s">
        <v>1652</v>
      </c>
      <c r="X348">
        <v>500</v>
      </c>
      <c r="Y348">
        <v>10</v>
      </c>
      <c r="Z348" s="4">
        <v>1E-3</v>
      </c>
      <c r="AA348">
        <v>20</v>
      </c>
      <c r="AB348">
        <v>100</v>
      </c>
      <c r="AC348" s="3">
        <v>0.9</v>
      </c>
      <c r="AD348" s="5">
        <v>0.05</v>
      </c>
      <c r="AE348" t="s">
        <v>104</v>
      </c>
      <c r="AF348" t="s">
        <v>1651</v>
      </c>
      <c r="AG348" t="s">
        <v>105</v>
      </c>
    </row>
    <row r="349" spans="1:35" x14ac:dyDescent="0.2">
      <c r="A349" s="2">
        <v>45009.521585648145</v>
      </c>
      <c r="B349" s="2">
        <v>45009.527650462966</v>
      </c>
      <c r="C349" t="s">
        <v>36</v>
      </c>
      <c r="D349" t="s">
        <v>1653</v>
      </c>
      <c r="E349">
        <v>100</v>
      </c>
      <c r="F349">
        <v>523</v>
      </c>
      <c r="G349" t="b">
        <v>1</v>
      </c>
      <c r="H349" s="2">
        <v>45009.527650462966</v>
      </c>
      <c r="I349" t="s">
        <v>1654</v>
      </c>
      <c r="N349">
        <v>40.935000000000002</v>
      </c>
      <c r="O349">
        <v>-74.117599999999996</v>
      </c>
      <c r="P349" t="s">
        <v>100</v>
      </c>
      <c r="Q349" t="s">
        <v>95</v>
      </c>
      <c r="R349" t="s">
        <v>1655</v>
      </c>
      <c r="S349" t="s">
        <v>96</v>
      </c>
      <c r="V349">
        <v>10</v>
      </c>
      <c r="W349" t="s">
        <v>1656</v>
      </c>
      <c r="X349">
        <v>500</v>
      </c>
      <c r="Y349">
        <v>10</v>
      </c>
      <c r="Z349">
        <v>0.1</v>
      </c>
      <c r="AA349">
        <v>20</v>
      </c>
      <c r="AB349">
        <v>100</v>
      </c>
      <c r="AC349" s="3">
        <v>0.1</v>
      </c>
      <c r="AD349">
        <v>0.05</v>
      </c>
      <c r="AE349" t="s">
        <v>104</v>
      </c>
      <c r="AF349" t="s">
        <v>1655</v>
      </c>
      <c r="AG349" t="s">
        <v>111</v>
      </c>
    </row>
    <row r="350" spans="1:35" x14ac:dyDescent="0.2">
      <c r="A350" s="2">
        <v>45009.522106481483</v>
      </c>
      <c r="B350" s="2">
        <v>45009.52784722222</v>
      </c>
      <c r="C350" t="s">
        <v>36</v>
      </c>
      <c r="D350" t="s">
        <v>1657</v>
      </c>
      <c r="E350">
        <v>100</v>
      </c>
      <c r="F350">
        <v>495</v>
      </c>
      <c r="G350" t="b">
        <v>1</v>
      </c>
      <c r="H350" s="2">
        <v>45009.52784722222</v>
      </c>
      <c r="I350" t="s">
        <v>1658</v>
      </c>
      <c r="N350">
        <v>40.787599999999998</v>
      </c>
      <c r="O350">
        <v>-74.06</v>
      </c>
      <c r="P350" t="s">
        <v>100</v>
      </c>
      <c r="Q350" t="s">
        <v>95</v>
      </c>
      <c r="R350" t="s">
        <v>1659</v>
      </c>
      <c r="S350" t="s">
        <v>96</v>
      </c>
      <c r="V350">
        <v>20</v>
      </c>
      <c r="W350" t="s">
        <v>1660</v>
      </c>
      <c r="X350">
        <v>500</v>
      </c>
      <c r="Y350">
        <v>10</v>
      </c>
      <c r="Z350">
        <v>0.01</v>
      </c>
      <c r="AA350">
        <v>20</v>
      </c>
      <c r="AB350">
        <v>100</v>
      </c>
      <c r="AC350" s="7">
        <v>45179</v>
      </c>
      <c r="AD350">
        <v>0.05</v>
      </c>
      <c r="AE350">
        <v>5</v>
      </c>
      <c r="AF350" t="s">
        <v>1659</v>
      </c>
      <c r="AG350" t="s">
        <v>111</v>
      </c>
    </row>
    <row r="351" spans="1:35" x14ac:dyDescent="0.2">
      <c r="A351" s="2">
        <v>45009.51699074074</v>
      </c>
      <c r="B351" s="2">
        <v>45009.52784722222</v>
      </c>
      <c r="C351" t="s">
        <v>36</v>
      </c>
      <c r="D351" t="s">
        <v>1661</v>
      </c>
      <c r="E351">
        <v>100</v>
      </c>
      <c r="F351">
        <v>938</v>
      </c>
      <c r="G351" t="b">
        <v>1</v>
      </c>
      <c r="H351" s="2">
        <v>45009.52784722222</v>
      </c>
      <c r="I351" t="s">
        <v>1662</v>
      </c>
      <c r="N351">
        <v>36.040599999999998</v>
      </c>
      <c r="O351">
        <v>-80.260000000000005</v>
      </c>
      <c r="P351" t="s">
        <v>100</v>
      </c>
      <c r="Q351" t="s">
        <v>95</v>
      </c>
      <c r="R351" t="s">
        <v>1663</v>
      </c>
      <c r="S351" t="s">
        <v>96</v>
      </c>
      <c r="T351">
        <v>14</v>
      </c>
      <c r="U351" s="3">
        <v>0.1</v>
      </c>
      <c r="V351">
        <v>7</v>
      </c>
      <c r="W351" t="s">
        <v>1664</v>
      </c>
      <c r="X351">
        <v>500</v>
      </c>
      <c r="Y351">
        <v>10</v>
      </c>
      <c r="Z351" s="4">
        <v>1E-3</v>
      </c>
      <c r="AA351">
        <v>20</v>
      </c>
      <c r="AB351">
        <v>10</v>
      </c>
      <c r="AC351" s="3">
        <v>0.5</v>
      </c>
      <c r="AD351" s="5">
        <v>0.05</v>
      </c>
      <c r="AE351" t="s">
        <v>104</v>
      </c>
      <c r="AF351" t="s">
        <v>1663</v>
      </c>
      <c r="AG351" t="s">
        <v>125</v>
      </c>
    </row>
    <row r="352" spans="1:35" x14ac:dyDescent="0.2">
      <c r="A352" s="2">
        <v>45009.519282407404</v>
      </c>
      <c r="B352" s="2">
        <v>45009.527905092589</v>
      </c>
      <c r="C352" t="s">
        <v>36</v>
      </c>
      <c r="D352" t="s">
        <v>1665</v>
      </c>
      <c r="E352">
        <v>100</v>
      </c>
      <c r="F352">
        <v>744</v>
      </c>
      <c r="G352" t="b">
        <v>1</v>
      </c>
      <c r="H352" s="2">
        <v>45009.527905092589</v>
      </c>
      <c r="I352" t="s">
        <v>1666</v>
      </c>
      <c r="N352">
        <v>32.8489</v>
      </c>
      <c r="O352">
        <v>-96.966700000000003</v>
      </c>
      <c r="P352" t="s">
        <v>100</v>
      </c>
      <c r="Q352" t="s">
        <v>95</v>
      </c>
      <c r="R352" t="s">
        <v>1667</v>
      </c>
      <c r="S352" t="s">
        <v>96</v>
      </c>
      <c r="T352">
        <v>81</v>
      </c>
      <c r="V352">
        <v>79</v>
      </c>
      <c r="W352" t="s">
        <v>1668</v>
      </c>
      <c r="X352">
        <v>500</v>
      </c>
      <c r="Y352">
        <v>10</v>
      </c>
      <c r="Z352">
        <v>1</v>
      </c>
      <c r="AA352">
        <v>20</v>
      </c>
      <c r="AB352">
        <v>100</v>
      </c>
      <c r="AC352">
        <v>10</v>
      </c>
      <c r="AD352">
        <v>5</v>
      </c>
      <c r="AE352">
        <v>100</v>
      </c>
      <c r="AF352" t="s">
        <v>1667</v>
      </c>
      <c r="AG352" t="s">
        <v>125</v>
      </c>
    </row>
    <row r="353" spans="1:33" x14ac:dyDescent="0.2">
      <c r="A353" s="2">
        <v>45009.524606481478</v>
      </c>
      <c r="B353" s="2">
        <v>45009.527928240743</v>
      </c>
      <c r="C353" t="s">
        <v>36</v>
      </c>
      <c r="D353" t="s">
        <v>1669</v>
      </c>
      <c r="E353">
        <v>100</v>
      </c>
      <c r="F353">
        <v>287</v>
      </c>
      <c r="G353" t="b">
        <v>1</v>
      </c>
      <c r="H353" s="2">
        <v>45009.527939814812</v>
      </c>
      <c r="I353" t="s">
        <v>1670</v>
      </c>
      <c r="N353">
        <v>42.682200000000002</v>
      </c>
      <c r="O353">
        <v>-74.489000000000004</v>
      </c>
      <c r="P353" t="s">
        <v>100</v>
      </c>
      <c r="Q353" t="s">
        <v>95</v>
      </c>
      <c r="R353" t="s">
        <v>1671</v>
      </c>
      <c r="S353" t="s">
        <v>96</v>
      </c>
      <c r="T353">
        <v>75</v>
      </c>
      <c r="V353">
        <v>61</v>
      </c>
      <c r="W353" t="s">
        <v>1672</v>
      </c>
      <c r="X353">
        <v>500</v>
      </c>
      <c r="Y353">
        <v>10</v>
      </c>
      <c r="Z353">
        <v>0.1</v>
      </c>
      <c r="AA353">
        <v>20</v>
      </c>
      <c r="AB353">
        <v>100</v>
      </c>
      <c r="AC353">
        <v>10</v>
      </c>
      <c r="AD353" t="s">
        <v>297</v>
      </c>
      <c r="AE353" t="s">
        <v>266</v>
      </c>
      <c r="AF353" t="s">
        <v>1671</v>
      </c>
      <c r="AG353" t="s">
        <v>125</v>
      </c>
    </row>
    <row r="354" spans="1:33" x14ac:dyDescent="0.2">
      <c r="A354" s="2">
        <v>45009.515381944446</v>
      </c>
      <c r="B354" s="2">
        <v>45009.528055555558</v>
      </c>
      <c r="C354" t="s">
        <v>36</v>
      </c>
      <c r="D354" t="s">
        <v>1673</v>
      </c>
      <c r="E354">
        <v>100</v>
      </c>
      <c r="F354">
        <v>1094</v>
      </c>
      <c r="G354" t="b">
        <v>1</v>
      </c>
      <c r="H354" s="2">
        <v>45009.528055555558</v>
      </c>
      <c r="I354" t="s">
        <v>1674</v>
      </c>
      <c r="N354">
        <v>33.468299999999999</v>
      </c>
      <c r="O354">
        <v>-112.0549</v>
      </c>
      <c r="P354" t="s">
        <v>100</v>
      </c>
      <c r="Q354" t="s">
        <v>95</v>
      </c>
      <c r="R354" t="s">
        <v>1675</v>
      </c>
      <c r="S354" t="s">
        <v>96</v>
      </c>
      <c r="V354">
        <v>79</v>
      </c>
      <c r="W354" t="s">
        <v>1676</v>
      </c>
      <c r="X354">
        <v>526</v>
      </c>
      <c r="Y354">
        <v>10</v>
      </c>
      <c r="Z354">
        <v>0.1</v>
      </c>
      <c r="AA354">
        <v>20</v>
      </c>
      <c r="AB354">
        <v>0.1</v>
      </c>
      <c r="AC354">
        <v>85</v>
      </c>
      <c r="AD354">
        <v>0.05</v>
      </c>
      <c r="AE354">
        <v>5</v>
      </c>
      <c r="AF354" t="s">
        <v>1675</v>
      </c>
      <c r="AG354" t="s">
        <v>97</v>
      </c>
    </row>
    <row r="355" spans="1:33" x14ac:dyDescent="0.2">
      <c r="A355" s="2">
        <v>45009.520104166666</v>
      </c>
      <c r="B355" s="2">
        <v>45009.528090277781</v>
      </c>
      <c r="C355" t="s">
        <v>36</v>
      </c>
      <c r="D355" t="s">
        <v>1677</v>
      </c>
      <c r="E355">
        <v>100</v>
      </c>
      <c r="F355">
        <v>689</v>
      </c>
      <c r="G355" t="b">
        <v>1</v>
      </c>
      <c r="H355" s="2">
        <v>45009.528090277781</v>
      </c>
      <c r="I355" t="s">
        <v>1678</v>
      </c>
      <c r="N355">
        <v>37.280799999999999</v>
      </c>
      <c r="O355">
        <v>-121.9572</v>
      </c>
      <c r="P355" t="s">
        <v>100</v>
      </c>
      <c r="Q355" t="s">
        <v>95</v>
      </c>
      <c r="R355" t="s">
        <v>1679</v>
      </c>
      <c r="S355" t="s">
        <v>96</v>
      </c>
      <c r="V355">
        <v>100</v>
      </c>
      <c r="W355" t="s">
        <v>1680</v>
      </c>
      <c r="X355" s="3">
        <v>0.5</v>
      </c>
      <c r="Y355" t="s">
        <v>1681</v>
      </c>
      <c r="Z355" s="4">
        <v>1E-3</v>
      </c>
      <c r="AA355" s="3">
        <v>0.2</v>
      </c>
      <c r="AB355">
        <v>100</v>
      </c>
      <c r="AC355">
        <v>10</v>
      </c>
      <c r="AD355">
        <v>0.1</v>
      </c>
      <c r="AE355" t="s">
        <v>530</v>
      </c>
      <c r="AF355" t="s">
        <v>1679</v>
      </c>
      <c r="AG355" t="s">
        <v>105</v>
      </c>
    </row>
    <row r="356" spans="1:33" x14ac:dyDescent="0.2">
      <c r="A356" s="2">
        <v>45009.522083333337</v>
      </c>
      <c r="B356" s="2">
        <v>45009.528148148151</v>
      </c>
      <c r="C356" t="s">
        <v>36</v>
      </c>
      <c r="D356" t="s">
        <v>1682</v>
      </c>
      <c r="E356">
        <v>100</v>
      </c>
      <c r="F356">
        <v>523</v>
      </c>
      <c r="G356" t="b">
        <v>1</v>
      </c>
      <c r="H356" s="2">
        <v>45009.528148148151</v>
      </c>
      <c r="I356" t="s">
        <v>1683</v>
      </c>
      <c r="N356">
        <v>42.243899999999996</v>
      </c>
      <c r="O356">
        <v>-84.269099999999995</v>
      </c>
      <c r="P356" t="s">
        <v>100</v>
      </c>
      <c r="Q356" t="s">
        <v>95</v>
      </c>
      <c r="R356" t="s">
        <v>1684</v>
      </c>
      <c r="S356" t="s">
        <v>96</v>
      </c>
      <c r="V356">
        <v>60</v>
      </c>
      <c r="W356" t="s">
        <v>1685</v>
      </c>
      <c r="X356">
        <v>500</v>
      </c>
      <c r="Y356">
        <v>10</v>
      </c>
      <c r="Z356">
        <v>0.1</v>
      </c>
      <c r="AA356">
        <v>20</v>
      </c>
      <c r="AB356">
        <v>100</v>
      </c>
      <c r="AC356" s="3">
        <v>0.9</v>
      </c>
      <c r="AD356">
        <v>0.05</v>
      </c>
      <c r="AE356" t="s">
        <v>104</v>
      </c>
      <c r="AF356" t="s">
        <v>1684</v>
      </c>
      <c r="AG356" t="s">
        <v>97</v>
      </c>
    </row>
    <row r="357" spans="1:33" x14ac:dyDescent="0.2">
      <c r="A357" s="2">
        <v>45009.518020833333</v>
      </c>
      <c r="B357" s="2">
        <v>45009.52815972222</v>
      </c>
      <c r="C357" t="s">
        <v>36</v>
      </c>
      <c r="D357" t="s">
        <v>1686</v>
      </c>
      <c r="E357">
        <v>100</v>
      </c>
      <c r="F357">
        <v>875</v>
      </c>
      <c r="G357" t="b">
        <v>1</v>
      </c>
      <c r="H357" s="2">
        <v>45009.52815972222</v>
      </c>
      <c r="I357" t="s">
        <v>1687</v>
      </c>
      <c r="N357">
        <v>41.857799999999997</v>
      </c>
      <c r="O357">
        <v>-72.659099999999995</v>
      </c>
      <c r="P357" t="s">
        <v>100</v>
      </c>
      <c r="Q357" t="s">
        <v>95</v>
      </c>
      <c r="R357" t="s">
        <v>1688</v>
      </c>
      <c r="S357" t="s">
        <v>96</v>
      </c>
      <c r="V357">
        <v>96</v>
      </c>
      <c r="W357" t="s">
        <v>1689</v>
      </c>
      <c r="X357">
        <v>40</v>
      </c>
      <c r="Y357">
        <v>10</v>
      </c>
      <c r="Z357" s="3">
        <v>0.1</v>
      </c>
      <c r="AA357" s="3">
        <v>0.2</v>
      </c>
      <c r="AB357">
        <v>10</v>
      </c>
      <c r="AC357" s="3">
        <v>0.1</v>
      </c>
      <c r="AD357">
        <v>0.1</v>
      </c>
      <c r="AE357">
        <v>20</v>
      </c>
      <c r="AF357" t="s">
        <v>1688</v>
      </c>
      <c r="AG357" t="s">
        <v>105</v>
      </c>
    </row>
    <row r="358" spans="1:33" x14ac:dyDescent="0.2">
      <c r="A358" s="2">
        <v>45009.521249999998</v>
      </c>
      <c r="B358" s="2">
        <v>45009.52820601852</v>
      </c>
      <c r="C358" t="s">
        <v>36</v>
      </c>
      <c r="D358" t="s">
        <v>1690</v>
      </c>
      <c r="E358">
        <v>100</v>
      </c>
      <c r="F358">
        <v>601</v>
      </c>
      <c r="G358" t="b">
        <v>1</v>
      </c>
      <c r="H358" s="2">
        <v>45009.52820601852</v>
      </c>
      <c r="I358" t="s">
        <v>1691</v>
      </c>
      <c r="N358">
        <v>28.010899999999999</v>
      </c>
      <c r="O358">
        <v>-82.494799999999998</v>
      </c>
      <c r="P358" t="s">
        <v>100</v>
      </c>
      <c r="Q358" t="s">
        <v>95</v>
      </c>
      <c r="R358" t="s">
        <v>1692</v>
      </c>
      <c r="S358" t="s">
        <v>96</v>
      </c>
      <c r="V358">
        <v>90</v>
      </c>
      <c r="W358" t="s">
        <v>1693</v>
      </c>
      <c r="X358">
        <v>500</v>
      </c>
      <c r="Y358">
        <v>10</v>
      </c>
      <c r="Z358">
        <v>0.01</v>
      </c>
      <c r="AA358">
        <v>20</v>
      </c>
      <c r="AB358">
        <v>100</v>
      </c>
      <c r="AC358">
        <v>18</v>
      </c>
      <c r="AD358">
        <v>0.05</v>
      </c>
      <c r="AE358">
        <v>100</v>
      </c>
      <c r="AF358" t="s">
        <v>1692</v>
      </c>
      <c r="AG358" t="s">
        <v>97</v>
      </c>
    </row>
    <row r="359" spans="1:33" x14ac:dyDescent="0.2">
      <c r="A359" s="2">
        <v>45009.521319444444</v>
      </c>
      <c r="B359" s="2">
        <v>45009.528344907405</v>
      </c>
      <c r="C359" t="s">
        <v>36</v>
      </c>
      <c r="D359" t="s">
        <v>1694</v>
      </c>
      <c r="E359">
        <v>100</v>
      </c>
      <c r="F359">
        <v>607</v>
      </c>
      <c r="G359" t="b">
        <v>1</v>
      </c>
      <c r="H359" s="2">
        <v>45009.528356481482</v>
      </c>
      <c r="I359" t="s">
        <v>1695</v>
      </c>
      <c r="N359">
        <v>40.380000000000003</v>
      </c>
      <c r="O359">
        <v>-75.271799999999999</v>
      </c>
      <c r="P359" t="s">
        <v>100</v>
      </c>
      <c r="Q359" t="s">
        <v>95</v>
      </c>
      <c r="R359" t="s">
        <v>1696</v>
      </c>
      <c r="S359" t="s">
        <v>96</v>
      </c>
      <c r="V359">
        <v>49</v>
      </c>
      <c r="W359" t="s">
        <v>1697</v>
      </c>
      <c r="X359">
        <v>500</v>
      </c>
      <c r="Y359">
        <v>1</v>
      </c>
      <c r="Z359">
        <v>1</v>
      </c>
      <c r="AA359">
        <v>20</v>
      </c>
      <c r="AB359">
        <v>100</v>
      </c>
      <c r="AC359" s="3">
        <v>0.9</v>
      </c>
      <c r="AD359" t="s">
        <v>159</v>
      </c>
      <c r="AE359" t="s">
        <v>330</v>
      </c>
      <c r="AF359" t="s">
        <v>1696</v>
      </c>
      <c r="AG359" t="s">
        <v>97</v>
      </c>
    </row>
    <row r="360" spans="1:33" x14ac:dyDescent="0.2">
      <c r="A360" s="2">
        <v>45009.516481481478</v>
      </c>
      <c r="B360" s="2">
        <v>45009.528773148151</v>
      </c>
      <c r="C360" t="s">
        <v>36</v>
      </c>
      <c r="D360" t="s">
        <v>1698</v>
      </c>
      <c r="E360">
        <v>100</v>
      </c>
      <c r="F360">
        <v>1061</v>
      </c>
      <c r="G360" t="b">
        <v>1</v>
      </c>
      <c r="H360" s="2">
        <v>45009.528773148151</v>
      </c>
      <c r="I360" t="s">
        <v>1699</v>
      </c>
      <c r="N360">
        <v>26.164999999999999</v>
      </c>
      <c r="O360">
        <v>-97.989199999999997</v>
      </c>
      <c r="P360" t="s">
        <v>100</v>
      </c>
      <c r="Q360" t="s">
        <v>95</v>
      </c>
      <c r="R360" t="s">
        <v>1700</v>
      </c>
      <c r="S360" t="s">
        <v>96</v>
      </c>
      <c r="V360">
        <v>80</v>
      </c>
      <c r="W360" t="s">
        <v>1701</v>
      </c>
      <c r="X360" t="s">
        <v>1702</v>
      </c>
      <c r="Y360">
        <v>10</v>
      </c>
      <c r="Z360" s="4">
        <v>1E-3</v>
      </c>
      <c r="AA360">
        <v>20</v>
      </c>
      <c r="AB360">
        <v>100</v>
      </c>
      <c r="AC360" s="3">
        <v>0.9</v>
      </c>
      <c r="AD360">
        <v>0.05</v>
      </c>
      <c r="AE360" t="s">
        <v>1703</v>
      </c>
      <c r="AF360" t="s">
        <v>1700</v>
      </c>
      <c r="AG360" t="s">
        <v>97</v>
      </c>
    </row>
    <row r="361" spans="1:33" x14ac:dyDescent="0.2">
      <c r="A361" s="2">
        <v>45009.51902777778</v>
      </c>
      <c r="B361" s="2">
        <v>45009.529004629629</v>
      </c>
      <c r="C361" t="s">
        <v>36</v>
      </c>
      <c r="D361" t="s">
        <v>1704</v>
      </c>
      <c r="E361">
        <v>100</v>
      </c>
      <c r="F361">
        <v>862</v>
      </c>
      <c r="G361" t="b">
        <v>1</v>
      </c>
      <c r="H361" s="2">
        <v>45009.529004629629</v>
      </c>
      <c r="I361" t="s">
        <v>1705</v>
      </c>
      <c r="N361">
        <v>37.959299999999999</v>
      </c>
      <c r="O361">
        <v>-121.2619</v>
      </c>
      <c r="P361" t="s">
        <v>100</v>
      </c>
      <c r="Q361" t="s">
        <v>95</v>
      </c>
      <c r="R361" t="s">
        <v>1706</v>
      </c>
      <c r="S361" t="s">
        <v>96</v>
      </c>
      <c r="T361">
        <v>80</v>
      </c>
      <c r="V361">
        <v>82</v>
      </c>
      <c r="W361" t="s">
        <v>1707</v>
      </c>
      <c r="X361">
        <v>25</v>
      </c>
      <c r="Y361">
        <v>10</v>
      </c>
      <c r="Z361" s="3">
        <v>0.1</v>
      </c>
      <c r="AA361" s="3">
        <v>0.25</v>
      </c>
      <c r="AB361">
        <v>100</v>
      </c>
      <c r="AC361">
        <v>10</v>
      </c>
      <c r="AD361" s="5">
        <v>0.1</v>
      </c>
      <c r="AE361" t="s">
        <v>136</v>
      </c>
      <c r="AF361" t="s">
        <v>1706</v>
      </c>
      <c r="AG361" t="s">
        <v>125</v>
      </c>
    </row>
    <row r="362" spans="1:33" x14ac:dyDescent="0.2">
      <c r="A362" s="2">
        <v>45009.51972222222</v>
      </c>
      <c r="B362" s="2">
        <v>45009.529189814813</v>
      </c>
      <c r="C362" t="s">
        <v>36</v>
      </c>
      <c r="D362" t="s">
        <v>1708</v>
      </c>
      <c r="E362">
        <v>100</v>
      </c>
      <c r="F362">
        <v>817</v>
      </c>
      <c r="G362" t="b">
        <v>1</v>
      </c>
      <c r="H362" s="2">
        <v>45009.529189814813</v>
      </c>
      <c r="I362" t="s">
        <v>1709</v>
      </c>
      <c r="N362">
        <v>32.744599999999998</v>
      </c>
      <c r="O362">
        <v>-97.384200000000007</v>
      </c>
      <c r="P362" t="s">
        <v>100</v>
      </c>
      <c r="Q362" t="s">
        <v>95</v>
      </c>
      <c r="R362" t="s">
        <v>1710</v>
      </c>
      <c r="S362" t="s">
        <v>96</v>
      </c>
      <c r="V362">
        <v>45</v>
      </c>
      <c r="W362" t="s">
        <v>1711</v>
      </c>
      <c r="X362">
        <v>500</v>
      </c>
      <c r="Y362">
        <v>10</v>
      </c>
      <c r="Z362">
        <v>0.01</v>
      </c>
      <c r="AA362">
        <v>20</v>
      </c>
      <c r="AB362">
        <v>100</v>
      </c>
      <c r="AC362">
        <v>50</v>
      </c>
      <c r="AD362" s="5">
        <v>0.05</v>
      </c>
      <c r="AE362" t="s">
        <v>104</v>
      </c>
      <c r="AF362" t="s">
        <v>1710</v>
      </c>
      <c r="AG362" t="s">
        <v>111</v>
      </c>
    </row>
    <row r="363" spans="1:33" x14ac:dyDescent="0.2">
      <c r="A363" s="2">
        <v>45009.504745370374</v>
      </c>
      <c r="B363" s="2">
        <v>45009.529456018521</v>
      </c>
      <c r="C363" t="s">
        <v>36</v>
      </c>
      <c r="D363" t="s">
        <v>1712</v>
      </c>
      <c r="E363">
        <v>100</v>
      </c>
      <c r="F363">
        <v>2135</v>
      </c>
      <c r="G363" t="b">
        <v>1</v>
      </c>
      <c r="H363" s="2">
        <v>45009.529467592591</v>
      </c>
      <c r="I363" t="s">
        <v>1713</v>
      </c>
      <c r="N363">
        <v>32.779699999999998</v>
      </c>
      <c r="O363">
        <v>-96.802199999999999</v>
      </c>
      <c r="P363" t="s">
        <v>100</v>
      </c>
      <c r="Q363" t="s">
        <v>95</v>
      </c>
      <c r="R363" t="s">
        <v>1714</v>
      </c>
      <c r="S363" t="s">
        <v>96</v>
      </c>
      <c r="T363">
        <v>81</v>
      </c>
      <c r="V363">
        <v>86</v>
      </c>
      <c r="W363" t="s">
        <v>1715</v>
      </c>
      <c r="X363">
        <v>500</v>
      </c>
      <c r="Y363">
        <v>10</v>
      </c>
      <c r="Z363">
        <v>0.1</v>
      </c>
      <c r="AA363" s="3">
        <v>0.2</v>
      </c>
      <c r="AB363">
        <v>100</v>
      </c>
      <c r="AC363" s="3">
        <v>0.5</v>
      </c>
      <c r="AD363" s="4">
        <v>5.0000000000000001E-4</v>
      </c>
      <c r="AE363" t="s">
        <v>530</v>
      </c>
      <c r="AF363" t="s">
        <v>1714</v>
      </c>
      <c r="AG363" t="s">
        <v>125</v>
      </c>
    </row>
    <row r="364" spans="1:33" x14ac:dyDescent="0.2">
      <c r="A364" s="2">
        <v>45009.52103009259</v>
      </c>
      <c r="B364" s="2">
        <v>45009.529490740744</v>
      </c>
      <c r="C364" t="s">
        <v>36</v>
      </c>
      <c r="D364" t="s">
        <v>1716</v>
      </c>
      <c r="E364">
        <v>100</v>
      </c>
      <c r="F364">
        <v>730</v>
      </c>
      <c r="G364" t="b">
        <v>1</v>
      </c>
      <c r="H364" s="2">
        <v>45009.529490740744</v>
      </c>
      <c r="I364" t="s">
        <v>1717</v>
      </c>
      <c r="N364">
        <v>38.581000000000003</v>
      </c>
      <c r="O364">
        <v>-121.4939</v>
      </c>
      <c r="P364" t="s">
        <v>100</v>
      </c>
      <c r="Q364" t="s">
        <v>95</v>
      </c>
      <c r="R364" t="s">
        <v>1718</v>
      </c>
      <c r="S364" t="s">
        <v>96</v>
      </c>
      <c r="V364">
        <v>88</v>
      </c>
      <c r="W364" t="s">
        <v>1719</v>
      </c>
      <c r="X364">
        <v>500</v>
      </c>
      <c r="Y364">
        <v>10</v>
      </c>
      <c r="Z364">
        <v>0.1</v>
      </c>
      <c r="AA364">
        <v>20</v>
      </c>
      <c r="AB364">
        <v>10</v>
      </c>
      <c r="AC364" s="3">
        <v>0.5</v>
      </c>
      <c r="AD364">
        <v>0.05</v>
      </c>
      <c r="AE364" t="s">
        <v>136</v>
      </c>
      <c r="AF364" t="s">
        <v>1718</v>
      </c>
      <c r="AG364" t="s">
        <v>105</v>
      </c>
    </row>
    <row r="365" spans="1:33" x14ac:dyDescent="0.2">
      <c r="A365" s="2">
        <v>45009.521574074075</v>
      </c>
      <c r="B365" s="2">
        <v>45009.529814814814</v>
      </c>
      <c r="C365" t="s">
        <v>36</v>
      </c>
      <c r="D365" t="s">
        <v>1720</v>
      </c>
      <c r="E365">
        <v>100</v>
      </c>
      <c r="F365">
        <v>712</v>
      </c>
      <c r="G365" t="b">
        <v>1</v>
      </c>
      <c r="H365" s="2">
        <v>45009.529826388891</v>
      </c>
      <c r="I365" t="s">
        <v>1721</v>
      </c>
      <c r="N365">
        <v>29.423100000000002</v>
      </c>
      <c r="O365">
        <v>-98.570499999999996</v>
      </c>
      <c r="P365" t="s">
        <v>100</v>
      </c>
      <c r="Q365" t="s">
        <v>95</v>
      </c>
      <c r="R365" t="s">
        <v>1722</v>
      </c>
      <c r="S365" t="s">
        <v>96</v>
      </c>
      <c r="V365">
        <v>15</v>
      </c>
      <c r="W365" t="s">
        <v>1723</v>
      </c>
      <c r="X365">
        <v>500</v>
      </c>
      <c r="Y365">
        <v>10</v>
      </c>
      <c r="Z365" s="4">
        <v>1E-3</v>
      </c>
      <c r="AA365">
        <v>20</v>
      </c>
      <c r="AB365">
        <v>100</v>
      </c>
      <c r="AC365" s="3">
        <v>0.09</v>
      </c>
      <c r="AD365" s="5">
        <v>0.05</v>
      </c>
      <c r="AE365" t="s">
        <v>104</v>
      </c>
      <c r="AF365" t="s">
        <v>1722</v>
      </c>
      <c r="AG365" t="s">
        <v>111</v>
      </c>
    </row>
    <row r="366" spans="1:33" x14ac:dyDescent="0.2">
      <c r="A366" s="2">
        <v>45009.521979166668</v>
      </c>
      <c r="B366" s="2">
        <v>45009.529918981483</v>
      </c>
      <c r="C366" t="s">
        <v>36</v>
      </c>
      <c r="D366" t="s">
        <v>1724</v>
      </c>
      <c r="E366">
        <v>100</v>
      </c>
      <c r="F366">
        <v>686</v>
      </c>
      <c r="G366" t="b">
        <v>1</v>
      </c>
      <c r="H366" s="2">
        <v>45009.529930555553</v>
      </c>
      <c r="I366" t="s">
        <v>1725</v>
      </c>
      <c r="N366">
        <v>29.422699999999999</v>
      </c>
      <c r="O366">
        <v>-98.492699999999999</v>
      </c>
      <c r="P366" t="s">
        <v>100</v>
      </c>
      <c r="Q366" t="s">
        <v>95</v>
      </c>
      <c r="R366" t="s">
        <v>1726</v>
      </c>
      <c r="S366" t="s">
        <v>96</v>
      </c>
      <c r="V366">
        <v>100</v>
      </c>
      <c r="W366" t="s">
        <v>1727</v>
      </c>
      <c r="X366">
        <v>500</v>
      </c>
      <c r="Y366">
        <v>10</v>
      </c>
      <c r="Z366">
        <v>0.1</v>
      </c>
      <c r="AA366">
        <v>20</v>
      </c>
      <c r="AB366">
        <v>100</v>
      </c>
      <c r="AC366" t="s">
        <v>1728</v>
      </c>
      <c r="AD366" t="s">
        <v>159</v>
      </c>
      <c r="AE366" t="s">
        <v>104</v>
      </c>
      <c r="AF366" t="s">
        <v>1726</v>
      </c>
      <c r="AG366" t="s">
        <v>105</v>
      </c>
    </row>
    <row r="367" spans="1:33" x14ac:dyDescent="0.2">
      <c r="A367" s="2">
        <v>45009.521180555559</v>
      </c>
      <c r="B367" s="2">
        <v>45009.529930555553</v>
      </c>
      <c r="C367" t="s">
        <v>36</v>
      </c>
      <c r="D367" t="s">
        <v>1729</v>
      </c>
      <c r="E367">
        <v>100</v>
      </c>
      <c r="F367">
        <v>755</v>
      </c>
      <c r="G367" t="b">
        <v>1</v>
      </c>
      <c r="H367" s="2">
        <v>45009.529930555553</v>
      </c>
      <c r="I367" t="s">
        <v>1730</v>
      </c>
      <c r="N367">
        <v>39.919499999999999</v>
      </c>
      <c r="O367">
        <v>-75.156499999999994</v>
      </c>
      <c r="P367" t="s">
        <v>100</v>
      </c>
      <c r="Q367" t="s">
        <v>95</v>
      </c>
      <c r="R367" t="s">
        <v>1731</v>
      </c>
      <c r="S367" t="s">
        <v>96</v>
      </c>
      <c r="T367">
        <v>85</v>
      </c>
      <c r="V367">
        <v>90</v>
      </c>
      <c r="W367" t="s">
        <v>1732</v>
      </c>
      <c r="X367">
        <v>512</v>
      </c>
      <c r="Y367">
        <v>10</v>
      </c>
      <c r="Z367">
        <v>0.1</v>
      </c>
      <c r="AA367">
        <v>20</v>
      </c>
      <c r="AB367">
        <v>100</v>
      </c>
      <c r="AC367" s="3">
        <v>0.5</v>
      </c>
      <c r="AD367">
        <v>0.05</v>
      </c>
      <c r="AE367">
        <v>5</v>
      </c>
      <c r="AF367" t="s">
        <v>1731</v>
      </c>
      <c r="AG367" t="s">
        <v>125</v>
      </c>
    </row>
    <row r="368" spans="1:33" x14ac:dyDescent="0.2">
      <c r="A368" s="2">
        <v>45009.525891203702</v>
      </c>
      <c r="B368" s="2">
        <v>45009.530046296299</v>
      </c>
      <c r="C368" t="s">
        <v>36</v>
      </c>
      <c r="D368" t="s">
        <v>1733</v>
      </c>
      <c r="E368">
        <v>100</v>
      </c>
      <c r="F368">
        <v>358</v>
      </c>
      <c r="G368" t="b">
        <v>1</v>
      </c>
      <c r="H368" s="2">
        <v>45009.530046296299</v>
      </c>
      <c r="I368" t="s">
        <v>1734</v>
      </c>
      <c r="N368">
        <v>42.112400000000001</v>
      </c>
      <c r="O368">
        <v>-87.978999999999999</v>
      </c>
      <c r="P368" t="s">
        <v>100</v>
      </c>
      <c r="Q368" t="s">
        <v>95</v>
      </c>
      <c r="R368" t="s">
        <v>1735</v>
      </c>
      <c r="S368" t="s">
        <v>96</v>
      </c>
      <c r="V368">
        <v>70</v>
      </c>
      <c r="W368" t="s">
        <v>1736</v>
      </c>
      <c r="X368">
        <v>50</v>
      </c>
      <c r="Y368">
        <v>10</v>
      </c>
      <c r="Z368" s="4">
        <v>1E-3</v>
      </c>
      <c r="AA368" s="3">
        <v>0.2</v>
      </c>
      <c r="AB368">
        <v>100</v>
      </c>
      <c r="AC368" s="3">
        <v>0.9</v>
      </c>
      <c r="AD368">
        <v>1.05</v>
      </c>
      <c r="AE368">
        <v>5</v>
      </c>
      <c r="AF368" t="s">
        <v>1735</v>
      </c>
      <c r="AG368" t="s">
        <v>111</v>
      </c>
    </row>
    <row r="369" spans="1:33" x14ac:dyDescent="0.2">
      <c r="A369" s="2">
        <v>45009.518796296295</v>
      </c>
      <c r="B369" s="2">
        <v>45009.53025462963</v>
      </c>
      <c r="C369" t="s">
        <v>36</v>
      </c>
      <c r="D369" t="s">
        <v>1737</v>
      </c>
      <c r="E369">
        <v>100</v>
      </c>
      <c r="F369">
        <v>989</v>
      </c>
      <c r="G369" t="b">
        <v>1</v>
      </c>
      <c r="H369" s="2">
        <v>45009.53025462963</v>
      </c>
      <c r="I369" t="s">
        <v>1738</v>
      </c>
      <c r="N369">
        <v>40.207000000000001</v>
      </c>
      <c r="O369">
        <v>-75.074399999999997</v>
      </c>
      <c r="P369" t="s">
        <v>100</v>
      </c>
      <c r="Q369" t="s">
        <v>95</v>
      </c>
      <c r="R369" t="s">
        <v>1739</v>
      </c>
      <c r="S369" t="s">
        <v>96</v>
      </c>
      <c r="V369">
        <v>100</v>
      </c>
      <c r="W369" t="s">
        <v>1740</v>
      </c>
      <c r="X369" t="s">
        <v>1741</v>
      </c>
      <c r="Y369" t="s">
        <v>1742</v>
      </c>
      <c r="Z369" t="s">
        <v>1743</v>
      </c>
      <c r="AA369" s="3">
        <v>0.2</v>
      </c>
      <c r="AB369" t="s">
        <v>717</v>
      </c>
      <c r="AC369" t="s">
        <v>1744</v>
      </c>
      <c r="AD369" s="5">
        <v>0.1</v>
      </c>
      <c r="AE369" t="s">
        <v>1745</v>
      </c>
      <c r="AF369" t="s">
        <v>1739</v>
      </c>
      <c r="AG369" t="s">
        <v>105</v>
      </c>
    </row>
    <row r="370" spans="1:33" x14ac:dyDescent="0.2">
      <c r="A370" s="2">
        <v>45009.52175925926</v>
      </c>
      <c r="B370" s="2">
        <v>45009.530428240738</v>
      </c>
      <c r="C370" t="s">
        <v>36</v>
      </c>
      <c r="D370" t="s">
        <v>1746</v>
      </c>
      <c r="E370">
        <v>100</v>
      </c>
      <c r="F370">
        <v>749</v>
      </c>
      <c r="G370" t="b">
        <v>1</v>
      </c>
      <c r="H370" s="2">
        <v>45009.530439814815</v>
      </c>
      <c r="I370" t="s">
        <v>1747</v>
      </c>
      <c r="N370">
        <v>30.358599999999999</v>
      </c>
      <c r="O370">
        <v>-90.056100000000001</v>
      </c>
      <c r="P370" t="s">
        <v>100</v>
      </c>
      <c r="Q370" t="s">
        <v>95</v>
      </c>
      <c r="R370" t="s">
        <v>1748</v>
      </c>
      <c r="S370" t="s">
        <v>96</v>
      </c>
      <c r="V370">
        <v>70</v>
      </c>
      <c r="W370" t="s">
        <v>1749</v>
      </c>
      <c r="X370">
        <v>500</v>
      </c>
      <c r="Y370">
        <v>10</v>
      </c>
      <c r="Z370" s="4">
        <v>1E-3</v>
      </c>
      <c r="AA370">
        <v>20</v>
      </c>
      <c r="AB370">
        <v>100</v>
      </c>
      <c r="AC370">
        <v>50</v>
      </c>
      <c r="AD370" s="5">
        <v>0.05</v>
      </c>
      <c r="AE370" t="s">
        <v>104</v>
      </c>
      <c r="AF370" t="s">
        <v>1748</v>
      </c>
      <c r="AG370" t="s">
        <v>105</v>
      </c>
    </row>
    <row r="371" spans="1:33" x14ac:dyDescent="0.2">
      <c r="A371" s="2">
        <v>45009.520462962966</v>
      </c>
      <c r="B371" s="2">
        <v>45009.530486111114</v>
      </c>
      <c r="C371" t="s">
        <v>36</v>
      </c>
      <c r="D371" t="s">
        <v>1750</v>
      </c>
      <c r="E371">
        <v>100</v>
      </c>
      <c r="F371">
        <v>865</v>
      </c>
      <c r="G371" t="b">
        <v>1</v>
      </c>
      <c r="H371" s="2">
        <v>45009.53052083333</v>
      </c>
      <c r="I371" t="s">
        <v>1751</v>
      </c>
      <c r="N371">
        <v>33.937199999999997</v>
      </c>
      <c r="O371">
        <v>-84.079099999999997</v>
      </c>
      <c r="P371" t="s">
        <v>100</v>
      </c>
      <c r="Q371" t="s">
        <v>95</v>
      </c>
      <c r="R371" t="s">
        <v>1752</v>
      </c>
      <c r="S371" t="s">
        <v>96</v>
      </c>
      <c r="T371">
        <v>5</v>
      </c>
      <c r="U371" t="s">
        <v>1753</v>
      </c>
      <c r="V371">
        <v>1</v>
      </c>
      <c r="W371" t="s">
        <v>1754</v>
      </c>
      <c r="X371">
        <v>500</v>
      </c>
      <c r="Y371">
        <v>10</v>
      </c>
      <c r="Z371">
        <v>1E-3</v>
      </c>
      <c r="AA371">
        <v>20</v>
      </c>
      <c r="AB371">
        <v>100</v>
      </c>
      <c r="AC371" s="3">
        <v>0.5</v>
      </c>
      <c r="AD371" t="s">
        <v>159</v>
      </c>
      <c r="AE371">
        <v>5</v>
      </c>
      <c r="AF371" t="s">
        <v>1752</v>
      </c>
      <c r="AG371" t="s">
        <v>125</v>
      </c>
    </row>
    <row r="372" spans="1:33" x14ac:dyDescent="0.2">
      <c r="A372" s="2">
        <v>45009.52144675926</v>
      </c>
      <c r="B372" s="2">
        <v>45009.530486111114</v>
      </c>
      <c r="C372" t="s">
        <v>36</v>
      </c>
      <c r="D372" t="s">
        <v>1755</v>
      </c>
      <c r="E372">
        <v>100</v>
      </c>
      <c r="F372">
        <v>780</v>
      </c>
      <c r="G372" t="b">
        <v>1</v>
      </c>
      <c r="H372" s="2">
        <v>45009.530532407407</v>
      </c>
      <c r="I372" t="s">
        <v>1756</v>
      </c>
      <c r="N372">
        <v>41.691899999999997</v>
      </c>
      <c r="O372">
        <v>-73.864199999999997</v>
      </c>
      <c r="P372" t="s">
        <v>100</v>
      </c>
      <c r="Q372" t="s">
        <v>95</v>
      </c>
      <c r="R372" t="s">
        <v>1757</v>
      </c>
      <c r="S372" t="s">
        <v>96</v>
      </c>
      <c r="V372">
        <v>0</v>
      </c>
      <c r="W372" t="s">
        <v>1758</v>
      </c>
      <c r="X372">
        <v>500</v>
      </c>
      <c r="Y372">
        <v>10</v>
      </c>
      <c r="Z372">
        <v>1E-3</v>
      </c>
      <c r="AA372">
        <v>20</v>
      </c>
      <c r="AB372">
        <v>100</v>
      </c>
      <c r="AC372">
        <v>9</v>
      </c>
      <c r="AD372">
        <v>1.05</v>
      </c>
      <c r="AE372">
        <v>5</v>
      </c>
      <c r="AF372" t="s">
        <v>1757</v>
      </c>
      <c r="AG372" t="s">
        <v>111</v>
      </c>
    </row>
    <row r="373" spans="1:33" x14ac:dyDescent="0.2">
      <c r="A373" s="2">
        <v>45009.51903935185</v>
      </c>
      <c r="B373" s="2">
        <v>45009.530856481484</v>
      </c>
      <c r="C373" t="s">
        <v>36</v>
      </c>
      <c r="D373" t="s">
        <v>1759</v>
      </c>
      <c r="E373">
        <v>100</v>
      </c>
      <c r="F373">
        <v>1020</v>
      </c>
      <c r="G373" t="b">
        <v>1</v>
      </c>
      <c r="H373" s="2">
        <v>45009.530856481484</v>
      </c>
      <c r="I373" t="s">
        <v>1760</v>
      </c>
      <c r="N373">
        <v>40.430599999999998</v>
      </c>
      <c r="O373">
        <v>-74.402000000000001</v>
      </c>
      <c r="P373" t="s">
        <v>100</v>
      </c>
      <c r="Q373" t="s">
        <v>95</v>
      </c>
      <c r="R373" t="s">
        <v>1761</v>
      </c>
      <c r="S373" t="s">
        <v>96</v>
      </c>
      <c r="V373">
        <v>66</v>
      </c>
      <c r="W373" t="s">
        <v>1762</v>
      </c>
      <c r="X373" t="s">
        <v>1763</v>
      </c>
      <c r="Y373" t="s">
        <v>1764</v>
      </c>
      <c r="Z373" t="s">
        <v>1765</v>
      </c>
      <c r="AA373" t="s">
        <v>1766</v>
      </c>
      <c r="AB373" t="s">
        <v>1767</v>
      </c>
      <c r="AC373" t="s">
        <v>1768</v>
      </c>
      <c r="AD373" s="5">
        <v>0.1</v>
      </c>
      <c r="AE373" t="s">
        <v>266</v>
      </c>
      <c r="AF373" t="s">
        <v>1761</v>
      </c>
      <c r="AG373" t="s">
        <v>105</v>
      </c>
    </row>
    <row r="374" spans="1:33" x14ac:dyDescent="0.2">
      <c r="A374" s="2">
        <v>45009.525995370372</v>
      </c>
      <c r="B374" s="2">
        <v>45009.53087962963</v>
      </c>
      <c r="C374" t="s">
        <v>36</v>
      </c>
      <c r="D374" t="s">
        <v>1769</v>
      </c>
      <c r="E374">
        <v>100</v>
      </c>
      <c r="F374">
        <v>422</v>
      </c>
      <c r="G374" t="b">
        <v>1</v>
      </c>
      <c r="H374" s="2">
        <v>45009.530891203707</v>
      </c>
      <c r="I374" t="s">
        <v>1770</v>
      </c>
      <c r="N374">
        <v>35.447099999999999</v>
      </c>
      <c r="O374">
        <v>-97.5595</v>
      </c>
      <c r="P374" t="s">
        <v>100</v>
      </c>
      <c r="Q374" t="s">
        <v>95</v>
      </c>
      <c r="R374" t="s">
        <v>1771</v>
      </c>
      <c r="S374" t="s">
        <v>96</v>
      </c>
      <c r="V374">
        <v>47</v>
      </c>
      <c r="W374" t="s">
        <v>1772</v>
      </c>
      <c r="X374">
        <v>300</v>
      </c>
      <c r="Y374">
        <v>10</v>
      </c>
      <c r="Z374" s="4">
        <v>1E-3</v>
      </c>
      <c r="AA374">
        <v>20</v>
      </c>
      <c r="AB374">
        <v>10</v>
      </c>
      <c r="AC374" t="s">
        <v>103</v>
      </c>
      <c r="AD374">
        <v>0.1</v>
      </c>
      <c r="AE374" t="s">
        <v>104</v>
      </c>
      <c r="AF374" t="s">
        <v>1771</v>
      </c>
      <c r="AG374" t="s">
        <v>97</v>
      </c>
    </row>
    <row r="375" spans="1:33" x14ac:dyDescent="0.2">
      <c r="A375" s="2">
        <v>45009.518622685187</v>
      </c>
      <c r="B375" s="2">
        <v>45009.530949074076</v>
      </c>
      <c r="C375" t="s">
        <v>36</v>
      </c>
      <c r="D375" t="s">
        <v>1773</v>
      </c>
      <c r="E375">
        <v>100</v>
      </c>
      <c r="F375">
        <v>1064</v>
      </c>
      <c r="G375" t="b">
        <v>1</v>
      </c>
      <c r="H375" s="2">
        <v>45009.530949074076</v>
      </c>
      <c r="I375" t="s">
        <v>1774</v>
      </c>
      <c r="N375">
        <v>34.892400000000002</v>
      </c>
      <c r="O375">
        <v>-117.04510000000001</v>
      </c>
      <c r="P375" t="s">
        <v>100</v>
      </c>
      <c r="Q375" t="s">
        <v>95</v>
      </c>
      <c r="R375" t="s">
        <v>1775</v>
      </c>
      <c r="S375" t="s">
        <v>96</v>
      </c>
      <c r="T375">
        <v>74</v>
      </c>
      <c r="V375">
        <v>93</v>
      </c>
      <c r="W375" t="s">
        <v>1776</v>
      </c>
      <c r="X375" t="s">
        <v>1777</v>
      </c>
      <c r="Y375">
        <v>100</v>
      </c>
      <c r="Z375" t="s">
        <v>1778</v>
      </c>
      <c r="AA375">
        <v>25</v>
      </c>
      <c r="AB375">
        <v>100</v>
      </c>
      <c r="AC375" t="s">
        <v>1779</v>
      </c>
      <c r="AD375" t="s">
        <v>159</v>
      </c>
      <c r="AE375" t="s">
        <v>104</v>
      </c>
      <c r="AF375" t="s">
        <v>1775</v>
      </c>
      <c r="AG375" t="s">
        <v>125</v>
      </c>
    </row>
    <row r="376" spans="1:33" x14ac:dyDescent="0.2">
      <c r="A376" s="2">
        <v>45009.521909722222</v>
      </c>
      <c r="B376" s="2">
        <v>45009.531053240738</v>
      </c>
      <c r="C376" t="s">
        <v>36</v>
      </c>
      <c r="D376" t="s">
        <v>1780</v>
      </c>
      <c r="E376">
        <v>100</v>
      </c>
      <c r="F376">
        <v>789</v>
      </c>
      <c r="G376" t="b">
        <v>1</v>
      </c>
      <c r="H376" s="2">
        <v>45009.531053240738</v>
      </c>
      <c r="I376" t="s">
        <v>1781</v>
      </c>
      <c r="N376">
        <v>30.517800000000001</v>
      </c>
      <c r="O376">
        <v>-92.087800000000001</v>
      </c>
      <c r="P376" t="s">
        <v>100</v>
      </c>
      <c r="Q376" t="s">
        <v>95</v>
      </c>
      <c r="R376" t="s">
        <v>1782</v>
      </c>
      <c r="S376" t="s">
        <v>96</v>
      </c>
      <c r="V376">
        <v>79</v>
      </c>
      <c r="W376" t="s">
        <v>1783</v>
      </c>
      <c r="X376">
        <v>387</v>
      </c>
      <c r="Y376">
        <v>0.01</v>
      </c>
      <c r="Z376">
        <v>1E-3</v>
      </c>
      <c r="AA376">
        <v>0.2</v>
      </c>
      <c r="AB376">
        <v>10</v>
      </c>
      <c r="AC376">
        <v>0.18</v>
      </c>
      <c r="AD376">
        <v>5</v>
      </c>
      <c r="AE376">
        <v>5</v>
      </c>
      <c r="AF376" t="s">
        <v>1782</v>
      </c>
      <c r="AG376" t="s">
        <v>105</v>
      </c>
    </row>
    <row r="377" spans="1:33" x14ac:dyDescent="0.2">
      <c r="A377" s="2">
        <v>45009.518437500003</v>
      </c>
      <c r="B377" s="2">
        <v>45009.531076388892</v>
      </c>
      <c r="C377" t="s">
        <v>36</v>
      </c>
      <c r="D377" t="s">
        <v>1784</v>
      </c>
      <c r="E377">
        <v>100</v>
      </c>
      <c r="F377">
        <v>1091</v>
      </c>
      <c r="G377" t="b">
        <v>1</v>
      </c>
      <c r="H377" s="2">
        <v>45009.531076388892</v>
      </c>
      <c r="I377" t="s">
        <v>1785</v>
      </c>
      <c r="N377">
        <v>33.751800000000003</v>
      </c>
      <c r="O377">
        <v>-117.9932</v>
      </c>
      <c r="P377" t="s">
        <v>100</v>
      </c>
      <c r="Q377" t="s">
        <v>95</v>
      </c>
      <c r="R377" t="s">
        <v>1786</v>
      </c>
      <c r="S377" t="s">
        <v>96</v>
      </c>
      <c r="T377">
        <v>65</v>
      </c>
      <c r="V377">
        <v>70</v>
      </c>
      <c r="W377" t="s">
        <v>1787</v>
      </c>
      <c r="X377">
        <v>500</v>
      </c>
      <c r="Y377">
        <v>10</v>
      </c>
      <c r="Z377">
        <v>0.1</v>
      </c>
      <c r="AA377">
        <v>20</v>
      </c>
      <c r="AB377">
        <v>100</v>
      </c>
      <c r="AC377" s="3">
        <v>0.9</v>
      </c>
      <c r="AD377" s="5">
        <v>0.05</v>
      </c>
      <c r="AE377" t="s">
        <v>266</v>
      </c>
      <c r="AF377" t="s">
        <v>1786</v>
      </c>
      <c r="AG377" t="s">
        <v>125</v>
      </c>
    </row>
    <row r="378" spans="1:33" x14ac:dyDescent="0.2">
      <c r="A378" s="2">
        <v>45009.519953703704</v>
      </c>
      <c r="B378" s="2">
        <v>45009.531215277777</v>
      </c>
      <c r="C378" t="s">
        <v>36</v>
      </c>
      <c r="D378" t="s">
        <v>1788</v>
      </c>
      <c r="E378">
        <v>100</v>
      </c>
      <c r="F378">
        <v>973</v>
      </c>
      <c r="G378" t="b">
        <v>1</v>
      </c>
      <c r="H378" s="2">
        <v>45009.531226851854</v>
      </c>
      <c r="I378" t="s">
        <v>1789</v>
      </c>
      <c r="N378">
        <v>35.583100000000002</v>
      </c>
      <c r="O378">
        <v>-78.7881</v>
      </c>
      <c r="P378" t="s">
        <v>100</v>
      </c>
      <c r="Q378" t="s">
        <v>95</v>
      </c>
      <c r="R378" t="s">
        <v>1790</v>
      </c>
      <c r="S378" t="s">
        <v>96</v>
      </c>
      <c r="V378">
        <v>82</v>
      </c>
      <c r="W378" t="s">
        <v>1791</v>
      </c>
      <c r="X378">
        <v>375</v>
      </c>
      <c r="Y378">
        <v>10</v>
      </c>
      <c r="Z378">
        <v>1E-3</v>
      </c>
      <c r="AA378">
        <v>0.2</v>
      </c>
      <c r="AB378">
        <v>10</v>
      </c>
      <c r="AC378">
        <v>0.9</v>
      </c>
      <c r="AD378">
        <v>10</v>
      </c>
      <c r="AE378">
        <v>5</v>
      </c>
      <c r="AF378" t="s">
        <v>1790</v>
      </c>
      <c r="AG378" t="s">
        <v>111</v>
      </c>
    </row>
    <row r="379" spans="1:33" x14ac:dyDescent="0.2">
      <c r="A379" s="2">
        <v>45009.521666666667</v>
      </c>
      <c r="B379" s="2">
        <v>45009.531319444446</v>
      </c>
      <c r="C379" t="s">
        <v>36</v>
      </c>
      <c r="D379" t="s">
        <v>1792</v>
      </c>
      <c r="E379">
        <v>100</v>
      </c>
      <c r="F379">
        <v>834</v>
      </c>
      <c r="G379" t="b">
        <v>1</v>
      </c>
      <c r="H379" s="2">
        <v>45009.531319444446</v>
      </c>
      <c r="I379" t="s">
        <v>1793</v>
      </c>
      <c r="N379">
        <v>42.530099999999997</v>
      </c>
      <c r="O379">
        <v>-71.755300000000005</v>
      </c>
      <c r="P379" t="s">
        <v>100</v>
      </c>
      <c r="Q379" t="s">
        <v>95</v>
      </c>
      <c r="R379" t="s">
        <v>1794</v>
      </c>
      <c r="S379" t="s">
        <v>96</v>
      </c>
      <c r="V379">
        <v>88</v>
      </c>
      <c r="W379" t="s">
        <v>1795</v>
      </c>
      <c r="X379">
        <v>500</v>
      </c>
      <c r="Y379" s="4">
        <v>1.0000000000000001E-5</v>
      </c>
      <c r="Z379" s="4">
        <v>1.0000000000000001E-5</v>
      </c>
      <c r="AA379" s="3">
        <v>0.2</v>
      </c>
      <c r="AB379" s="3">
        <v>0.01</v>
      </c>
      <c r="AC379" t="s">
        <v>1796</v>
      </c>
      <c r="AD379">
        <v>0.1</v>
      </c>
      <c r="AE379" t="s">
        <v>266</v>
      </c>
      <c r="AF379" t="s">
        <v>1794</v>
      </c>
      <c r="AG379" t="s">
        <v>97</v>
      </c>
    </row>
    <row r="380" spans="1:33" x14ac:dyDescent="0.2">
      <c r="A380" s="2">
        <v>45009.519097222219</v>
      </c>
      <c r="B380" s="2">
        <v>45009.531365740739</v>
      </c>
      <c r="C380" t="s">
        <v>36</v>
      </c>
      <c r="D380" t="s">
        <v>1797</v>
      </c>
      <c r="E380">
        <v>100</v>
      </c>
      <c r="F380">
        <v>1059</v>
      </c>
      <c r="G380" t="b">
        <v>1</v>
      </c>
      <c r="H380" s="2">
        <v>45009.531365740739</v>
      </c>
      <c r="I380" t="s">
        <v>1798</v>
      </c>
      <c r="N380">
        <v>35.229599999999998</v>
      </c>
      <c r="O380">
        <v>-80.843000000000004</v>
      </c>
      <c r="P380" t="s">
        <v>100</v>
      </c>
      <c r="Q380" t="s">
        <v>95</v>
      </c>
      <c r="R380" t="s">
        <v>1799</v>
      </c>
      <c r="S380" t="s">
        <v>96</v>
      </c>
      <c r="V380">
        <v>65</v>
      </c>
      <c r="W380" t="s">
        <v>1800</v>
      </c>
      <c r="X380" t="s">
        <v>715</v>
      </c>
      <c r="Y380" t="s">
        <v>716</v>
      </c>
      <c r="Z380" s="4">
        <v>1E-3</v>
      </c>
      <c r="AA380">
        <v>20</v>
      </c>
      <c r="AB380">
        <v>100</v>
      </c>
      <c r="AC380" s="3">
        <v>0.09</v>
      </c>
      <c r="AD380" s="5">
        <v>0.05</v>
      </c>
      <c r="AE380" t="s">
        <v>266</v>
      </c>
      <c r="AF380" t="s">
        <v>1799</v>
      </c>
      <c r="AG380" t="s">
        <v>111</v>
      </c>
    </row>
    <row r="381" spans="1:33" x14ac:dyDescent="0.2">
      <c r="A381" s="2">
        <v>45009.519791666666</v>
      </c>
      <c r="B381" s="2">
        <v>45009.531678240739</v>
      </c>
      <c r="C381" t="s">
        <v>36</v>
      </c>
      <c r="D381" t="s">
        <v>1801</v>
      </c>
      <c r="E381">
        <v>100</v>
      </c>
      <c r="F381">
        <v>1026</v>
      </c>
      <c r="G381" t="b">
        <v>1</v>
      </c>
      <c r="H381" s="2">
        <v>45009.531678240739</v>
      </c>
      <c r="I381" t="s">
        <v>1802</v>
      </c>
      <c r="N381">
        <v>33.7256</v>
      </c>
      <c r="O381">
        <v>-117.9119</v>
      </c>
      <c r="P381" t="s">
        <v>100</v>
      </c>
      <c r="Q381" t="s">
        <v>95</v>
      </c>
      <c r="R381" t="s">
        <v>1803</v>
      </c>
      <c r="S381" t="s">
        <v>96</v>
      </c>
      <c r="V381">
        <v>37</v>
      </c>
      <c r="W381" t="s">
        <v>1804</v>
      </c>
      <c r="X381">
        <v>500</v>
      </c>
      <c r="Y381">
        <v>10</v>
      </c>
      <c r="Z381" s="4">
        <v>1.0000000000000001E-5</v>
      </c>
      <c r="AA381" s="4">
        <v>2E-3</v>
      </c>
      <c r="AB381">
        <v>100</v>
      </c>
      <c r="AC381" s="4">
        <v>1.7999999999999999E-2</v>
      </c>
      <c r="AD381">
        <v>0.1</v>
      </c>
      <c r="AE381">
        <v>500</v>
      </c>
      <c r="AF381" t="s">
        <v>1803</v>
      </c>
      <c r="AG381" t="s">
        <v>111</v>
      </c>
    </row>
    <row r="382" spans="1:33" x14ac:dyDescent="0.2">
      <c r="A382" s="2">
        <v>45009.520069444443</v>
      </c>
      <c r="B382" s="2">
        <v>45009.532627314817</v>
      </c>
      <c r="C382" t="s">
        <v>36</v>
      </c>
      <c r="D382" t="s">
        <v>1805</v>
      </c>
      <c r="E382">
        <v>100</v>
      </c>
      <c r="F382">
        <v>1084</v>
      </c>
      <c r="G382" t="b">
        <v>1</v>
      </c>
      <c r="H382" s="2">
        <v>45009.532627314817</v>
      </c>
      <c r="I382" t="s">
        <v>1806</v>
      </c>
      <c r="N382">
        <v>38.636400000000002</v>
      </c>
      <c r="O382">
        <v>-90.198499999999996</v>
      </c>
      <c r="P382" t="s">
        <v>100</v>
      </c>
      <c r="Q382" t="s">
        <v>95</v>
      </c>
      <c r="R382" t="s">
        <v>1807</v>
      </c>
      <c r="S382" t="s">
        <v>96</v>
      </c>
      <c r="V382">
        <v>64</v>
      </c>
      <c r="W382" t="s">
        <v>1808</v>
      </c>
      <c r="X382">
        <v>280</v>
      </c>
      <c r="Y382">
        <v>100</v>
      </c>
      <c r="Z382">
        <v>1</v>
      </c>
      <c r="AA382">
        <v>30</v>
      </c>
      <c r="AB382">
        <v>100</v>
      </c>
      <c r="AC382" s="3">
        <v>0.4</v>
      </c>
      <c r="AD382">
        <v>10</v>
      </c>
      <c r="AE382">
        <v>5</v>
      </c>
      <c r="AF382" t="s">
        <v>1807</v>
      </c>
      <c r="AG382" t="s">
        <v>105</v>
      </c>
    </row>
    <row r="383" spans="1:33" x14ac:dyDescent="0.2">
      <c r="A383" s="2">
        <v>45009.520173611112</v>
      </c>
      <c r="B383" s="2">
        <v>45009.532858796294</v>
      </c>
      <c r="C383" t="s">
        <v>36</v>
      </c>
      <c r="D383" t="s">
        <v>1809</v>
      </c>
      <c r="E383">
        <v>100</v>
      </c>
      <c r="F383">
        <v>1096</v>
      </c>
      <c r="G383" t="b">
        <v>1</v>
      </c>
      <c r="H383" s="2">
        <v>45009.532858796294</v>
      </c>
      <c r="I383" t="s">
        <v>1810</v>
      </c>
      <c r="N383">
        <v>40.761099999999999</v>
      </c>
      <c r="O383">
        <v>-111.9003</v>
      </c>
      <c r="P383" t="s">
        <v>100</v>
      </c>
      <c r="Q383" t="s">
        <v>95</v>
      </c>
      <c r="R383" t="s">
        <v>1811</v>
      </c>
      <c r="S383" t="s">
        <v>96</v>
      </c>
      <c r="V383">
        <v>25</v>
      </c>
      <c r="W383" t="s">
        <v>1812</v>
      </c>
      <c r="X383">
        <v>500</v>
      </c>
      <c r="Y383">
        <v>10</v>
      </c>
      <c r="Z383">
        <v>0.01</v>
      </c>
      <c r="AA383">
        <v>20</v>
      </c>
      <c r="AB383">
        <v>100</v>
      </c>
      <c r="AC383" s="3">
        <v>0.1</v>
      </c>
      <c r="AD383">
        <v>0.05</v>
      </c>
      <c r="AE383" t="s">
        <v>104</v>
      </c>
      <c r="AF383" t="s">
        <v>1811</v>
      </c>
      <c r="AG383" t="s">
        <v>105</v>
      </c>
    </row>
    <row r="384" spans="1:33" x14ac:dyDescent="0.2">
      <c r="A384" s="2">
        <v>45009.520196759258</v>
      </c>
      <c r="B384" s="2">
        <v>45009.533958333333</v>
      </c>
      <c r="C384" t="s">
        <v>36</v>
      </c>
      <c r="D384" t="s">
        <v>1813</v>
      </c>
      <c r="E384">
        <v>100</v>
      </c>
      <c r="F384">
        <v>1188</v>
      </c>
      <c r="G384" t="b">
        <v>1</v>
      </c>
      <c r="H384" s="2">
        <v>45009.533958333333</v>
      </c>
      <c r="I384" t="s">
        <v>1814</v>
      </c>
      <c r="N384">
        <v>40.905799999999999</v>
      </c>
      <c r="O384">
        <v>-74.099199999999996</v>
      </c>
      <c r="P384" t="s">
        <v>100</v>
      </c>
      <c r="Q384" t="s">
        <v>95</v>
      </c>
      <c r="R384" t="s">
        <v>1815</v>
      </c>
      <c r="S384" t="s">
        <v>96</v>
      </c>
      <c r="T384">
        <v>25</v>
      </c>
      <c r="U384" t="s">
        <v>1816</v>
      </c>
      <c r="V384">
        <v>24</v>
      </c>
      <c r="W384" t="s">
        <v>1817</v>
      </c>
      <c r="X384">
        <v>500</v>
      </c>
      <c r="Y384">
        <v>10</v>
      </c>
      <c r="Z384">
        <v>0.1</v>
      </c>
      <c r="AA384">
        <v>20</v>
      </c>
      <c r="AB384">
        <v>100</v>
      </c>
      <c r="AC384" t="s">
        <v>175</v>
      </c>
      <c r="AD384" t="s">
        <v>159</v>
      </c>
      <c r="AE384" t="s">
        <v>104</v>
      </c>
      <c r="AF384" t="s">
        <v>1815</v>
      </c>
      <c r="AG384" t="s">
        <v>125</v>
      </c>
    </row>
    <row r="385" spans="1:33" x14ac:dyDescent="0.2">
      <c r="A385" s="2">
        <v>45009.526053240741</v>
      </c>
      <c r="B385" s="2">
        <v>45009.533993055556</v>
      </c>
      <c r="C385" t="s">
        <v>36</v>
      </c>
      <c r="D385" t="s">
        <v>1818</v>
      </c>
      <c r="E385">
        <v>100</v>
      </c>
      <c r="F385">
        <v>685</v>
      </c>
      <c r="G385" t="b">
        <v>1</v>
      </c>
      <c r="H385" s="2">
        <v>45009.533993055556</v>
      </c>
      <c r="I385" t="s">
        <v>1819</v>
      </c>
      <c r="N385">
        <v>33.659799999999997</v>
      </c>
      <c r="O385">
        <v>-117.3485</v>
      </c>
      <c r="P385" t="s">
        <v>100</v>
      </c>
      <c r="Q385" t="s">
        <v>95</v>
      </c>
      <c r="R385" t="s">
        <v>1820</v>
      </c>
      <c r="S385" t="s">
        <v>96</v>
      </c>
      <c r="V385">
        <v>82</v>
      </c>
      <c r="W385" t="s">
        <v>1821</v>
      </c>
      <c r="X385">
        <v>500</v>
      </c>
      <c r="Y385">
        <v>10</v>
      </c>
      <c r="Z385" s="4">
        <v>1E-4</v>
      </c>
      <c r="AA385">
        <v>20</v>
      </c>
      <c r="AB385">
        <v>100</v>
      </c>
      <c r="AC385">
        <v>9</v>
      </c>
      <c r="AD385">
        <v>0.1</v>
      </c>
      <c r="AE385" t="s">
        <v>266</v>
      </c>
      <c r="AF385" t="s">
        <v>1820</v>
      </c>
      <c r="AG385" t="s">
        <v>105</v>
      </c>
    </row>
    <row r="386" spans="1:33" x14ac:dyDescent="0.2">
      <c r="A386" s="2">
        <v>45009.517870370371</v>
      </c>
      <c r="B386" s="2">
        <v>45009.534270833334</v>
      </c>
      <c r="C386" t="s">
        <v>36</v>
      </c>
      <c r="D386" t="s">
        <v>1822</v>
      </c>
      <c r="E386">
        <v>100</v>
      </c>
      <c r="F386">
        <v>1416</v>
      </c>
      <c r="G386" t="b">
        <v>1</v>
      </c>
      <c r="H386" s="2">
        <v>45009.534282407411</v>
      </c>
      <c r="I386" t="s">
        <v>1823</v>
      </c>
      <c r="N386">
        <v>47.613700000000001</v>
      </c>
      <c r="O386">
        <v>-122.3104</v>
      </c>
      <c r="P386" t="s">
        <v>100</v>
      </c>
      <c r="Q386" t="s">
        <v>95</v>
      </c>
      <c r="R386" t="s">
        <v>1824</v>
      </c>
      <c r="S386" t="s">
        <v>96</v>
      </c>
      <c r="V386">
        <v>90</v>
      </c>
      <c r="W386" t="s">
        <v>1825</v>
      </c>
      <c r="X386">
        <v>500</v>
      </c>
      <c r="Y386">
        <v>10</v>
      </c>
      <c r="Z386">
        <v>0.1</v>
      </c>
      <c r="AA386">
        <v>20</v>
      </c>
      <c r="AB386">
        <v>100</v>
      </c>
      <c r="AC386">
        <v>56</v>
      </c>
      <c r="AD386">
        <v>0.05</v>
      </c>
      <c r="AE386" t="s">
        <v>104</v>
      </c>
      <c r="AF386" t="s">
        <v>1824</v>
      </c>
      <c r="AG386" t="s">
        <v>105</v>
      </c>
    </row>
    <row r="387" spans="1:33" x14ac:dyDescent="0.2">
      <c r="A387" s="2">
        <v>45009.529548611114</v>
      </c>
      <c r="B387" s="2">
        <v>45009.534583333334</v>
      </c>
      <c r="C387" t="s">
        <v>36</v>
      </c>
      <c r="D387" t="s">
        <v>1826</v>
      </c>
      <c r="E387">
        <v>100</v>
      </c>
      <c r="F387">
        <v>434</v>
      </c>
      <c r="G387" t="b">
        <v>1</v>
      </c>
      <c r="H387" s="2">
        <v>45009.534583333334</v>
      </c>
      <c r="I387" t="s">
        <v>1827</v>
      </c>
      <c r="N387">
        <v>32.720300000000002</v>
      </c>
      <c r="O387">
        <v>-117.15519999999999</v>
      </c>
      <c r="P387" t="s">
        <v>100</v>
      </c>
      <c r="Q387" t="s">
        <v>95</v>
      </c>
      <c r="R387" t="s">
        <v>1828</v>
      </c>
      <c r="S387" t="s">
        <v>96</v>
      </c>
      <c r="V387">
        <v>40</v>
      </c>
      <c r="W387" t="s">
        <v>1829</v>
      </c>
      <c r="X387">
        <v>500</v>
      </c>
      <c r="Y387">
        <v>10</v>
      </c>
      <c r="Z387">
        <v>0.1</v>
      </c>
      <c r="AA387">
        <v>20</v>
      </c>
      <c r="AB387">
        <v>100</v>
      </c>
      <c r="AC387">
        <v>10</v>
      </c>
      <c r="AD387">
        <v>5</v>
      </c>
      <c r="AE387">
        <v>5</v>
      </c>
      <c r="AF387" t="s">
        <v>1828</v>
      </c>
      <c r="AG387" t="s">
        <v>111</v>
      </c>
    </row>
    <row r="388" spans="1:33" x14ac:dyDescent="0.2">
      <c r="A388" s="2">
        <v>45009.515648148146</v>
      </c>
      <c r="B388" s="2">
        <v>45009.53465277778</v>
      </c>
      <c r="C388" t="s">
        <v>36</v>
      </c>
      <c r="D388" t="s">
        <v>1830</v>
      </c>
      <c r="E388">
        <v>100</v>
      </c>
      <c r="F388">
        <v>1641</v>
      </c>
      <c r="G388" t="b">
        <v>1</v>
      </c>
      <c r="H388" s="2">
        <v>45009.53465277778</v>
      </c>
      <c r="I388" t="s">
        <v>1831</v>
      </c>
      <c r="N388">
        <v>30.003499999999999</v>
      </c>
      <c r="O388">
        <v>-95.283199999999994</v>
      </c>
      <c r="P388" t="s">
        <v>100</v>
      </c>
      <c r="Q388" t="s">
        <v>95</v>
      </c>
      <c r="R388" t="s">
        <v>1832</v>
      </c>
      <c r="S388" t="s">
        <v>96</v>
      </c>
      <c r="V388">
        <v>100</v>
      </c>
      <c r="W388" t="s">
        <v>1833</v>
      </c>
      <c r="X388">
        <v>500</v>
      </c>
      <c r="Y388">
        <v>1</v>
      </c>
      <c r="Z388" s="3">
        <v>0.01</v>
      </c>
      <c r="AA388" s="3">
        <v>0.2</v>
      </c>
      <c r="AB388">
        <v>100</v>
      </c>
      <c r="AC388">
        <v>10</v>
      </c>
      <c r="AD388" s="5">
        <v>0.1</v>
      </c>
      <c r="AE388" s="8">
        <v>10000</v>
      </c>
      <c r="AF388" t="s">
        <v>1832</v>
      </c>
      <c r="AG388" t="s">
        <v>97</v>
      </c>
    </row>
    <row r="389" spans="1:33" x14ac:dyDescent="0.2">
      <c r="A389" s="2">
        <v>45009.531863425924</v>
      </c>
      <c r="B389" s="2">
        <v>45009.534745370373</v>
      </c>
      <c r="C389" t="s">
        <v>36</v>
      </c>
      <c r="D389" t="s">
        <v>1834</v>
      </c>
      <c r="E389">
        <v>100</v>
      </c>
      <c r="F389">
        <v>249</v>
      </c>
      <c r="G389" t="b">
        <v>1</v>
      </c>
      <c r="H389" s="2">
        <v>45009.534756944442</v>
      </c>
      <c r="I389" t="s">
        <v>1835</v>
      </c>
      <c r="N389">
        <v>40.4953</v>
      </c>
      <c r="O389">
        <v>-111.9439</v>
      </c>
      <c r="P389" t="s">
        <v>100</v>
      </c>
      <c r="Q389" t="s">
        <v>95</v>
      </c>
      <c r="R389" t="s">
        <v>1836</v>
      </c>
      <c r="S389" t="s">
        <v>96</v>
      </c>
      <c r="V389">
        <v>95</v>
      </c>
      <c r="W389" t="s">
        <v>1837</v>
      </c>
      <c r="X389">
        <v>500</v>
      </c>
      <c r="Y389">
        <v>10</v>
      </c>
      <c r="Z389">
        <v>1000</v>
      </c>
      <c r="AA389">
        <v>20</v>
      </c>
      <c r="AB389">
        <v>100</v>
      </c>
      <c r="AC389" t="s">
        <v>569</v>
      </c>
      <c r="AD389">
        <v>10</v>
      </c>
      <c r="AE389" t="s">
        <v>104</v>
      </c>
      <c r="AF389" t="s">
        <v>1836</v>
      </c>
      <c r="AG389" t="s">
        <v>111</v>
      </c>
    </row>
    <row r="390" spans="1:33" x14ac:dyDescent="0.2">
      <c r="A390" s="2">
        <v>45009.520532407405</v>
      </c>
      <c r="B390" s="2">
        <v>45009.535104166665</v>
      </c>
      <c r="C390" t="s">
        <v>36</v>
      </c>
      <c r="D390" t="s">
        <v>1838</v>
      </c>
      <c r="E390">
        <v>100</v>
      </c>
      <c r="F390">
        <v>1259</v>
      </c>
      <c r="G390" t="b">
        <v>1</v>
      </c>
      <c r="H390" s="2">
        <v>45009.535115740742</v>
      </c>
      <c r="I390" t="s">
        <v>1839</v>
      </c>
      <c r="N390">
        <v>38.628300000000003</v>
      </c>
      <c r="O390">
        <v>-121.33069999999999</v>
      </c>
      <c r="P390" t="s">
        <v>100</v>
      </c>
      <c r="Q390" t="s">
        <v>95</v>
      </c>
      <c r="R390" t="s">
        <v>1840</v>
      </c>
      <c r="S390" t="s">
        <v>96</v>
      </c>
      <c r="V390">
        <v>100</v>
      </c>
      <c r="W390" t="s">
        <v>1841</v>
      </c>
      <c r="X390" t="s">
        <v>1842</v>
      </c>
      <c r="Y390" t="s">
        <v>1843</v>
      </c>
      <c r="Z390">
        <v>1E-3</v>
      </c>
      <c r="AA390">
        <v>20</v>
      </c>
      <c r="AB390">
        <v>100</v>
      </c>
      <c r="AC390" t="s">
        <v>1844</v>
      </c>
      <c r="AD390">
        <v>0.05</v>
      </c>
      <c r="AE390" t="s">
        <v>104</v>
      </c>
      <c r="AF390" t="s">
        <v>1840</v>
      </c>
      <c r="AG390" t="s">
        <v>97</v>
      </c>
    </row>
    <row r="391" spans="1:33" x14ac:dyDescent="0.2">
      <c r="A391" s="2">
        <v>45009.523506944446</v>
      </c>
      <c r="B391" s="2">
        <v>45009.536724537036</v>
      </c>
      <c r="C391" t="s">
        <v>36</v>
      </c>
      <c r="D391" t="s">
        <v>1845</v>
      </c>
      <c r="E391">
        <v>100</v>
      </c>
      <c r="F391">
        <v>1142</v>
      </c>
      <c r="G391" t="b">
        <v>1</v>
      </c>
      <c r="H391" s="2">
        <v>45009.536736111113</v>
      </c>
      <c r="I391" t="s">
        <v>1846</v>
      </c>
      <c r="N391">
        <v>33.833199999999998</v>
      </c>
      <c r="O391">
        <v>-84.603099999999998</v>
      </c>
      <c r="P391" t="s">
        <v>100</v>
      </c>
      <c r="Q391" t="s">
        <v>95</v>
      </c>
      <c r="R391" s="6" t="s">
        <v>1847</v>
      </c>
      <c r="S391" t="s">
        <v>96</v>
      </c>
      <c r="V391">
        <v>90</v>
      </c>
      <c r="W391" t="s">
        <v>1848</v>
      </c>
      <c r="X391">
        <v>500</v>
      </c>
      <c r="Y391">
        <v>10</v>
      </c>
      <c r="Z391">
        <v>1E-3</v>
      </c>
      <c r="AA391">
        <v>20</v>
      </c>
      <c r="AB391">
        <v>100</v>
      </c>
      <c r="AC391" s="3">
        <v>0.1</v>
      </c>
      <c r="AD391">
        <v>0.05</v>
      </c>
      <c r="AE391" t="s">
        <v>104</v>
      </c>
      <c r="AF391" s="6" t="s">
        <v>1847</v>
      </c>
      <c r="AG391" t="s">
        <v>97</v>
      </c>
    </row>
    <row r="392" spans="1:33" x14ac:dyDescent="0.2">
      <c r="A392" s="2">
        <v>45009.519467592596</v>
      </c>
      <c r="B392" s="2">
        <v>45009.536782407406</v>
      </c>
      <c r="C392" t="s">
        <v>36</v>
      </c>
      <c r="D392" t="s">
        <v>1849</v>
      </c>
      <c r="E392">
        <v>100</v>
      </c>
      <c r="F392">
        <v>1495</v>
      </c>
      <c r="G392" t="b">
        <v>1</v>
      </c>
      <c r="H392" s="2">
        <v>45009.536782407406</v>
      </c>
      <c r="I392" t="s">
        <v>1850</v>
      </c>
      <c r="N392">
        <v>35.770400000000002</v>
      </c>
      <c r="O392">
        <v>-78.629300000000001</v>
      </c>
      <c r="P392" t="s">
        <v>100</v>
      </c>
      <c r="Q392" t="s">
        <v>95</v>
      </c>
      <c r="R392" t="s">
        <v>1851</v>
      </c>
      <c r="S392" t="s">
        <v>96</v>
      </c>
      <c r="V392">
        <v>100</v>
      </c>
      <c r="W392" t="s">
        <v>1852</v>
      </c>
      <c r="X392" t="s">
        <v>1853</v>
      </c>
      <c r="Y392" t="s">
        <v>1854</v>
      </c>
      <c r="Z392" t="s">
        <v>1855</v>
      </c>
      <c r="AA392" t="s">
        <v>1856</v>
      </c>
      <c r="AB392" t="s">
        <v>1857</v>
      </c>
      <c r="AC392" t="s">
        <v>1858</v>
      </c>
      <c r="AD392" t="s">
        <v>760</v>
      </c>
      <c r="AE392" t="s">
        <v>1859</v>
      </c>
      <c r="AF392" t="s">
        <v>1851</v>
      </c>
      <c r="AG392" t="s">
        <v>105</v>
      </c>
    </row>
    <row r="393" spans="1:33" x14ac:dyDescent="0.2">
      <c r="A393" s="2">
        <v>45009.521643518521</v>
      </c>
      <c r="B393" s="2">
        <v>45009.536851851852</v>
      </c>
      <c r="C393" t="s">
        <v>36</v>
      </c>
      <c r="D393" t="s">
        <v>1860</v>
      </c>
      <c r="E393">
        <v>100</v>
      </c>
      <c r="F393">
        <v>1313</v>
      </c>
      <c r="G393" t="b">
        <v>1</v>
      </c>
      <c r="H393" s="2">
        <v>45009.536851851852</v>
      </c>
      <c r="I393" t="s">
        <v>1861</v>
      </c>
      <c r="N393">
        <v>42.1845</v>
      </c>
      <c r="O393">
        <v>-88.326599999999999</v>
      </c>
      <c r="P393" t="s">
        <v>100</v>
      </c>
      <c r="Q393" t="s">
        <v>95</v>
      </c>
      <c r="R393" t="s">
        <v>1862</v>
      </c>
      <c r="S393" t="s">
        <v>96</v>
      </c>
      <c r="V393">
        <v>85</v>
      </c>
      <c r="W393" t="s">
        <v>1863</v>
      </c>
      <c r="X393">
        <v>500</v>
      </c>
      <c r="Y393">
        <v>10</v>
      </c>
      <c r="Z393">
        <v>0.1</v>
      </c>
      <c r="AA393">
        <v>20</v>
      </c>
      <c r="AB393">
        <v>100</v>
      </c>
      <c r="AC393" t="s">
        <v>1864</v>
      </c>
      <c r="AD393">
        <v>0.1</v>
      </c>
      <c r="AE393">
        <v>5</v>
      </c>
      <c r="AF393" t="s">
        <v>1862</v>
      </c>
      <c r="AG393" t="s">
        <v>97</v>
      </c>
    </row>
    <row r="394" spans="1:33" x14ac:dyDescent="0.2">
      <c r="A394" s="2">
        <v>45009.521134259259</v>
      </c>
      <c r="B394" s="2">
        <v>45009.537083333336</v>
      </c>
      <c r="C394" t="s">
        <v>36</v>
      </c>
      <c r="D394" t="s">
        <v>1865</v>
      </c>
      <c r="E394">
        <v>100</v>
      </c>
      <c r="F394">
        <v>1377</v>
      </c>
      <c r="G394" t="b">
        <v>1</v>
      </c>
      <c r="H394" s="2">
        <v>45009.537083333336</v>
      </c>
      <c r="I394" t="s">
        <v>1866</v>
      </c>
      <c r="N394">
        <v>41.848199999999999</v>
      </c>
      <c r="O394">
        <v>-87.652100000000004</v>
      </c>
      <c r="P394" t="s">
        <v>100</v>
      </c>
      <c r="Q394" t="s">
        <v>95</v>
      </c>
      <c r="R394" t="s">
        <v>1867</v>
      </c>
      <c r="S394" t="s">
        <v>96</v>
      </c>
      <c r="V394">
        <v>16</v>
      </c>
      <c r="W394" t="s">
        <v>1868</v>
      </c>
      <c r="X394" t="s">
        <v>715</v>
      </c>
      <c r="Y394" t="s">
        <v>716</v>
      </c>
      <c r="Z394" s="4">
        <v>1E-3</v>
      </c>
      <c r="AA394" s="3">
        <v>0.2</v>
      </c>
      <c r="AB394" t="s">
        <v>717</v>
      </c>
      <c r="AC394" s="3">
        <v>0.9</v>
      </c>
      <c r="AD394" t="s">
        <v>1869</v>
      </c>
      <c r="AE394" t="s">
        <v>266</v>
      </c>
      <c r="AF394" t="s">
        <v>1867</v>
      </c>
      <c r="AG394" t="s">
        <v>105</v>
      </c>
    </row>
    <row r="395" spans="1:33" x14ac:dyDescent="0.2">
      <c r="A395" s="2">
        <v>45009.532164351855</v>
      </c>
      <c r="B395" s="2">
        <v>45009.537430555552</v>
      </c>
      <c r="C395" t="s">
        <v>36</v>
      </c>
      <c r="D395" t="s">
        <v>1870</v>
      </c>
      <c r="E395">
        <v>100</v>
      </c>
      <c r="F395">
        <v>454</v>
      </c>
      <c r="G395" t="b">
        <v>1</v>
      </c>
      <c r="H395" s="2">
        <v>45009.537430555552</v>
      </c>
      <c r="I395" t="s">
        <v>1871</v>
      </c>
      <c r="N395">
        <v>34.777700000000003</v>
      </c>
      <c r="O395">
        <v>-86.544499999999999</v>
      </c>
      <c r="P395" t="s">
        <v>100</v>
      </c>
      <c r="Q395" t="s">
        <v>95</v>
      </c>
      <c r="R395" t="s">
        <v>1872</v>
      </c>
      <c r="S395" t="s">
        <v>96</v>
      </c>
      <c r="T395">
        <v>41</v>
      </c>
      <c r="U395">
        <v>30</v>
      </c>
      <c r="V395">
        <v>49</v>
      </c>
      <c r="W395" t="s">
        <v>1873</v>
      </c>
      <c r="X395">
        <v>500</v>
      </c>
      <c r="Y395">
        <v>10</v>
      </c>
      <c r="Z395" s="4">
        <v>1E-3</v>
      </c>
      <c r="AA395" s="3">
        <v>0.2</v>
      </c>
      <c r="AB395">
        <v>100</v>
      </c>
      <c r="AC395" s="3">
        <v>0.9</v>
      </c>
      <c r="AD395">
        <v>0.05</v>
      </c>
      <c r="AE395">
        <v>100</v>
      </c>
      <c r="AF395" t="s">
        <v>1872</v>
      </c>
      <c r="AG395" t="s">
        <v>125</v>
      </c>
    </row>
    <row r="396" spans="1:33" x14ac:dyDescent="0.2">
      <c r="A396" s="2">
        <v>45009.535381944443</v>
      </c>
      <c r="B396" s="2">
        <v>45009.538854166669</v>
      </c>
      <c r="C396" t="s">
        <v>36</v>
      </c>
      <c r="D396" t="s">
        <v>1874</v>
      </c>
      <c r="E396">
        <v>100</v>
      </c>
      <c r="F396">
        <v>300</v>
      </c>
      <c r="G396" t="b">
        <v>1</v>
      </c>
      <c r="H396" s="2">
        <v>45009.538854166669</v>
      </c>
      <c r="I396" t="s">
        <v>1875</v>
      </c>
      <c r="N396">
        <v>43.1496</v>
      </c>
      <c r="O396">
        <v>-93.194699999999997</v>
      </c>
      <c r="P396" t="s">
        <v>100</v>
      </c>
      <c r="Q396" t="s">
        <v>95</v>
      </c>
      <c r="R396" t="s">
        <v>1876</v>
      </c>
      <c r="S396" t="s">
        <v>96</v>
      </c>
      <c r="V396">
        <v>65</v>
      </c>
      <c r="W396" t="s">
        <v>1877</v>
      </c>
      <c r="X396">
        <v>500</v>
      </c>
      <c r="Y396">
        <v>10</v>
      </c>
      <c r="Z396">
        <v>0.1</v>
      </c>
      <c r="AA396">
        <v>20</v>
      </c>
      <c r="AB396">
        <v>100</v>
      </c>
      <c r="AC396">
        <v>18</v>
      </c>
      <c r="AD396">
        <v>0.05</v>
      </c>
      <c r="AE396" t="s">
        <v>104</v>
      </c>
      <c r="AF396" t="s">
        <v>1876</v>
      </c>
      <c r="AG396" t="s">
        <v>97</v>
      </c>
    </row>
    <row r="397" spans="1:33" x14ac:dyDescent="0.2">
      <c r="A397" s="2">
        <v>45009.506724537037</v>
      </c>
      <c r="B397" s="2">
        <v>45009.54042824074</v>
      </c>
      <c r="C397" t="s">
        <v>36</v>
      </c>
      <c r="D397" t="s">
        <v>1878</v>
      </c>
      <c r="E397">
        <v>100</v>
      </c>
      <c r="F397">
        <v>2912</v>
      </c>
      <c r="G397" t="b">
        <v>1</v>
      </c>
      <c r="H397" s="2">
        <v>45009.540439814817</v>
      </c>
      <c r="I397" t="s">
        <v>1879</v>
      </c>
      <c r="N397">
        <v>35.1004</v>
      </c>
      <c r="O397">
        <v>-90.028000000000006</v>
      </c>
      <c r="P397" t="s">
        <v>100</v>
      </c>
      <c r="Q397" t="s">
        <v>95</v>
      </c>
      <c r="R397" t="s">
        <v>1880</v>
      </c>
      <c r="S397" t="s">
        <v>96</v>
      </c>
      <c r="T397">
        <v>70</v>
      </c>
      <c r="V397">
        <v>85</v>
      </c>
      <c r="W397" t="s">
        <v>1881</v>
      </c>
      <c r="X397" t="s">
        <v>1882</v>
      </c>
      <c r="Y397">
        <v>5</v>
      </c>
      <c r="Z397">
        <v>10</v>
      </c>
      <c r="AA397">
        <v>20</v>
      </c>
      <c r="AB397">
        <v>10</v>
      </c>
      <c r="AC397" t="s">
        <v>569</v>
      </c>
      <c r="AD397" t="s">
        <v>159</v>
      </c>
      <c r="AE397" t="s">
        <v>104</v>
      </c>
      <c r="AF397" t="s">
        <v>1880</v>
      </c>
      <c r="AG397" t="s">
        <v>125</v>
      </c>
    </row>
    <row r="398" spans="1:33" x14ac:dyDescent="0.2">
      <c r="A398" s="2">
        <v>45009.508298611108</v>
      </c>
      <c r="B398" s="2">
        <v>45009.543252314812</v>
      </c>
      <c r="C398" t="s">
        <v>36</v>
      </c>
      <c r="D398" t="s">
        <v>1883</v>
      </c>
      <c r="E398">
        <v>100</v>
      </c>
      <c r="F398">
        <v>3019</v>
      </c>
      <c r="G398" t="b">
        <v>1</v>
      </c>
      <c r="H398" s="2">
        <v>45009.543252314812</v>
      </c>
      <c r="I398" t="s">
        <v>1884</v>
      </c>
      <c r="N398">
        <v>40.2744</v>
      </c>
      <c r="O398">
        <v>-76.706199999999995</v>
      </c>
      <c r="P398" t="s">
        <v>100</v>
      </c>
      <c r="Q398" t="s">
        <v>95</v>
      </c>
      <c r="R398" t="s">
        <v>1885</v>
      </c>
      <c r="S398" t="s">
        <v>96</v>
      </c>
      <c r="V398">
        <v>70</v>
      </c>
      <c r="W398" t="s">
        <v>1886</v>
      </c>
      <c r="X398">
        <v>500</v>
      </c>
      <c r="Y398">
        <v>10</v>
      </c>
      <c r="Z398">
        <v>0.01</v>
      </c>
      <c r="AA398">
        <v>20</v>
      </c>
      <c r="AB398">
        <v>100</v>
      </c>
      <c r="AC398">
        <v>90</v>
      </c>
      <c r="AD398">
        <v>0.05</v>
      </c>
      <c r="AE398" t="s">
        <v>104</v>
      </c>
      <c r="AF398" t="s">
        <v>1885</v>
      </c>
      <c r="AG398" t="s">
        <v>105</v>
      </c>
    </row>
    <row r="399" spans="1:33" x14ac:dyDescent="0.2">
      <c r="A399" s="2">
        <v>45009.513298611113</v>
      </c>
      <c r="B399" s="2">
        <v>45009.543368055558</v>
      </c>
      <c r="C399" t="s">
        <v>36</v>
      </c>
      <c r="D399" t="s">
        <v>1887</v>
      </c>
      <c r="E399">
        <v>100</v>
      </c>
      <c r="F399">
        <v>2597</v>
      </c>
      <c r="G399" t="b">
        <v>1</v>
      </c>
      <c r="H399" s="2">
        <v>45009.543368055558</v>
      </c>
      <c r="I399" t="s">
        <v>1888</v>
      </c>
      <c r="N399">
        <v>32.085599999999999</v>
      </c>
      <c r="O399">
        <v>-81.096400000000003</v>
      </c>
      <c r="P399" t="s">
        <v>100</v>
      </c>
      <c r="Q399" t="s">
        <v>95</v>
      </c>
      <c r="R399" t="s">
        <v>1889</v>
      </c>
      <c r="S399" t="s">
        <v>96</v>
      </c>
      <c r="V399">
        <v>100</v>
      </c>
      <c r="W399" t="s">
        <v>1890</v>
      </c>
      <c r="X399">
        <v>6</v>
      </c>
      <c r="Y399">
        <v>100</v>
      </c>
      <c r="Z399">
        <v>100</v>
      </c>
      <c r="AA399">
        <v>50</v>
      </c>
      <c r="AB399">
        <v>100</v>
      </c>
      <c r="AC399">
        <v>10</v>
      </c>
      <c r="AD399">
        <v>0.1</v>
      </c>
      <c r="AE399">
        <v>50</v>
      </c>
      <c r="AF399" t="s">
        <v>1889</v>
      </c>
      <c r="AG399" t="s">
        <v>97</v>
      </c>
    </row>
    <row r="400" spans="1:33" x14ac:dyDescent="0.2">
      <c r="A400" s="2">
        <v>45009.522303240738</v>
      </c>
      <c r="B400" s="2">
        <v>45009.547997685186</v>
      </c>
      <c r="C400" t="s">
        <v>36</v>
      </c>
      <c r="D400" t="s">
        <v>1891</v>
      </c>
      <c r="E400">
        <v>100</v>
      </c>
      <c r="F400">
        <v>2220</v>
      </c>
      <c r="G400" t="b">
        <v>1</v>
      </c>
      <c r="H400" s="2">
        <v>45009.547997685186</v>
      </c>
      <c r="I400" t="s">
        <v>1892</v>
      </c>
      <c r="N400">
        <v>43.616500000000002</v>
      </c>
      <c r="O400">
        <v>-116.20010000000001</v>
      </c>
      <c r="P400" t="s">
        <v>100</v>
      </c>
      <c r="Q400" t="s">
        <v>95</v>
      </c>
      <c r="R400" t="s">
        <v>1893</v>
      </c>
      <c r="S400" t="s">
        <v>96</v>
      </c>
      <c r="T400">
        <v>43</v>
      </c>
      <c r="U400" s="3">
        <v>0.05</v>
      </c>
      <c r="V400">
        <v>42</v>
      </c>
      <c r="W400" t="s">
        <v>1894</v>
      </c>
      <c r="X400">
        <v>500</v>
      </c>
      <c r="Y400">
        <v>10</v>
      </c>
      <c r="Z400" s="4">
        <v>1E-3</v>
      </c>
      <c r="AA400">
        <v>20</v>
      </c>
      <c r="AB400">
        <v>100</v>
      </c>
      <c r="AC400" s="3">
        <v>0.1</v>
      </c>
      <c r="AD400" t="s">
        <v>1895</v>
      </c>
      <c r="AE400" t="s">
        <v>104</v>
      </c>
      <c r="AF400" t="s">
        <v>1893</v>
      </c>
      <c r="AG400" t="s">
        <v>125</v>
      </c>
    </row>
    <row r="401" spans="1:33" x14ac:dyDescent="0.2">
      <c r="A401" s="2">
        <v>45009.515902777777</v>
      </c>
      <c r="B401" s="2">
        <v>45009.550150462965</v>
      </c>
      <c r="C401" t="s">
        <v>36</v>
      </c>
      <c r="D401" t="s">
        <v>1896</v>
      </c>
      <c r="E401">
        <v>100</v>
      </c>
      <c r="F401">
        <v>2959</v>
      </c>
      <c r="G401" t="b">
        <v>1</v>
      </c>
      <c r="H401" s="2">
        <v>45009.550150462965</v>
      </c>
      <c r="I401" t="s">
        <v>1897</v>
      </c>
      <c r="N401">
        <v>39.711599999999997</v>
      </c>
      <c r="O401">
        <v>-88.455500000000001</v>
      </c>
      <c r="P401" t="s">
        <v>100</v>
      </c>
      <c r="Q401" t="s">
        <v>95</v>
      </c>
      <c r="R401" t="s">
        <v>1898</v>
      </c>
      <c r="S401" t="s">
        <v>96</v>
      </c>
      <c r="T401">
        <v>60</v>
      </c>
      <c r="V401">
        <v>60</v>
      </c>
      <c r="W401" t="s">
        <v>1899</v>
      </c>
      <c r="X401" t="s">
        <v>1900</v>
      </c>
      <c r="Y401" t="s">
        <v>1901</v>
      </c>
      <c r="Z401" t="s">
        <v>1902</v>
      </c>
      <c r="AA401" t="s">
        <v>1903</v>
      </c>
      <c r="AB401" t="s">
        <v>1904</v>
      </c>
      <c r="AC401" t="s">
        <v>1905</v>
      </c>
      <c r="AD401" t="s">
        <v>1906</v>
      </c>
      <c r="AE401" t="s">
        <v>1907</v>
      </c>
      <c r="AF401" t="s">
        <v>1898</v>
      </c>
      <c r="AG401" t="s">
        <v>125</v>
      </c>
    </row>
    <row r="402" spans="1:33" x14ac:dyDescent="0.2">
      <c r="A402" s="2">
        <v>45009.515555555554</v>
      </c>
      <c r="B402" s="2">
        <v>45009.550185185188</v>
      </c>
      <c r="C402" t="s">
        <v>36</v>
      </c>
      <c r="D402" t="s">
        <v>1908</v>
      </c>
      <c r="E402">
        <v>100</v>
      </c>
      <c r="F402">
        <v>2992</v>
      </c>
      <c r="G402" t="b">
        <v>1</v>
      </c>
      <c r="H402" s="2">
        <v>45009.550196759257</v>
      </c>
      <c r="I402" t="s">
        <v>1909</v>
      </c>
      <c r="N402">
        <v>32.924700000000001</v>
      </c>
      <c r="O402">
        <v>-96.8917</v>
      </c>
      <c r="P402" t="s">
        <v>100</v>
      </c>
      <c r="Q402" t="s">
        <v>95</v>
      </c>
      <c r="R402" t="s">
        <v>1910</v>
      </c>
      <c r="S402" t="s">
        <v>96</v>
      </c>
      <c r="T402">
        <v>82</v>
      </c>
      <c r="V402">
        <v>97</v>
      </c>
      <c r="W402" t="s">
        <v>1911</v>
      </c>
      <c r="X402">
        <v>500</v>
      </c>
      <c r="Y402">
        <v>100</v>
      </c>
      <c r="Z402">
        <v>0.1</v>
      </c>
      <c r="AA402">
        <v>20</v>
      </c>
      <c r="AB402">
        <v>100</v>
      </c>
      <c r="AC402">
        <v>90</v>
      </c>
      <c r="AD402">
        <v>0.05</v>
      </c>
      <c r="AE402">
        <v>5</v>
      </c>
      <c r="AF402" t="s">
        <v>1910</v>
      </c>
      <c r="AG402" t="s">
        <v>125</v>
      </c>
    </row>
    <row r="403" spans="1:33" x14ac:dyDescent="0.2">
      <c r="A403" s="2">
        <v>45009.559363425928</v>
      </c>
      <c r="B403" s="2">
        <v>45009.560486111113</v>
      </c>
      <c r="C403" t="s">
        <v>36</v>
      </c>
      <c r="D403" t="s">
        <v>1912</v>
      </c>
      <c r="E403">
        <v>100</v>
      </c>
      <c r="F403">
        <v>97</v>
      </c>
      <c r="G403" t="b">
        <v>1</v>
      </c>
      <c r="H403" s="2">
        <v>45009.560497685183</v>
      </c>
      <c r="I403" t="s">
        <v>1913</v>
      </c>
      <c r="N403">
        <v>41.874000000000002</v>
      </c>
      <c r="O403">
        <v>-71.384399999999999</v>
      </c>
      <c r="P403" t="s">
        <v>100</v>
      </c>
      <c r="Q403" t="s">
        <v>95</v>
      </c>
      <c r="R403" t="s">
        <v>1914</v>
      </c>
      <c r="S403" t="s">
        <v>96</v>
      </c>
      <c r="V403">
        <v>34</v>
      </c>
      <c r="W403" t="s">
        <v>1915</v>
      </c>
      <c r="X403">
        <v>500</v>
      </c>
      <c r="Y403">
        <v>10</v>
      </c>
      <c r="Z403">
        <v>0.1</v>
      </c>
      <c r="AA403">
        <v>20</v>
      </c>
      <c r="AB403">
        <v>100</v>
      </c>
      <c r="AC403" t="s">
        <v>1916</v>
      </c>
      <c r="AD403">
        <v>0.05</v>
      </c>
      <c r="AE403">
        <v>5</v>
      </c>
      <c r="AF403" t="s">
        <v>1914</v>
      </c>
      <c r="AG403"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3"/>
  <sheetViews>
    <sheetView workbookViewId="0">
      <selection activeCell="B2" sqref="B2"/>
    </sheetView>
  </sheetViews>
  <sheetFormatPr baseColWidth="10" defaultRowHeight="16" x14ac:dyDescent="0.2"/>
  <sheetData>
    <row r="1" spans="1:3" x14ac:dyDescent="0.2">
      <c r="A1" t="s">
        <v>19</v>
      </c>
      <c r="B1" t="s">
        <v>20</v>
      </c>
    </row>
    <row r="2" spans="1:3" x14ac:dyDescent="0.2">
      <c r="A2" t="s">
        <v>49</v>
      </c>
      <c r="B2" t="s">
        <v>50</v>
      </c>
    </row>
    <row r="3" spans="1:3" x14ac:dyDescent="0.2">
      <c r="A3" t="s">
        <v>81</v>
      </c>
      <c r="B3" t="s">
        <v>82</v>
      </c>
    </row>
    <row r="7" spans="1:3" x14ac:dyDescent="0.2">
      <c r="A7">
        <v>7</v>
      </c>
      <c r="B7" s="3">
        <v>0.4</v>
      </c>
      <c r="C7">
        <v>40</v>
      </c>
    </row>
    <row r="9" spans="1:3" x14ac:dyDescent="0.2">
      <c r="A9">
        <v>60</v>
      </c>
    </row>
    <row r="15" spans="1:3" x14ac:dyDescent="0.2">
      <c r="A15">
        <v>5</v>
      </c>
      <c r="B15" s="3">
        <v>0.4</v>
      </c>
      <c r="C15">
        <v>40</v>
      </c>
    </row>
    <row r="16" spans="1:3" x14ac:dyDescent="0.2">
      <c r="A16">
        <v>22</v>
      </c>
      <c r="B16" t="s">
        <v>169</v>
      </c>
      <c r="C16">
        <v>6</v>
      </c>
    </row>
    <row r="23" spans="1:3" x14ac:dyDescent="0.2">
      <c r="A23">
        <v>10</v>
      </c>
      <c r="B23" s="3">
        <v>0.2</v>
      </c>
      <c r="C23">
        <v>20</v>
      </c>
    </row>
    <row r="24" spans="1:3" x14ac:dyDescent="0.2">
      <c r="A24">
        <v>60</v>
      </c>
    </row>
    <row r="29" spans="1:3" x14ac:dyDescent="0.2">
      <c r="A29">
        <v>0</v>
      </c>
      <c r="B29">
        <v>50</v>
      </c>
      <c r="C29">
        <v>50</v>
      </c>
    </row>
    <row r="33" spans="1:3" x14ac:dyDescent="0.2">
      <c r="A33">
        <v>61</v>
      </c>
    </row>
    <row r="39" spans="1:3" x14ac:dyDescent="0.2">
      <c r="A39">
        <v>24</v>
      </c>
      <c r="B39" t="s">
        <v>274</v>
      </c>
      <c r="C39">
        <v>5</v>
      </c>
    </row>
    <row r="42" spans="1:3" x14ac:dyDescent="0.2">
      <c r="A42">
        <v>22</v>
      </c>
      <c r="B42" s="3">
        <v>0.15</v>
      </c>
      <c r="C42">
        <v>15</v>
      </c>
    </row>
    <row r="53" spans="1:3" x14ac:dyDescent="0.2">
      <c r="A53">
        <v>11</v>
      </c>
      <c r="B53">
        <v>10</v>
      </c>
      <c r="C53">
        <v>10</v>
      </c>
    </row>
    <row r="62" spans="1:3" x14ac:dyDescent="0.2">
      <c r="A62">
        <v>37</v>
      </c>
      <c r="B62" s="3">
        <v>0.15</v>
      </c>
      <c r="C62">
        <v>15</v>
      </c>
    </row>
    <row r="69" spans="1:3" x14ac:dyDescent="0.2">
      <c r="A69">
        <v>42</v>
      </c>
      <c r="B69" t="s">
        <v>401</v>
      </c>
    </row>
    <row r="71" spans="1:3" x14ac:dyDescent="0.2">
      <c r="A71">
        <v>70</v>
      </c>
    </row>
    <row r="73" spans="1:3" x14ac:dyDescent="0.2">
      <c r="A73">
        <v>70</v>
      </c>
    </row>
    <row r="75" spans="1:3" x14ac:dyDescent="0.2">
      <c r="A75">
        <v>0</v>
      </c>
      <c r="B75" s="3">
        <v>0.1</v>
      </c>
      <c r="C75">
        <v>10</v>
      </c>
    </row>
    <row r="77" spans="1:3" x14ac:dyDescent="0.2">
      <c r="A77">
        <v>23</v>
      </c>
      <c r="B77" t="s">
        <v>438</v>
      </c>
      <c r="C77">
        <v>10</v>
      </c>
    </row>
    <row r="79" spans="1:3" x14ac:dyDescent="0.2">
      <c r="A79">
        <v>19</v>
      </c>
      <c r="B79" t="s">
        <v>448</v>
      </c>
      <c r="C79">
        <v>25</v>
      </c>
    </row>
    <row r="83" spans="1:3" x14ac:dyDescent="0.2">
      <c r="A83">
        <v>72</v>
      </c>
    </row>
    <row r="85" spans="1:3" x14ac:dyDescent="0.2">
      <c r="A85">
        <v>70</v>
      </c>
    </row>
    <row r="88" spans="1:3" x14ac:dyDescent="0.2">
      <c r="A88">
        <v>10</v>
      </c>
      <c r="B88">
        <v>5</v>
      </c>
    </row>
    <row r="89" spans="1:3" x14ac:dyDescent="0.2">
      <c r="A89">
        <v>64</v>
      </c>
    </row>
    <row r="95" spans="1:3" x14ac:dyDescent="0.2">
      <c r="A95">
        <v>10</v>
      </c>
      <c r="B95" t="s">
        <v>521</v>
      </c>
      <c r="C95">
        <v>25</v>
      </c>
    </row>
    <row r="104" spans="1:1" x14ac:dyDescent="0.2">
      <c r="A104">
        <v>70</v>
      </c>
    </row>
    <row r="106" spans="1:1" x14ac:dyDescent="0.2">
      <c r="A106">
        <v>75</v>
      </c>
    </row>
    <row r="112" spans="1:1" x14ac:dyDescent="0.2">
      <c r="A112">
        <v>100</v>
      </c>
    </row>
    <row r="114" spans="1:3" x14ac:dyDescent="0.2">
      <c r="A114">
        <v>60</v>
      </c>
    </row>
    <row r="121" spans="1:3" x14ac:dyDescent="0.2">
      <c r="A121">
        <v>5</v>
      </c>
      <c r="B121">
        <v>10</v>
      </c>
      <c r="C121">
        <v>10</v>
      </c>
    </row>
    <row r="124" spans="1:3" x14ac:dyDescent="0.2">
      <c r="A124">
        <v>14</v>
      </c>
      <c r="B124" t="s">
        <v>650</v>
      </c>
      <c r="C124">
        <v>10</v>
      </c>
    </row>
    <row r="127" spans="1:3" x14ac:dyDescent="0.2">
      <c r="A127">
        <v>61</v>
      </c>
    </row>
    <row r="128" spans="1:3" x14ac:dyDescent="0.2">
      <c r="A128">
        <v>73</v>
      </c>
    </row>
    <row r="129" spans="1:3" x14ac:dyDescent="0.2">
      <c r="A129">
        <v>20</v>
      </c>
      <c r="B129" s="3">
        <v>0.1</v>
      </c>
      <c r="C129">
        <v>10</v>
      </c>
    </row>
    <row r="130" spans="1:3" x14ac:dyDescent="0.2">
      <c r="A130">
        <v>80</v>
      </c>
    </row>
    <row r="131" spans="1:3" x14ac:dyDescent="0.2">
      <c r="A131">
        <v>20</v>
      </c>
      <c r="B131" s="3">
        <v>0.1</v>
      </c>
      <c r="C131">
        <v>10</v>
      </c>
    </row>
    <row r="134" spans="1:3" x14ac:dyDescent="0.2">
      <c r="A134">
        <v>15</v>
      </c>
      <c r="B134" s="3">
        <v>0.2</v>
      </c>
      <c r="C134">
        <v>20</v>
      </c>
    </row>
    <row r="137" spans="1:3" x14ac:dyDescent="0.2">
      <c r="A137">
        <v>25</v>
      </c>
      <c r="B137">
        <v>5</v>
      </c>
      <c r="C137">
        <v>5</v>
      </c>
    </row>
    <row r="142" spans="1:3" x14ac:dyDescent="0.2">
      <c r="A142">
        <v>25</v>
      </c>
      <c r="B142" s="3">
        <v>0.2</v>
      </c>
      <c r="C142">
        <v>20</v>
      </c>
    </row>
    <row r="145" spans="1:3" x14ac:dyDescent="0.2">
      <c r="A145">
        <v>30</v>
      </c>
      <c r="B145" t="s">
        <v>749</v>
      </c>
      <c r="C145">
        <v>5</v>
      </c>
    </row>
    <row r="150" spans="1:3" x14ac:dyDescent="0.2">
      <c r="A150">
        <v>20</v>
      </c>
      <c r="B150">
        <v>10</v>
      </c>
      <c r="C150">
        <v>10</v>
      </c>
    </row>
    <row r="156" spans="1:3" x14ac:dyDescent="0.2">
      <c r="A156">
        <v>12</v>
      </c>
      <c r="B156" t="s">
        <v>803</v>
      </c>
      <c r="C156">
        <v>12.5</v>
      </c>
    </row>
    <row r="173" spans="1:1" x14ac:dyDescent="0.2">
      <c r="A173">
        <v>60</v>
      </c>
    </row>
    <row r="175" spans="1:1" x14ac:dyDescent="0.2">
      <c r="A175">
        <v>64</v>
      </c>
    </row>
    <row r="180" spans="1:3" x14ac:dyDescent="0.2">
      <c r="A180">
        <v>50</v>
      </c>
    </row>
    <row r="182" spans="1:3" x14ac:dyDescent="0.2">
      <c r="A182">
        <v>91</v>
      </c>
    </row>
    <row r="183" spans="1:3" x14ac:dyDescent="0.2">
      <c r="A183">
        <v>10</v>
      </c>
      <c r="B183" s="3">
        <v>0.2</v>
      </c>
      <c r="C183">
        <v>20</v>
      </c>
    </row>
    <row r="184" spans="1:3" x14ac:dyDescent="0.2">
      <c r="A184">
        <v>100</v>
      </c>
    </row>
    <row r="186" spans="1:3" x14ac:dyDescent="0.2">
      <c r="A186">
        <v>25</v>
      </c>
      <c r="B186" t="s">
        <v>929</v>
      </c>
      <c r="C186">
        <v>5</v>
      </c>
    </row>
    <row r="194" spans="1:3" x14ac:dyDescent="0.2">
      <c r="A194">
        <v>70</v>
      </c>
    </row>
    <row r="196" spans="1:3" x14ac:dyDescent="0.2">
      <c r="A196">
        <v>56</v>
      </c>
    </row>
    <row r="198" spans="1:3" x14ac:dyDescent="0.2">
      <c r="A198">
        <v>42</v>
      </c>
      <c r="B198" t="s">
        <v>569</v>
      </c>
      <c r="C198">
        <v>10</v>
      </c>
    </row>
    <row r="200" spans="1:3" x14ac:dyDescent="0.2">
      <c r="A200">
        <v>26</v>
      </c>
      <c r="B200" t="s">
        <v>1003</v>
      </c>
      <c r="C200">
        <v>25</v>
      </c>
    </row>
    <row r="201" spans="1:3" x14ac:dyDescent="0.2">
      <c r="A201">
        <v>5</v>
      </c>
      <c r="B201" t="s">
        <v>1008</v>
      </c>
      <c r="C201">
        <v>5</v>
      </c>
    </row>
    <row r="204" spans="1:3" x14ac:dyDescent="0.2">
      <c r="A204">
        <v>76</v>
      </c>
    </row>
    <row r="211" spans="1:3" x14ac:dyDescent="0.2">
      <c r="A211">
        <v>50</v>
      </c>
    </row>
    <row r="213" spans="1:3" x14ac:dyDescent="0.2">
      <c r="A213">
        <v>21</v>
      </c>
      <c r="B213" s="3">
        <v>0.4</v>
      </c>
      <c r="C213">
        <v>40</v>
      </c>
    </row>
    <row r="214" spans="1:3" x14ac:dyDescent="0.2">
      <c r="A214">
        <v>70</v>
      </c>
    </row>
    <row r="218" spans="1:3" x14ac:dyDescent="0.2">
      <c r="A218">
        <v>25</v>
      </c>
      <c r="B218">
        <v>35</v>
      </c>
      <c r="C218">
        <v>35</v>
      </c>
    </row>
    <row r="225" spans="1:3" x14ac:dyDescent="0.2">
      <c r="A225">
        <v>55</v>
      </c>
    </row>
    <row r="226" spans="1:3" x14ac:dyDescent="0.2">
      <c r="A226">
        <v>5</v>
      </c>
      <c r="B226">
        <v>20</v>
      </c>
      <c r="C226">
        <v>20</v>
      </c>
    </row>
    <row r="231" spans="1:3" x14ac:dyDescent="0.2">
      <c r="A231">
        <v>20</v>
      </c>
      <c r="B231" s="3">
        <v>0.4</v>
      </c>
      <c r="C231">
        <v>40</v>
      </c>
    </row>
    <row r="237" spans="1:3" x14ac:dyDescent="0.2">
      <c r="A237">
        <v>100</v>
      </c>
    </row>
    <row r="239" spans="1:3" x14ac:dyDescent="0.2">
      <c r="A239">
        <v>7</v>
      </c>
      <c r="B239" t="s">
        <v>1175</v>
      </c>
      <c r="C239">
        <v>5</v>
      </c>
    </row>
    <row r="256" spans="1:3" x14ac:dyDescent="0.2">
      <c r="A256">
        <v>0</v>
      </c>
      <c r="B256">
        <v>10</v>
      </c>
      <c r="C256">
        <v>10</v>
      </c>
    </row>
    <row r="257" spans="1:3" x14ac:dyDescent="0.2">
      <c r="A257">
        <v>80</v>
      </c>
    </row>
    <row r="261" spans="1:3" x14ac:dyDescent="0.2">
      <c r="A261">
        <v>30</v>
      </c>
      <c r="B261" s="3">
        <v>0.1</v>
      </c>
      <c r="C261">
        <v>10</v>
      </c>
    </row>
    <row r="263" spans="1:3" x14ac:dyDescent="0.2">
      <c r="A263">
        <v>70</v>
      </c>
    </row>
    <row r="281" spans="1:3" x14ac:dyDescent="0.2">
      <c r="A281">
        <v>17</v>
      </c>
      <c r="B281" s="3">
        <v>0.3</v>
      </c>
      <c r="C281">
        <v>30</v>
      </c>
    </row>
    <row r="283" spans="1:3" x14ac:dyDescent="0.2">
      <c r="A283">
        <v>20</v>
      </c>
      <c r="B283">
        <v>15</v>
      </c>
      <c r="C283">
        <v>15</v>
      </c>
    </row>
    <row r="285" spans="1:3" x14ac:dyDescent="0.2">
      <c r="A285">
        <v>27</v>
      </c>
      <c r="B285" t="s">
        <v>1369</v>
      </c>
      <c r="C285">
        <v>10</v>
      </c>
    </row>
    <row r="289" spans="1:3" x14ac:dyDescent="0.2">
      <c r="A289">
        <v>10</v>
      </c>
      <c r="B289" s="3">
        <v>0.2</v>
      </c>
      <c r="C289">
        <v>20</v>
      </c>
    </row>
    <row r="291" spans="1:3" x14ac:dyDescent="0.2">
      <c r="A291">
        <v>40</v>
      </c>
      <c r="B291" s="3">
        <v>0.1</v>
      </c>
      <c r="C291">
        <v>10</v>
      </c>
    </row>
    <row r="302" spans="1:3" x14ac:dyDescent="0.2">
      <c r="A302">
        <v>30</v>
      </c>
      <c r="B302">
        <v>10</v>
      </c>
      <c r="C302">
        <v>10</v>
      </c>
    </row>
    <row r="304" spans="1:3" x14ac:dyDescent="0.2">
      <c r="A304">
        <v>80</v>
      </c>
    </row>
    <row r="305" spans="1:3" x14ac:dyDescent="0.2">
      <c r="A305">
        <v>81</v>
      </c>
    </row>
    <row r="309" spans="1:3" x14ac:dyDescent="0.2">
      <c r="A309">
        <v>40</v>
      </c>
      <c r="B309" s="3">
        <v>0.15</v>
      </c>
      <c r="C309">
        <v>15</v>
      </c>
    </row>
    <row r="310" spans="1:3" x14ac:dyDescent="0.2">
      <c r="A310">
        <v>71</v>
      </c>
    </row>
    <row r="312" spans="1:3" x14ac:dyDescent="0.2">
      <c r="A312">
        <v>30</v>
      </c>
      <c r="B312">
        <v>10</v>
      </c>
      <c r="C312">
        <v>10</v>
      </c>
    </row>
    <row r="316" spans="1:3" x14ac:dyDescent="0.2">
      <c r="A316">
        <v>76</v>
      </c>
    </row>
    <row r="327" spans="1:3" x14ac:dyDescent="0.2">
      <c r="A327">
        <v>76</v>
      </c>
    </row>
    <row r="328" spans="1:3" x14ac:dyDescent="0.2">
      <c r="A328">
        <v>6</v>
      </c>
      <c r="B328">
        <v>25</v>
      </c>
      <c r="C328">
        <v>25</v>
      </c>
    </row>
    <row r="329" spans="1:3" x14ac:dyDescent="0.2">
      <c r="A329">
        <v>25</v>
      </c>
      <c r="B329">
        <v>5</v>
      </c>
      <c r="C329">
        <v>5</v>
      </c>
    </row>
    <row r="335" spans="1:3" x14ac:dyDescent="0.2">
      <c r="A335">
        <v>0</v>
      </c>
      <c r="B335" s="3">
        <v>0.2</v>
      </c>
      <c r="C335">
        <v>20</v>
      </c>
    </row>
    <row r="336" spans="1:3" x14ac:dyDescent="0.2">
      <c r="A336">
        <v>100</v>
      </c>
    </row>
    <row r="344" spans="1:3" x14ac:dyDescent="0.2">
      <c r="A344">
        <v>69</v>
      </c>
    </row>
    <row r="345" spans="1:3" x14ac:dyDescent="0.2">
      <c r="A345">
        <v>50</v>
      </c>
    </row>
    <row r="347" spans="1:3" x14ac:dyDescent="0.2">
      <c r="A347">
        <v>15</v>
      </c>
      <c r="B347">
        <v>40</v>
      </c>
      <c r="C347">
        <v>40</v>
      </c>
    </row>
    <row r="351" spans="1:3" x14ac:dyDescent="0.2">
      <c r="A351">
        <v>14</v>
      </c>
      <c r="B351" s="3">
        <v>0.1</v>
      </c>
      <c r="C351">
        <v>10</v>
      </c>
    </row>
    <row r="352" spans="1:3" x14ac:dyDescent="0.2">
      <c r="A352">
        <v>81</v>
      </c>
    </row>
    <row r="353" spans="1:1" x14ac:dyDescent="0.2">
      <c r="A353">
        <v>75</v>
      </c>
    </row>
    <row r="361" spans="1:1" x14ac:dyDescent="0.2">
      <c r="A361">
        <v>80</v>
      </c>
    </row>
    <row r="363" spans="1:1" x14ac:dyDescent="0.2">
      <c r="A363">
        <v>81</v>
      </c>
    </row>
    <row r="367" spans="1:1" x14ac:dyDescent="0.2">
      <c r="A367">
        <v>85</v>
      </c>
    </row>
    <row r="371" spans="1:3" x14ac:dyDescent="0.2">
      <c r="A371">
        <v>5</v>
      </c>
      <c r="B371" t="s">
        <v>1753</v>
      </c>
      <c r="C371">
        <v>10</v>
      </c>
    </row>
    <row r="375" spans="1:3" x14ac:dyDescent="0.2">
      <c r="A375">
        <v>74</v>
      </c>
    </row>
    <row r="377" spans="1:3" x14ac:dyDescent="0.2">
      <c r="A377">
        <v>65</v>
      </c>
    </row>
    <row r="384" spans="1:3" x14ac:dyDescent="0.2">
      <c r="A384">
        <v>25</v>
      </c>
      <c r="B384" t="s">
        <v>1816</v>
      </c>
      <c r="C384">
        <v>20</v>
      </c>
    </row>
    <row r="395" spans="1:3" x14ac:dyDescent="0.2">
      <c r="A395">
        <v>41</v>
      </c>
      <c r="B395">
        <v>30</v>
      </c>
      <c r="C395">
        <v>30</v>
      </c>
    </row>
    <row r="397" spans="1:3" x14ac:dyDescent="0.2">
      <c r="A397">
        <v>70</v>
      </c>
    </row>
    <row r="400" spans="1:3" x14ac:dyDescent="0.2">
      <c r="A400">
        <v>43</v>
      </c>
      <c r="B400" s="3">
        <v>0.05</v>
      </c>
      <c r="C400">
        <v>5</v>
      </c>
    </row>
    <row r="401" spans="1:3" x14ac:dyDescent="0.2">
      <c r="A401">
        <v>60</v>
      </c>
    </row>
    <row r="402" spans="1:3" x14ac:dyDescent="0.2">
      <c r="A402">
        <v>82</v>
      </c>
    </row>
    <row r="403" spans="1:3" x14ac:dyDescent="0.2">
      <c r="C403">
        <f>MEDIAN(C7:C400)</f>
        <v>11.25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topLeftCell="D388" workbookViewId="0">
      <selection activeCell="S415" sqref="S415"/>
    </sheetView>
  </sheetViews>
  <sheetFormatPr baseColWidth="10" defaultRowHeight="16" x14ac:dyDescent="0.2"/>
  <cols>
    <col min="2" max="2" width="61.6640625" style="1" customWidth="1"/>
    <col min="3" max="3" width="20.83203125" bestFit="1" customWidth="1"/>
    <col min="4" max="4" width="15.83203125" bestFit="1" customWidth="1"/>
    <col min="5" max="5" width="15.83203125" customWidth="1"/>
    <col min="6" max="6" width="13.83203125" bestFit="1" customWidth="1"/>
    <col min="7" max="7" width="18.33203125" bestFit="1" customWidth="1"/>
    <col min="8" max="8" width="14" bestFit="1" customWidth="1"/>
    <col min="13" max="13" width="18.5" customWidth="1"/>
    <col min="14" max="14" width="15.5" bestFit="1" customWidth="1"/>
    <col min="15" max="15" width="15.6640625" bestFit="1" customWidth="1"/>
  </cols>
  <sheetData>
    <row r="1" spans="1:18" ht="17" x14ac:dyDescent="0.2">
      <c r="A1" t="s">
        <v>1918</v>
      </c>
      <c r="B1" s="1" t="s">
        <v>1934</v>
      </c>
      <c r="C1" t="s">
        <v>1917</v>
      </c>
      <c r="D1" t="s">
        <v>1935</v>
      </c>
      <c r="E1" t="s">
        <v>1937</v>
      </c>
      <c r="F1" t="s">
        <v>1936</v>
      </c>
      <c r="G1" t="s">
        <v>1938</v>
      </c>
      <c r="H1" t="s">
        <v>1939</v>
      </c>
      <c r="I1" s="11" t="s">
        <v>1953</v>
      </c>
      <c r="J1" s="11" t="s">
        <v>1954</v>
      </c>
      <c r="K1" s="11" t="s">
        <v>1955</v>
      </c>
      <c r="L1" s="11" t="s">
        <v>1956</v>
      </c>
      <c r="M1" s="11" t="s">
        <v>1957</v>
      </c>
      <c r="N1" s="11" t="s">
        <v>1958</v>
      </c>
      <c r="O1" s="11" t="s">
        <v>1959</v>
      </c>
      <c r="P1" s="11" t="s">
        <v>1960</v>
      </c>
      <c r="Q1" s="11" t="s">
        <v>1961</v>
      </c>
      <c r="R1" s="11" t="s">
        <v>1962</v>
      </c>
    </row>
    <row r="2" spans="1:18" ht="17" x14ac:dyDescent="0.2">
      <c r="A2">
        <v>1</v>
      </c>
      <c r="B2" s="1" t="s">
        <v>102</v>
      </c>
      <c r="C2" t="s">
        <v>105</v>
      </c>
      <c r="D2">
        <v>1</v>
      </c>
      <c r="I2" s="12">
        <v>1</v>
      </c>
      <c r="J2" s="12"/>
      <c r="K2" s="12"/>
      <c r="L2" s="12"/>
      <c r="M2" s="12"/>
      <c r="N2">
        <f>IF(D2=I2,D2,"Disagree")</f>
        <v>1</v>
      </c>
      <c r="O2">
        <f>IF(E2=J2,E2,"Disagree")</f>
        <v>0</v>
      </c>
      <c r="P2">
        <f>IF(F2=K2,F2,"Disagree")</f>
        <v>0</v>
      </c>
      <c r="Q2">
        <f>IF(G2=L2,G2,"Disagree")</f>
        <v>0</v>
      </c>
      <c r="R2">
        <f>IF(H2=M2,H2,"Disagree")</f>
        <v>0</v>
      </c>
    </row>
    <row r="3" spans="1:18" ht="34" x14ac:dyDescent="0.2">
      <c r="A3">
        <v>2</v>
      </c>
      <c r="B3" s="1" t="s">
        <v>109</v>
      </c>
      <c r="C3" t="s">
        <v>111</v>
      </c>
      <c r="E3">
        <v>1</v>
      </c>
      <c r="F3">
        <v>1</v>
      </c>
      <c r="I3" s="12"/>
      <c r="J3" s="12">
        <v>1</v>
      </c>
      <c r="K3" s="12">
        <v>1</v>
      </c>
      <c r="L3" s="12"/>
      <c r="M3" s="12"/>
      <c r="N3">
        <f t="shared" ref="N3:N66" si="0">IF(D3=I3,D3,"Disagree")</f>
        <v>0</v>
      </c>
      <c r="O3">
        <f t="shared" ref="O3:O66" si="1">IF(E3=J3,E3,"Disagree")</f>
        <v>1</v>
      </c>
      <c r="P3">
        <f t="shared" ref="P3:P66" si="2">IF(F3=K3,F3,"Disagree")</f>
        <v>1</v>
      </c>
      <c r="Q3">
        <f t="shared" ref="Q3:Q66" si="3">IF(G3=L3,G3,"Disagree")</f>
        <v>0</v>
      </c>
      <c r="R3">
        <f t="shared" ref="R3:R66" si="4">IF(H3=M3,H3,"Disagree")</f>
        <v>0</v>
      </c>
    </row>
    <row r="4" spans="1:18" ht="136" x14ac:dyDescent="0.2">
      <c r="A4">
        <v>3</v>
      </c>
      <c r="B4" s="1" t="s">
        <v>115</v>
      </c>
      <c r="C4" t="s">
        <v>111</v>
      </c>
      <c r="E4">
        <v>1</v>
      </c>
      <c r="F4">
        <v>1</v>
      </c>
      <c r="I4" s="12"/>
      <c r="J4" s="12">
        <v>1</v>
      </c>
      <c r="K4" s="12">
        <v>1</v>
      </c>
      <c r="L4" s="12"/>
      <c r="M4" s="12"/>
      <c r="N4">
        <f t="shared" si="0"/>
        <v>0</v>
      </c>
      <c r="O4">
        <f t="shared" si="1"/>
        <v>1</v>
      </c>
      <c r="P4">
        <f t="shared" si="2"/>
        <v>1</v>
      </c>
      <c r="Q4">
        <f t="shared" si="3"/>
        <v>0</v>
      </c>
      <c r="R4">
        <f t="shared" si="4"/>
        <v>0</v>
      </c>
    </row>
    <row r="5" spans="1:18" ht="51" x14ac:dyDescent="0.2">
      <c r="A5">
        <v>4</v>
      </c>
      <c r="B5" s="1" t="s">
        <v>119</v>
      </c>
      <c r="C5" t="s">
        <v>125</v>
      </c>
      <c r="E5">
        <v>1</v>
      </c>
      <c r="I5" s="12"/>
      <c r="J5" s="12">
        <v>1</v>
      </c>
      <c r="K5" s="12"/>
      <c r="L5" s="12"/>
      <c r="M5" s="12"/>
      <c r="N5">
        <f t="shared" si="0"/>
        <v>0</v>
      </c>
      <c r="O5">
        <f t="shared" si="1"/>
        <v>1</v>
      </c>
      <c r="P5">
        <f t="shared" si="2"/>
        <v>0</v>
      </c>
      <c r="Q5">
        <f t="shared" si="3"/>
        <v>0</v>
      </c>
      <c r="R5">
        <f t="shared" si="4"/>
        <v>0</v>
      </c>
    </row>
    <row r="6" spans="1:18" ht="85" x14ac:dyDescent="0.2">
      <c r="A6">
        <v>5</v>
      </c>
      <c r="B6" s="1" t="s">
        <v>129</v>
      </c>
      <c r="C6" t="s">
        <v>97</v>
      </c>
      <c r="G6">
        <v>1</v>
      </c>
      <c r="I6" s="12">
        <v>1</v>
      </c>
      <c r="J6" s="12"/>
      <c r="K6" s="12"/>
      <c r="L6" s="12"/>
      <c r="M6" s="12"/>
      <c r="N6" t="str">
        <f t="shared" si="0"/>
        <v>Disagree</v>
      </c>
      <c r="O6">
        <f t="shared" si="1"/>
        <v>0</v>
      </c>
      <c r="P6">
        <f t="shared" si="2"/>
        <v>0</v>
      </c>
      <c r="Q6" t="str">
        <f t="shared" si="3"/>
        <v>Disagree</v>
      </c>
      <c r="R6">
        <f t="shared" si="4"/>
        <v>0</v>
      </c>
    </row>
    <row r="7" spans="1:18" ht="68" x14ac:dyDescent="0.2">
      <c r="A7">
        <v>6</v>
      </c>
      <c r="B7" s="1" t="s">
        <v>133</v>
      </c>
      <c r="C7" t="s">
        <v>125</v>
      </c>
      <c r="H7">
        <v>1</v>
      </c>
      <c r="I7" s="12"/>
      <c r="J7" s="12"/>
      <c r="K7" s="12"/>
      <c r="L7" s="12"/>
      <c r="M7" s="12">
        <v>1</v>
      </c>
      <c r="N7">
        <f t="shared" si="0"/>
        <v>0</v>
      </c>
      <c r="O7">
        <f t="shared" si="1"/>
        <v>0</v>
      </c>
      <c r="P7">
        <f t="shared" si="2"/>
        <v>0</v>
      </c>
      <c r="Q7">
        <f t="shared" si="3"/>
        <v>0</v>
      </c>
      <c r="R7">
        <f t="shared" si="4"/>
        <v>1</v>
      </c>
    </row>
    <row r="8" spans="1:18" ht="34" x14ac:dyDescent="0.2">
      <c r="A8">
        <v>7</v>
      </c>
      <c r="B8" s="1" t="s">
        <v>140</v>
      </c>
      <c r="C8" t="s">
        <v>105</v>
      </c>
      <c r="D8">
        <v>1</v>
      </c>
      <c r="I8" s="12">
        <v>1</v>
      </c>
      <c r="J8" s="12"/>
      <c r="K8" s="12"/>
      <c r="L8" s="12"/>
      <c r="M8" s="12"/>
      <c r="N8">
        <f t="shared" si="0"/>
        <v>1</v>
      </c>
      <c r="O8">
        <f t="shared" si="1"/>
        <v>0</v>
      </c>
      <c r="P8">
        <f t="shared" si="2"/>
        <v>0</v>
      </c>
      <c r="Q8">
        <f t="shared" si="3"/>
        <v>0</v>
      </c>
      <c r="R8">
        <f t="shared" si="4"/>
        <v>0</v>
      </c>
    </row>
    <row r="9" spans="1:18" ht="17" x14ac:dyDescent="0.2">
      <c r="A9">
        <v>8</v>
      </c>
      <c r="B9" s="1" t="s">
        <v>144</v>
      </c>
      <c r="C9" t="s">
        <v>105</v>
      </c>
      <c r="D9">
        <v>1</v>
      </c>
      <c r="I9" s="12">
        <v>1</v>
      </c>
      <c r="J9" s="12"/>
      <c r="K9" s="12"/>
      <c r="L9" s="12"/>
      <c r="M9" s="12"/>
      <c r="N9">
        <f t="shared" si="0"/>
        <v>1</v>
      </c>
      <c r="O9">
        <f t="shared" si="1"/>
        <v>0</v>
      </c>
      <c r="P9">
        <f t="shared" si="2"/>
        <v>0</v>
      </c>
      <c r="Q9">
        <f t="shared" si="3"/>
        <v>0</v>
      </c>
      <c r="R9">
        <f t="shared" si="4"/>
        <v>0</v>
      </c>
    </row>
    <row r="10" spans="1:18" ht="51" x14ac:dyDescent="0.2">
      <c r="A10">
        <v>9</v>
      </c>
      <c r="B10" s="1" t="s">
        <v>148</v>
      </c>
      <c r="C10" t="s">
        <v>105</v>
      </c>
      <c r="I10" s="12"/>
      <c r="J10" s="12"/>
      <c r="K10" s="12"/>
      <c r="L10" s="12"/>
      <c r="M10" s="12"/>
      <c r="N10">
        <f t="shared" si="0"/>
        <v>0</v>
      </c>
      <c r="O10">
        <f t="shared" si="1"/>
        <v>0</v>
      </c>
      <c r="P10">
        <f t="shared" si="2"/>
        <v>0</v>
      </c>
      <c r="Q10">
        <f t="shared" si="3"/>
        <v>0</v>
      </c>
      <c r="R10">
        <f t="shared" si="4"/>
        <v>0</v>
      </c>
    </row>
    <row r="11" spans="1:18" ht="51" x14ac:dyDescent="0.2">
      <c r="A11">
        <v>10</v>
      </c>
      <c r="B11" s="1" t="s">
        <v>153</v>
      </c>
      <c r="C11" t="s">
        <v>111</v>
      </c>
      <c r="E11">
        <v>1</v>
      </c>
      <c r="F11">
        <v>1</v>
      </c>
      <c r="I11" s="12"/>
      <c r="J11" s="12">
        <v>1</v>
      </c>
      <c r="K11" s="12"/>
      <c r="L11" s="12"/>
      <c r="M11" s="12"/>
      <c r="N11">
        <f t="shared" si="0"/>
        <v>0</v>
      </c>
      <c r="O11">
        <f t="shared" si="1"/>
        <v>1</v>
      </c>
      <c r="P11" t="str">
        <f t="shared" si="2"/>
        <v>Disagree</v>
      </c>
      <c r="Q11">
        <f t="shared" si="3"/>
        <v>0</v>
      </c>
      <c r="R11">
        <f t="shared" si="4"/>
        <v>0</v>
      </c>
    </row>
    <row r="12" spans="1:18" ht="51" x14ac:dyDescent="0.2">
      <c r="A12">
        <v>11</v>
      </c>
      <c r="B12" s="1" t="s">
        <v>158</v>
      </c>
      <c r="C12" t="s">
        <v>97</v>
      </c>
      <c r="D12">
        <v>1</v>
      </c>
      <c r="I12" s="12">
        <v>1</v>
      </c>
      <c r="J12" s="12"/>
      <c r="K12" s="12"/>
      <c r="L12" s="12"/>
      <c r="M12" s="12"/>
      <c r="N12">
        <f t="shared" si="0"/>
        <v>1</v>
      </c>
      <c r="O12">
        <f t="shared" si="1"/>
        <v>0</v>
      </c>
      <c r="P12">
        <f t="shared" si="2"/>
        <v>0</v>
      </c>
      <c r="Q12">
        <f t="shared" si="3"/>
        <v>0</v>
      </c>
      <c r="R12">
        <f t="shared" si="4"/>
        <v>0</v>
      </c>
    </row>
    <row r="13" spans="1:18" ht="34" x14ac:dyDescent="0.2">
      <c r="A13">
        <v>12</v>
      </c>
      <c r="B13" s="1" t="s">
        <v>164</v>
      </c>
      <c r="C13" t="s">
        <v>125</v>
      </c>
      <c r="E13">
        <v>1</v>
      </c>
      <c r="I13" s="12"/>
      <c r="J13" s="12">
        <v>1</v>
      </c>
      <c r="K13" s="12"/>
      <c r="L13" s="12"/>
      <c r="M13" s="12"/>
      <c r="N13">
        <f t="shared" si="0"/>
        <v>0</v>
      </c>
      <c r="O13">
        <f t="shared" si="1"/>
        <v>1</v>
      </c>
      <c r="P13">
        <f t="shared" si="2"/>
        <v>0</v>
      </c>
      <c r="Q13">
        <f t="shared" si="3"/>
        <v>0</v>
      </c>
      <c r="R13">
        <f t="shared" si="4"/>
        <v>0</v>
      </c>
    </row>
    <row r="14" spans="1:18" ht="34" x14ac:dyDescent="0.2">
      <c r="A14">
        <v>13</v>
      </c>
      <c r="B14" s="1" t="s">
        <v>170</v>
      </c>
      <c r="C14" t="s">
        <v>125</v>
      </c>
      <c r="E14">
        <v>1</v>
      </c>
      <c r="F14">
        <v>1</v>
      </c>
      <c r="I14" s="12"/>
      <c r="J14" s="12">
        <v>1</v>
      </c>
      <c r="K14" s="12">
        <v>1</v>
      </c>
      <c r="L14" s="12"/>
      <c r="M14" s="12"/>
      <c r="N14">
        <f t="shared" si="0"/>
        <v>0</v>
      </c>
      <c r="O14">
        <f t="shared" si="1"/>
        <v>1</v>
      </c>
      <c r="P14">
        <f t="shared" si="2"/>
        <v>1</v>
      </c>
      <c r="Q14">
        <f t="shared" si="3"/>
        <v>0</v>
      </c>
      <c r="R14">
        <f t="shared" si="4"/>
        <v>0</v>
      </c>
    </row>
    <row r="15" spans="1:18" ht="34" x14ac:dyDescent="0.2">
      <c r="A15">
        <v>14</v>
      </c>
      <c r="B15" s="1" t="s">
        <v>174</v>
      </c>
      <c r="C15" t="s">
        <v>97</v>
      </c>
      <c r="D15">
        <v>1</v>
      </c>
      <c r="I15" s="12"/>
      <c r="J15" s="12"/>
      <c r="K15" s="12"/>
      <c r="L15" s="12"/>
      <c r="M15" s="12"/>
      <c r="N15" t="str">
        <f t="shared" si="0"/>
        <v>Disagree</v>
      </c>
      <c r="O15">
        <f t="shared" si="1"/>
        <v>0</v>
      </c>
      <c r="P15">
        <f t="shared" si="2"/>
        <v>0</v>
      </c>
      <c r="Q15">
        <f t="shared" si="3"/>
        <v>0</v>
      </c>
      <c r="R15">
        <f t="shared" si="4"/>
        <v>0</v>
      </c>
    </row>
    <row r="16" spans="1:18" ht="17" x14ac:dyDescent="0.2">
      <c r="A16">
        <v>15</v>
      </c>
      <c r="B16" s="1" t="s">
        <v>179</v>
      </c>
      <c r="C16" t="s">
        <v>97</v>
      </c>
      <c r="D16">
        <v>1</v>
      </c>
      <c r="I16" s="12">
        <v>1</v>
      </c>
      <c r="J16" s="12"/>
      <c r="K16" s="12"/>
      <c r="L16" s="12"/>
      <c r="M16" s="12"/>
      <c r="N16">
        <f t="shared" si="0"/>
        <v>1</v>
      </c>
      <c r="O16">
        <f t="shared" si="1"/>
        <v>0</v>
      </c>
      <c r="P16">
        <f t="shared" si="2"/>
        <v>0</v>
      </c>
      <c r="Q16">
        <f t="shared" si="3"/>
        <v>0</v>
      </c>
      <c r="R16">
        <f t="shared" si="4"/>
        <v>0</v>
      </c>
    </row>
    <row r="17" spans="1:18" ht="34" x14ac:dyDescent="0.2">
      <c r="A17">
        <v>16</v>
      </c>
      <c r="B17" s="1" t="s">
        <v>183</v>
      </c>
      <c r="C17" t="s">
        <v>111</v>
      </c>
      <c r="E17">
        <v>1</v>
      </c>
      <c r="F17">
        <v>1</v>
      </c>
      <c r="I17" s="12"/>
      <c r="J17" s="12">
        <v>1</v>
      </c>
      <c r="K17" s="12">
        <v>1</v>
      </c>
      <c r="L17" s="12"/>
      <c r="M17" s="12"/>
      <c r="N17">
        <f t="shared" si="0"/>
        <v>0</v>
      </c>
      <c r="O17">
        <f t="shared" si="1"/>
        <v>1</v>
      </c>
      <c r="P17">
        <f t="shared" si="2"/>
        <v>1</v>
      </c>
      <c r="Q17">
        <f t="shared" si="3"/>
        <v>0</v>
      </c>
      <c r="R17">
        <f t="shared" si="4"/>
        <v>0</v>
      </c>
    </row>
    <row r="18" spans="1:18" ht="51" x14ac:dyDescent="0.2">
      <c r="A18">
        <v>17</v>
      </c>
      <c r="B18" s="1" t="s">
        <v>187</v>
      </c>
      <c r="C18" t="s">
        <v>105</v>
      </c>
      <c r="D18">
        <v>1</v>
      </c>
      <c r="I18" s="12">
        <v>1</v>
      </c>
      <c r="J18" s="12"/>
      <c r="K18" s="12"/>
      <c r="L18" s="12"/>
      <c r="M18" s="12"/>
      <c r="N18">
        <f t="shared" si="0"/>
        <v>1</v>
      </c>
      <c r="O18">
        <f t="shared" si="1"/>
        <v>0</v>
      </c>
      <c r="P18">
        <f t="shared" si="2"/>
        <v>0</v>
      </c>
      <c r="Q18">
        <f t="shared" si="3"/>
        <v>0</v>
      </c>
      <c r="R18">
        <f t="shared" si="4"/>
        <v>0</v>
      </c>
    </row>
    <row r="19" spans="1:18" ht="34" x14ac:dyDescent="0.2">
      <c r="A19">
        <v>18</v>
      </c>
      <c r="B19" s="1" t="s">
        <v>192</v>
      </c>
      <c r="C19" t="s">
        <v>105</v>
      </c>
      <c r="E19">
        <v>1</v>
      </c>
      <c r="F19">
        <v>1</v>
      </c>
      <c r="I19" s="12"/>
      <c r="J19" s="12">
        <v>1</v>
      </c>
      <c r="K19" s="12">
        <v>1</v>
      </c>
      <c r="L19" s="12"/>
      <c r="M19" s="12"/>
      <c r="N19">
        <f t="shared" si="0"/>
        <v>0</v>
      </c>
      <c r="O19">
        <f t="shared" si="1"/>
        <v>1</v>
      </c>
      <c r="P19">
        <f t="shared" si="2"/>
        <v>1</v>
      </c>
      <c r="Q19">
        <f t="shared" si="3"/>
        <v>0</v>
      </c>
      <c r="R19">
        <f t="shared" si="4"/>
        <v>0</v>
      </c>
    </row>
    <row r="20" spans="1:18" ht="34" x14ac:dyDescent="0.2">
      <c r="A20">
        <v>19</v>
      </c>
      <c r="B20" s="1" t="s">
        <v>196</v>
      </c>
      <c r="C20" t="s">
        <v>97</v>
      </c>
      <c r="D20">
        <v>1</v>
      </c>
      <c r="I20" s="12">
        <v>1</v>
      </c>
      <c r="J20" s="12"/>
      <c r="K20" s="12"/>
      <c r="L20" s="12"/>
      <c r="M20" s="12"/>
      <c r="N20">
        <f t="shared" si="0"/>
        <v>1</v>
      </c>
      <c r="O20">
        <f t="shared" si="1"/>
        <v>0</v>
      </c>
      <c r="P20">
        <f t="shared" si="2"/>
        <v>0</v>
      </c>
      <c r="Q20">
        <f t="shared" si="3"/>
        <v>0</v>
      </c>
      <c r="R20">
        <f t="shared" si="4"/>
        <v>0</v>
      </c>
    </row>
    <row r="21" spans="1:18" ht="17" x14ac:dyDescent="0.2">
      <c r="A21">
        <v>20</v>
      </c>
      <c r="B21" s="1" t="s">
        <v>200</v>
      </c>
      <c r="C21" t="s">
        <v>125</v>
      </c>
      <c r="E21">
        <v>1</v>
      </c>
      <c r="F21">
        <v>1</v>
      </c>
      <c r="I21" s="12"/>
      <c r="J21" s="12">
        <v>1</v>
      </c>
      <c r="K21" s="12">
        <v>1</v>
      </c>
      <c r="L21" s="12"/>
      <c r="M21" s="12"/>
      <c r="N21">
        <f t="shared" si="0"/>
        <v>0</v>
      </c>
      <c r="O21">
        <f t="shared" si="1"/>
        <v>1</v>
      </c>
      <c r="P21">
        <f t="shared" si="2"/>
        <v>1</v>
      </c>
      <c r="Q21">
        <f t="shared" si="3"/>
        <v>0</v>
      </c>
      <c r="R21">
        <f t="shared" si="4"/>
        <v>0</v>
      </c>
    </row>
    <row r="22" spans="1:18" ht="34" x14ac:dyDescent="0.2">
      <c r="A22">
        <v>21</v>
      </c>
      <c r="B22" s="1" t="s">
        <v>204</v>
      </c>
      <c r="C22" t="s">
        <v>125</v>
      </c>
      <c r="I22" s="12">
        <v>1</v>
      </c>
      <c r="J22" s="12"/>
      <c r="K22" s="12"/>
      <c r="L22" s="12"/>
      <c r="M22" s="12"/>
      <c r="N22" t="str">
        <f t="shared" si="0"/>
        <v>Disagree</v>
      </c>
      <c r="O22">
        <f t="shared" si="1"/>
        <v>0</v>
      </c>
      <c r="P22">
        <f t="shared" si="2"/>
        <v>0</v>
      </c>
      <c r="Q22">
        <f t="shared" si="3"/>
        <v>0</v>
      </c>
      <c r="R22">
        <f t="shared" si="4"/>
        <v>0</v>
      </c>
    </row>
    <row r="23" spans="1:18" ht="17" x14ac:dyDescent="0.2">
      <c r="A23">
        <v>22</v>
      </c>
      <c r="B23" s="1" t="s">
        <v>208</v>
      </c>
      <c r="C23" t="s">
        <v>97</v>
      </c>
      <c r="D23">
        <v>1</v>
      </c>
      <c r="I23" s="12">
        <v>1</v>
      </c>
      <c r="J23" s="12"/>
      <c r="K23" s="12"/>
      <c r="L23" s="12"/>
      <c r="M23" s="12"/>
      <c r="N23">
        <f t="shared" si="0"/>
        <v>1</v>
      </c>
      <c r="O23">
        <f t="shared" si="1"/>
        <v>0</v>
      </c>
      <c r="P23">
        <f t="shared" si="2"/>
        <v>0</v>
      </c>
      <c r="Q23">
        <f t="shared" si="3"/>
        <v>0</v>
      </c>
      <c r="R23">
        <f t="shared" si="4"/>
        <v>0</v>
      </c>
    </row>
    <row r="24" spans="1:18" ht="34" x14ac:dyDescent="0.2">
      <c r="A24">
        <v>23</v>
      </c>
      <c r="B24" s="1" t="s">
        <v>212</v>
      </c>
      <c r="C24" t="s">
        <v>105</v>
      </c>
      <c r="D24">
        <v>1</v>
      </c>
      <c r="I24" s="12">
        <v>1</v>
      </c>
      <c r="J24" s="12"/>
      <c r="K24" s="12"/>
      <c r="L24" s="12"/>
      <c r="M24" s="12"/>
      <c r="N24">
        <f t="shared" si="0"/>
        <v>1</v>
      </c>
      <c r="O24">
        <f t="shared" si="1"/>
        <v>0</v>
      </c>
      <c r="P24">
        <f t="shared" si="2"/>
        <v>0</v>
      </c>
      <c r="Q24">
        <f t="shared" si="3"/>
        <v>0</v>
      </c>
      <c r="R24">
        <f t="shared" si="4"/>
        <v>0</v>
      </c>
    </row>
    <row r="25" spans="1:18" ht="68" x14ac:dyDescent="0.2">
      <c r="A25">
        <v>24</v>
      </c>
      <c r="B25" s="1" t="s">
        <v>216</v>
      </c>
      <c r="C25" t="s">
        <v>105</v>
      </c>
      <c r="D25">
        <v>1</v>
      </c>
      <c r="I25" s="12">
        <v>1</v>
      </c>
      <c r="J25" s="12"/>
      <c r="K25" s="12"/>
      <c r="L25" s="12"/>
      <c r="M25" s="12"/>
      <c r="N25">
        <f t="shared" si="0"/>
        <v>1</v>
      </c>
      <c r="O25">
        <f t="shared" si="1"/>
        <v>0</v>
      </c>
      <c r="P25">
        <f t="shared" si="2"/>
        <v>0</v>
      </c>
      <c r="Q25">
        <f t="shared" si="3"/>
        <v>0</v>
      </c>
      <c r="R25">
        <f t="shared" si="4"/>
        <v>0</v>
      </c>
    </row>
    <row r="26" spans="1:18" ht="51" x14ac:dyDescent="0.2">
      <c r="A26">
        <v>25</v>
      </c>
      <c r="B26" s="1" t="s">
        <v>221</v>
      </c>
      <c r="C26" t="s">
        <v>97</v>
      </c>
      <c r="G26">
        <v>1</v>
      </c>
      <c r="H26">
        <v>1</v>
      </c>
      <c r="I26" s="12"/>
      <c r="J26" s="12"/>
      <c r="K26" s="12"/>
      <c r="L26" s="12">
        <v>1</v>
      </c>
      <c r="M26" s="12">
        <v>1</v>
      </c>
      <c r="N26">
        <f t="shared" si="0"/>
        <v>0</v>
      </c>
      <c r="O26">
        <f t="shared" si="1"/>
        <v>0</v>
      </c>
      <c r="P26">
        <f t="shared" si="2"/>
        <v>0</v>
      </c>
      <c r="Q26">
        <f t="shared" si="3"/>
        <v>1</v>
      </c>
      <c r="R26">
        <f t="shared" si="4"/>
        <v>1</v>
      </c>
    </row>
    <row r="27" spans="1:18" ht="68" x14ac:dyDescent="0.2">
      <c r="A27">
        <v>26</v>
      </c>
      <c r="B27" s="1" t="s">
        <v>225</v>
      </c>
      <c r="C27" t="s">
        <v>125</v>
      </c>
      <c r="E27">
        <v>1</v>
      </c>
      <c r="F27">
        <v>1</v>
      </c>
      <c r="I27" s="12"/>
      <c r="J27" s="12">
        <v>1</v>
      </c>
      <c r="K27" s="12">
        <v>1</v>
      </c>
      <c r="L27" s="12"/>
      <c r="M27" s="12"/>
      <c r="N27">
        <f t="shared" si="0"/>
        <v>0</v>
      </c>
      <c r="O27">
        <f t="shared" si="1"/>
        <v>1</v>
      </c>
      <c r="P27">
        <f t="shared" si="2"/>
        <v>1</v>
      </c>
      <c r="Q27">
        <f t="shared" si="3"/>
        <v>0</v>
      </c>
      <c r="R27">
        <f t="shared" si="4"/>
        <v>0</v>
      </c>
    </row>
    <row r="28" spans="1:18" ht="34" x14ac:dyDescent="0.2">
      <c r="A28">
        <v>27</v>
      </c>
      <c r="B28" s="1" t="s">
        <v>229</v>
      </c>
      <c r="C28" t="s">
        <v>111</v>
      </c>
      <c r="E28">
        <v>1</v>
      </c>
      <c r="F28">
        <v>1</v>
      </c>
      <c r="I28" s="12"/>
      <c r="J28" s="12">
        <v>1</v>
      </c>
      <c r="K28" s="12"/>
      <c r="L28" s="12"/>
      <c r="M28" s="12"/>
      <c r="N28">
        <f t="shared" si="0"/>
        <v>0</v>
      </c>
      <c r="O28">
        <f t="shared" si="1"/>
        <v>1</v>
      </c>
      <c r="P28" t="str">
        <f t="shared" si="2"/>
        <v>Disagree</v>
      </c>
      <c r="Q28">
        <f t="shared" si="3"/>
        <v>0</v>
      </c>
      <c r="R28">
        <f t="shared" si="4"/>
        <v>0</v>
      </c>
    </row>
    <row r="29" spans="1:18" ht="51" x14ac:dyDescent="0.2">
      <c r="A29">
        <v>28</v>
      </c>
      <c r="B29" s="1" t="s">
        <v>236</v>
      </c>
      <c r="C29" t="s">
        <v>111</v>
      </c>
      <c r="E29">
        <v>1</v>
      </c>
      <c r="F29">
        <v>1</v>
      </c>
      <c r="I29" s="12"/>
      <c r="J29" s="12">
        <v>1</v>
      </c>
      <c r="K29" s="12">
        <v>1</v>
      </c>
      <c r="L29" s="12"/>
      <c r="M29" s="12"/>
      <c r="N29">
        <f t="shared" si="0"/>
        <v>0</v>
      </c>
      <c r="O29">
        <f t="shared" si="1"/>
        <v>1</v>
      </c>
      <c r="P29">
        <f t="shared" si="2"/>
        <v>1</v>
      </c>
      <c r="Q29">
        <f t="shared" si="3"/>
        <v>0</v>
      </c>
      <c r="R29">
        <f t="shared" si="4"/>
        <v>0</v>
      </c>
    </row>
    <row r="30" spans="1:18" ht="51" x14ac:dyDescent="0.2">
      <c r="A30">
        <v>29</v>
      </c>
      <c r="B30" s="1" t="s">
        <v>241</v>
      </c>
      <c r="C30" t="s">
        <v>111</v>
      </c>
      <c r="E30">
        <v>1</v>
      </c>
      <c r="F30">
        <v>1</v>
      </c>
      <c r="I30" s="12"/>
      <c r="J30" s="12">
        <v>1</v>
      </c>
      <c r="K30" s="12">
        <v>1</v>
      </c>
      <c r="L30" s="12"/>
      <c r="M30" s="12"/>
      <c r="N30">
        <f t="shared" si="0"/>
        <v>0</v>
      </c>
      <c r="O30">
        <f t="shared" si="1"/>
        <v>1</v>
      </c>
      <c r="P30">
        <f t="shared" si="2"/>
        <v>1</v>
      </c>
      <c r="Q30">
        <f t="shared" si="3"/>
        <v>0</v>
      </c>
      <c r="R30">
        <f t="shared" si="4"/>
        <v>0</v>
      </c>
    </row>
    <row r="31" spans="1:18" ht="68" x14ac:dyDescent="0.2">
      <c r="A31">
        <v>30</v>
      </c>
      <c r="B31" s="1" t="s">
        <v>245</v>
      </c>
      <c r="C31" t="s">
        <v>125</v>
      </c>
      <c r="E31">
        <v>1</v>
      </c>
      <c r="F31">
        <v>1</v>
      </c>
      <c r="I31" s="12"/>
      <c r="J31" s="12">
        <v>1</v>
      </c>
      <c r="K31" s="12">
        <v>1</v>
      </c>
      <c r="L31" s="12"/>
      <c r="M31" s="12"/>
      <c r="N31">
        <f t="shared" si="0"/>
        <v>0</v>
      </c>
      <c r="O31">
        <f t="shared" si="1"/>
        <v>1</v>
      </c>
      <c r="P31">
        <f t="shared" si="2"/>
        <v>1</v>
      </c>
      <c r="Q31">
        <f t="shared" si="3"/>
        <v>0</v>
      </c>
      <c r="R31">
        <f t="shared" si="4"/>
        <v>0</v>
      </c>
    </row>
    <row r="32" spans="1:18" ht="51" x14ac:dyDescent="0.2">
      <c r="A32">
        <v>31</v>
      </c>
      <c r="B32" s="1" t="s">
        <v>251</v>
      </c>
      <c r="C32" t="s">
        <v>97</v>
      </c>
      <c r="I32" s="12">
        <v>1</v>
      </c>
      <c r="J32" s="12"/>
      <c r="K32" s="12"/>
      <c r="L32" s="12"/>
      <c r="M32" s="12"/>
      <c r="N32" t="str">
        <f t="shared" si="0"/>
        <v>Disagree</v>
      </c>
      <c r="O32">
        <f t="shared" si="1"/>
        <v>0</v>
      </c>
      <c r="P32">
        <f t="shared" si="2"/>
        <v>0</v>
      </c>
      <c r="Q32">
        <f t="shared" si="3"/>
        <v>0</v>
      </c>
      <c r="R32">
        <f t="shared" si="4"/>
        <v>0</v>
      </c>
    </row>
    <row r="33" spans="1:18" ht="17" x14ac:dyDescent="0.2">
      <c r="A33">
        <v>32</v>
      </c>
      <c r="B33" s="1" t="s">
        <v>256</v>
      </c>
      <c r="C33" t="s">
        <v>97</v>
      </c>
      <c r="D33">
        <v>1</v>
      </c>
      <c r="I33" s="12">
        <v>1</v>
      </c>
      <c r="J33" s="12"/>
      <c r="K33" s="12"/>
      <c r="L33" s="12"/>
      <c r="M33" s="12"/>
      <c r="N33">
        <f t="shared" si="0"/>
        <v>1</v>
      </c>
      <c r="O33">
        <f t="shared" si="1"/>
        <v>0</v>
      </c>
      <c r="P33">
        <f t="shared" si="2"/>
        <v>0</v>
      </c>
      <c r="Q33">
        <f t="shared" si="3"/>
        <v>0</v>
      </c>
      <c r="R33">
        <f t="shared" si="4"/>
        <v>0</v>
      </c>
    </row>
    <row r="34" spans="1:18" ht="51" x14ac:dyDescent="0.2">
      <c r="A34">
        <v>33</v>
      </c>
      <c r="B34" s="1" t="s">
        <v>260</v>
      </c>
      <c r="C34" t="s">
        <v>111</v>
      </c>
      <c r="E34">
        <v>1</v>
      </c>
      <c r="F34">
        <v>1</v>
      </c>
      <c r="I34" s="12"/>
      <c r="J34" s="12">
        <v>1</v>
      </c>
      <c r="K34" s="12">
        <v>1</v>
      </c>
      <c r="L34" s="12"/>
      <c r="M34" s="12"/>
      <c r="N34">
        <f t="shared" si="0"/>
        <v>0</v>
      </c>
      <c r="O34">
        <f t="shared" si="1"/>
        <v>1</v>
      </c>
      <c r="P34">
        <f t="shared" si="2"/>
        <v>1</v>
      </c>
      <c r="Q34">
        <f t="shared" si="3"/>
        <v>0</v>
      </c>
      <c r="R34">
        <f t="shared" si="4"/>
        <v>0</v>
      </c>
    </row>
    <row r="35" spans="1:18" ht="17" x14ac:dyDescent="0.2">
      <c r="A35">
        <v>34</v>
      </c>
      <c r="B35" s="1" t="s">
        <v>264</v>
      </c>
      <c r="C35" t="s">
        <v>97</v>
      </c>
      <c r="D35">
        <v>1</v>
      </c>
      <c r="I35" s="12">
        <v>1</v>
      </c>
      <c r="J35" s="12"/>
      <c r="K35" s="12"/>
      <c r="L35" s="12"/>
      <c r="M35" s="12"/>
      <c r="N35">
        <f t="shared" si="0"/>
        <v>1</v>
      </c>
      <c r="O35">
        <f t="shared" si="1"/>
        <v>0</v>
      </c>
      <c r="P35">
        <f t="shared" si="2"/>
        <v>0</v>
      </c>
      <c r="Q35">
        <f t="shared" si="3"/>
        <v>0</v>
      </c>
      <c r="R35">
        <f t="shared" si="4"/>
        <v>0</v>
      </c>
    </row>
    <row r="36" spans="1:18" ht="17" x14ac:dyDescent="0.2">
      <c r="A36">
        <v>35</v>
      </c>
      <c r="B36" s="1" t="s">
        <v>270</v>
      </c>
      <c r="C36" t="s">
        <v>97</v>
      </c>
      <c r="D36">
        <v>1</v>
      </c>
      <c r="I36" s="12">
        <v>1</v>
      </c>
      <c r="J36" s="12"/>
      <c r="K36" s="12"/>
      <c r="L36" s="12"/>
      <c r="M36" s="12"/>
      <c r="N36">
        <f t="shared" si="0"/>
        <v>1</v>
      </c>
      <c r="O36">
        <f t="shared" si="1"/>
        <v>0</v>
      </c>
      <c r="P36">
        <f t="shared" si="2"/>
        <v>0</v>
      </c>
      <c r="Q36">
        <f t="shared" si="3"/>
        <v>0</v>
      </c>
      <c r="R36">
        <f t="shared" si="4"/>
        <v>0</v>
      </c>
    </row>
    <row r="37" spans="1:18" ht="17" x14ac:dyDescent="0.2">
      <c r="A37">
        <v>36</v>
      </c>
      <c r="B37" s="1" t="s">
        <v>275</v>
      </c>
      <c r="C37" t="s">
        <v>125</v>
      </c>
      <c r="E37">
        <v>1</v>
      </c>
      <c r="F37">
        <v>1</v>
      </c>
      <c r="I37" s="12"/>
      <c r="J37" s="12">
        <v>1</v>
      </c>
      <c r="K37" s="12">
        <v>1</v>
      </c>
      <c r="L37" s="12"/>
      <c r="M37" s="12"/>
      <c r="N37">
        <f t="shared" si="0"/>
        <v>0</v>
      </c>
      <c r="O37">
        <f t="shared" si="1"/>
        <v>1</v>
      </c>
      <c r="P37">
        <f t="shared" si="2"/>
        <v>1</v>
      </c>
      <c r="Q37">
        <f t="shared" si="3"/>
        <v>0</v>
      </c>
      <c r="R37">
        <f t="shared" si="4"/>
        <v>0</v>
      </c>
    </row>
    <row r="38" spans="1:18" ht="68" x14ac:dyDescent="0.2">
      <c r="A38">
        <v>37</v>
      </c>
      <c r="B38" s="1" t="s">
        <v>279</v>
      </c>
      <c r="C38" t="s">
        <v>105</v>
      </c>
      <c r="E38">
        <v>1</v>
      </c>
      <c r="F38">
        <v>1</v>
      </c>
      <c r="I38" s="12"/>
      <c r="J38" s="12">
        <v>1</v>
      </c>
      <c r="K38" s="12"/>
      <c r="L38" s="12"/>
      <c r="M38" s="12"/>
      <c r="N38">
        <f t="shared" si="0"/>
        <v>0</v>
      </c>
      <c r="O38">
        <f t="shared" si="1"/>
        <v>1</v>
      </c>
      <c r="P38" t="str">
        <f t="shared" si="2"/>
        <v>Disagree</v>
      </c>
      <c r="Q38">
        <f t="shared" si="3"/>
        <v>0</v>
      </c>
      <c r="R38">
        <f t="shared" si="4"/>
        <v>0</v>
      </c>
    </row>
    <row r="39" spans="1:18" ht="34" x14ac:dyDescent="0.2">
      <c r="A39">
        <v>38</v>
      </c>
      <c r="B39" s="1" t="s">
        <v>283</v>
      </c>
      <c r="C39" t="s">
        <v>97</v>
      </c>
      <c r="D39">
        <v>1</v>
      </c>
      <c r="I39" s="12">
        <v>1</v>
      </c>
      <c r="J39" s="12"/>
      <c r="K39" s="12"/>
      <c r="L39" s="12"/>
      <c r="M39" s="12"/>
      <c r="N39">
        <f t="shared" si="0"/>
        <v>1</v>
      </c>
      <c r="O39">
        <f t="shared" si="1"/>
        <v>0</v>
      </c>
      <c r="P39">
        <f t="shared" si="2"/>
        <v>0</v>
      </c>
      <c r="Q39">
        <f t="shared" si="3"/>
        <v>0</v>
      </c>
      <c r="R39">
        <f t="shared" si="4"/>
        <v>0</v>
      </c>
    </row>
    <row r="40" spans="1:18" ht="68" x14ac:dyDescent="0.2">
      <c r="A40">
        <v>39</v>
      </c>
      <c r="B40" s="1" t="s">
        <v>287</v>
      </c>
      <c r="C40" t="s">
        <v>125</v>
      </c>
      <c r="E40">
        <v>1</v>
      </c>
      <c r="F40">
        <v>1</v>
      </c>
      <c r="I40" s="12"/>
      <c r="J40" s="12">
        <v>1</v>
      </c>
      <c r="K40" s="12">
        <v>1</v>
      </c>
      <c r="L40" s="12"/>
      <c r="M40" s="12"/>
      <c r="N40">
        <f t="shared" si="0"/>
        <v>0</v>
      </c>
      <c r="O40">
        <f t="shared" si="1"/>
        <v>1</v>
      </c>
      <c r="P40">
        <f t="shared" si="2"/>
        <v>1</v>
      </c>
      <c r="Q40">
        <f t="shared" si="3"/>
        <v>0</v>
      </c>
      <c r="R40">
        <f t="shared" si="4"/>
        <v>0</v>
      </c>
    </row>
    <row r="41" spans="1:18" ht="34" x14ac:dyDescent="0.2">
      <c r="A41">
        <v>40</v>
      </c>
      <c r="B41" s="1" t="s">
        <v>292</v>
      </c>
      <c r="C41" t="s">
        <v>105</v>
      </c>
      <c r="D41">
        <v>1</v>
      </c>
      <c r="I41" s="12">
        <v>1</v>
      </c>
      <c r="J41" s="12"/>
      <c r="K41" s="12"/>
      <c r="L41" s="12"/>
      <c r="M41" s="12"/>
      <c r="N41">
        <f t="shared" si="0"/>
        <v>1</v>
      </c>
      <c r="O41">
        <f t="shared" si="1"/>
        <v>0</v>
      </c>
      <c r="P41">
        <f t="shared" si="2"/>
        <v>0</v>
      </c>
      <c r="Q41">
        <f t="shared" si="3"/>
        <v>0</v>
      </c>
      <c r="R41">
        <f t="shared" si="4"/>
        <v>0</v>
      </c>
    </row>
    <row r="42" spans="1:18" ht="51" x14ac:dyDescent="0.2">
      <c r="A42">
        <v>41</v>
      </c>
      <c r="B42" s="1" t="s">
        <v>296</v>
      </c>
      <c r="C42" t="s">
        <v>97</v>
      </c>
      <c r="G42">
        <v>1</v>
      </c>
      <c r="H42">
        <v>1</v>
      </c>
      <c r="I42" s="12"/>
      <c r="J42" s="12"/>
      <c r="K42" s="12"/>
      <c r="L42" s="12">
        <v>1</v>
      </c>
      <c r="M42" s="12">
        <v>1</v>
      </c>
      <c r="N42">
        <f t="shared" si="0"/>
        <v>0</v>
      </c>
      <c r="O42">
        <f t="shared" si="1"/>
        <v>0</v>
      </c>
      <c r="P42">
        <f t="shared" si="2"/>
        <v>0</v>
      </c>
      <c r="Q42">
        <f t="shared" si="3"/>
        <v>1</v>
      </c>
      <c r="R42">
        <f t="shared" si="4"/>
        <v>1</v>
      </c>
    </row>
    <row r="43" spans="1:18" ht="51" x14ac:dyDescent="0.2">
      <c r="A43">
        <v>42</v>
      </c>
      <c r="B43" s="1" t="s">
        <v>301</v>
      </c>
      <c r="C43" t="s">
        <v>111</v>
      </c>
      <c r="E43">
        <v>1</v>
      </c>
      <c r="F43">
        <v>1</v>
      </c>
      <c r="I43" s="12"/>
      <c r="J43" s="12">
        <v>1</v>
      </c>
      <c r="K43" s="12">
        <v>1</v>
      </c>
      <c r="L43" s="12"/>
      <c r="M43" s="12"/>
      <c r="N43">
        <f t="shared" si="0"/>
        <v>0</v>
      </c>
      <c r="O43">
        <f t="shared" si="1"/>
        <v>1</v>
      </c>
      <c r="P43">
        <f t="shared" si="2"/>
        <v>1</v>
      </c>
      <c r="Q43">
        <f t="shared" si="3"/>
        <v>0</v>
      </c>
      <c r="R43">
        <f t="shared" si="4"/>
        <v>0</v>
      </c>
    </row>
    <row r="44" spans="1:18" ht="85" x14ac:dyDescent="0.2">
      <c r="A44">
        <v>43</v>
      </c>
      <c r="B44" s="1" t="s">
        <v>305</v>
      </c>
      <c r="C44" t="s">
        <v>97</v>
      </c>
      <c r="D44">
        <v>1</v>
      </c>
      <c r="I44" s="12">
        <v>1</v>
      </c>
      <c r="J44" s="12"/>
      <c r="K44" s="12"/>
      <c r="L44" s="12"/>
      <c r="M44" s="12"/>
      <c r="N44">
        <f t="shared" si="0"/>
        <v>1</v>
      </c>
      <c r="O44">
        <f t="shared" si="1"/>
        <v>0</v>
      </c>
      <c r="P44">
        <f t="shared" si="2"/>
        <v>0</v>
      </c>
      <c r="Q44">
        <f t="shared" si="3"/>
        <v>0</v>
      </c>
      <c r="R44">
        <f t="shared" si="4"/>
        <v>0</v>
      </c>
    </row>
    <row r="45" spans="1:18" ht="136" x14ac:dyDescent="0.2">
      <c r="A45">
        <v>44</v>
      </c>
      <c r="B45" s="1" t="s">
        <v>309</v>
      </c>
      <c r="C45" t="s">
        <v>111</v>
      </c>
      <c r="E45">
        <v>1</v>
      </c>
      <c r="F45">
        <v>1</v>
      </c>
      <c r="I45" s="12"/>
      <c r="J45" s="12">
        <v>1</v>
      </c>
      <c r="K45" s="12">
        <v>1</v>
      </c>
      <c r="L45" s="12"/>
      <c r="M45" s="12"/>
      <c r="N45">
        <f t="shared" si="0"/>
        <v>0</v>
      </c>
      <c r="O45">
        <f t="shared" si="1"/>
        <v>1</v>
      </c>
      <c r="P45">
        <f t="shared" si="2"/>
        <v>1</v>
      </c>
      <c r="Q45">
        <f t="shared" si="3"/>
        <v>0</v>
      </c>
      <c r="R45">
        <f t="shared" si="4"/>
        <v>0</v>
      </c>
    </row>
    <row r="46" spans="1:18" ht="51" x14ac:dyDescent="0.2">
      <c r="A46">
        <v>45</v>
      </c>
      <c r="B46" s="1" t="s">
        <v>313</v>
      </c>
      <c r="C46" t="s">
        <v>105</v>
      </c>
      <c r="D46">
        <v>1</v>
      </c>
      <c r="I46" s="12">
        <v>1</v>
      </c>
      <c r="J46" s="12"/>
      <c r="K46" s="12"/>
      <c r="L46" s="12"/>
      <c r="M46" s="12"/>
      <c r="N46">
        <f t="shared" si="0"/>
        <v>1</v>
      </c>
      <c r="O46">
        <f t="shared" si="1"/>
        <v>0</v>
      </c>
      <c r="P46">
        <f t="shared" si="2"/>
        <v>0</v>
      </c>
      <c r="Q46">
        <f t="shared" si="3"/>
        <v>0</v>
      </c>
      <c r="R46">
        <f t="shared" si="4"/>
        <v>0</v>
      </c>
    </row>
    <row r="47" spans="1:18" ht="68" x14ac:dyDescent="0.2">
      <c r="A47">
        <v>46</v>
      </c>
      <c r="B47" s="1" t="s">
        <v>317</v>
      </c>
      <c r="C47" t="s">
        <v>111</v>
      </c>
      <c r="E47">
        <v>1</v>
      </c>
      <c r="I47" s="12"/>
      <c r="J47" s="12">
        <v>1</v>
      </c>
      <c r="K47" s="12"/>
      <c r="L47" s="12"/>
      <c r="M47" s="12"/>
      <c r="N47">
        <f t="shared" si="0"/>
        <v>0</v>
      </c>
      <c r="O47">
        <f t="shared" si="1"/>
        <v>1</v>
      </c>
      <c r="P47">
        <f t="shared" si="2"/>
        <v>0</v>
      </c>
      <c r="Q47">
        <f t="shared" si="3"/>
        <v>0</v>
      </c>
      <c r="R47">
        <f t="shared" si="4"/>
        <v>0</v>
      </c>
    </row>
    <row r="48" spans="1:18" ht="34" x14ac:dyDescent="0.2">
      <c r="A48">
        <v>47</v>
      </c>
      <c r="B48" s="1" t="s">
        <v>321</v>
      </c>
      <c r="C48" t="s">
        <v>111</v>
      </c>
      <c r="E48">
        <v>1</v>
      </c>
      <c r="F48">
        <v>1</v>
      </c>
      <c r="I48" s="12"/>
      <c r="J48" s="12">
        <v>1</v>
      </c>
      <c r="K48" s="12">
        <v>1</v>
      </c>
      <c r="L48" s="12"/>
      <c r="M48" s="12"/>
      <c r="N48">
        <f t="shared" si="0"/>
        <v>0</v>
      </c>
      <c r="O48">
        <f t="shared" si="1"/>
        <v>1</v>
      </c>
      <c r="P48">
        <f t="shared" si="2"/>
        <v>1</v>
      </c>
      <c r="Q48">
        <f t="shared" si="3"/>
        <v>0</v>
      </c>
      <c r="R48">
        <f t="shared" si="4"/>
        <v>0</v>
      </c>
    </row>
    <row r="49" spans="1:18" ht="17" x14ac:dyDescent="0.2">
      <c r="A49">
        <v>48</v>
      </c>
      <c r="B49" s="1" t="s">
        <v>325</v>
      </c>
      <c r="C49" t="s">
        <v>97</v>
      </c>
      <c r="D49">
        <v>1</v>
      </c>
      <c r="I49" s="12">
        <v>1</v>
      </c>
      <c r="J49" s="12"/>
      <c r="K49" s="12"/>
      <c r="L49" s="12"/>
      <c r="M49" s="12"/>
      <c r="N49">
        <f t="shared" si="0"/>
        <v>1</v>
      </c>
      <c r="O49">
        <f t="shared" si="1"/>
        <v>0</v>
      </c>
      <c r="P49">
        <f t="shared" si="2"/>
        <v>0</v>
      </c>
      <c r="Q49">
        <f t="shared" si="3"/>
        <v>0</v>
      </c>
      <c r="R49">
        <f t="shared" si="4"/>
        <v>0</v>
      </c>
    </row>
    <row r="50" spans="1:18" ht="51" x14ac:dyDescent="0.2">
      <c r="A50">
        <v>49</v>
      </c>
      <c r="B50" s="1" t="s">
        <v>329</v>
      </c>
      <c r="C50" t="s">
        <v>97</v>
      </c>
      <c r="D50">
        <v>1</v>
      </c>
      <c r="I50" s="12">
        <v>1</v>
      </c>
      <c r="J50" s="12"/>
      <c r="K50" s="12"/>
      <c r="L50" s="12"/>
      <c r="M50" s="12"/>
      <c r="N50">
        <f t="shared" si="0"/>
        <v>1</v>
      </c>
      <c r="O50">
        <f t="shared" si="1"/>
        <v>0</v>
      </c>
      <c r="P50">
        <f t="shared" si="2"/>
        <v>0</v>
      </c>
      <c r="Q50">
        <f t="shared" si="3"/>
        <v>0</v>
      </c>
      <c r="R50">
        <f t="shared" si="4"/>
        <v>0</v>
      </c>
    </row>
    <row r="51" spans="1:18" ht="34" x14ac:dyDescent="0.2">
      <c r="A51">
        <v>50</v>
      </c>
      <c r="B51" s="1" t="s">
        <v>334</v>
      </c>
      <c r="C51" t="s">
        <v>125</v>
      </c>
      <c r="E51">
        <v>1</v>
      </c>
      <c r="F51">
        <v>1</v>
      </c>
      <c r="I51" s="12"/>
      <c r="J51" s="12">
        <v>1</v>
      </c>
      <c r="K51" s="12">
        <v>1</v>
      </c>
      <c r="L51" s="12"/>
      <c r="M51" s="12"/>
      <c r="N51">
        <f t="shared" si="0"/>
        <v>0</v>
      </c>
      <c r="O51">
        <f t="shared" si="1"/>
        <v>1</v>
      </c>
      <c r="P51">
        <f t="shared" si="2"/>
        <v>1</v>
      </c>
      <c r="Q51">
        <f t="shared" si="3"/>
        <v>0</v>
      </c>
      <c r="R51">
        <f t="shared" si="4"/>
        <v>0</v>
      </c>
    </row>
    <row r="52" spans="1:18" ht="68" x14ac:dyDescent="0.2">
      <c r="A52">
        <v>51</v>
      </c>
      <c r="B52" s="1" t="s">
        <v>338</v>
      </c>
      <c r="C52" t="s">
        <v>111</v>
      </c>
      <c r="E52">
        <v>1</v>
      </c>
      <c r="F52">
        <v>1</v>
      </c>
      <c r="I52" s="12"/>
      <c r="J52" s="12">
        <v>1</v>
      </c>
      <c r="K52" s="12">
        <v>1</v>
      </c>
      <c r="L52" s="12"/>
      <c r="M52" s="12"/>
      <c r="N52">
        <f t="shared" si="0"/>
        <v>0</v>
      </c>
      <c r="O52">
        <f t="shared" si="1"/>
        <v>1</v>
      </c>
      <c r="P52">
        <f t="shared" si="2"/>
        <v>1</v>
      </c>
      <c r="Q52">
        <f t="shared" si="3"/>
        <v>0</v>
      </c>
      <c r="R52">
        <f t="shared" si="4"/>
        <v>0</v>
      </c>
    </row>
    <row r="53" spans="1:18" ht="68" x14ac:dyDescent="0.2">
      <c r="A53">
        <v>52</v>
      </c>
      <c r="B53" s="1" t="s">
        <v>342</v>
      </c>
      <c r="C53" t="s">
        <v>105</v>
      </c>
      <c r="D53">
        <v>1</v>
      </c>
      <c r="I53" s="12">
        <v>1</v>
      </c>
      <c r="J53" s="12"/>
      <c r="K53" s="12">
        <v>1</v>
      </c>
      <c r="L53" s="12"/>
      <c r="M53" s="12"/>
      <c r="N53">
        <f t="shared" si="0"/>
        <v>1</v>
      </c>
      <c r="O53">
        <f t="shared" si="1"/>
        <v>0</v>
      </c>
      <c r="P53" t="str">
        <f t="shared" si="2"/>
        <v>Disagree</v>
      </c>
      <c r="Q53">
        <f t="shared" si="3"/>
        <v>0</v>
      </c>
      <c r="R53">
        <f t="shared" si="4"/>
        <v>0</v>
      </c>
    </row>
    <row r="54" spans="1:18" ht="34" x14ac:dyDescent="0.2">
      <c r="A54">
        <v>53</v>
      </c>
      <c r="B54" s="1" t="s">
        <v>346</v>
      </c>
      <c r="C54" t="s">
        <v>111</v>
      </c>
      <c r="E54">
        <v>1</v>
      </c>
      <c r="F54">
        <v>1</v>
      </c>
      <c r="I54" s="12"/>
      <c r="J54" s="12">
        <v>1</v>
      </c>
      <c r="K54" s="12">
        <v>1</v>
      </c>
      <c r="L54" s="12"/>
      <c r="M54" s="12"/>
      <c r="N54">
        <f t="shared" si="0"/>
        <v>0</v>
      </c>
      <c r="O54">
        <f t="shared" si="1"/>
        <v>1</v>
      </c>
      <c r="P54">
        <f t="shared" si="2"/>
        <v>1</v>
      </c>
      <c r="Q54">
        <f t="shared" si="3"/>
        <v>0</v>
      </c>
      <c r="R54">
        <f t="shared" si="4"/>
        <v>0</v>
      </c>
    </row>
    <row r="55" spans="1:18" ht="51" x14ac:dyDescent="0.2">
      <c r="A55">
        <v>54</v>
      </c>
      <c r="B55" s="1" t="s">
        <v>350</v>
      </c>
      <c r="C55" t="s">
        <v>111</v>
      </c>
      <c r="E55">
        <v>1</v>
      </c>
      <c r="I55" s="12"/>
      <c r="J55" s="12">
        <v>1</v>
      </c>
      <c r="K55" s="12"/>
      <c r="L55" s="12"/>
      <c r="M55" s="12"/>
      <c r="N55">
        <f t="shared" si="0"/>
        <v>0</v>
      </c>
      <c r="O55">
        <f t="shared" si="1"/>
        <v>1</v>
      </c>
      <c r="P55">
        <f t="shared" si="2"/>
        <v>0</v>
      </c>
      <c r="Q55">
        <f t="shared" si="3"/>
        <v>0</v>
      </c>
      <c r="R55">
        <f t="shared" si="4"/>
        <v>0</v>
      </c>
    </row>
    <row r="56" spans="1:18" ht="51" x14ac:dyDescent="0.2">
      <c r="A56">
        <v>55</v>
      </c>
      <c r="B56" s="1" t="s">
        <v>355</v>
      </c>
      <c r="C56" t="s">
        <v>105</v>
      </c>
      <c r="D56">
        <v>1</v>
      </c>
      <c r="I56" s="12">
        <v>1</v>
      </c>
      <c r="J56" s="12"/>
      <c r="K56" s="12"/>
      <c r="L56" s="12"/>
      <c r="M56" s="12"/>
      <c r="N56">
        <f t="shared" si="0"/>
        <v>1</v>
      </c>
      <c r="O56">
        <f t="shared" si="1"/>
        <v>0</v>
      </c>
      <c r="P56">
        <f t="shared" si="2"/>
        <v>0</v>
      </c>
      <c r="Q56">
        <f t="shared" si="3"/>
        <v>0</v>
      </c>
      <c r="R56">
        <f t="shared" si="4"/>
        <v>0</v>
      </c>
    </row>
    <row r="57" spans="1:18" ht="85" x14ac:dyDescent="0.2">
      <c r="A57">
        <v>56</v>
      </c>
      <c r="B57" s="1" t="s">
        <v>359</v>
      </c>
      <c r="C57" t="s">
        <v>105</v>
      </c>
      <c r="D57">
        <v>1</v>
      </c>
      <c r="I57" s="12">
        <v>1</v>
      </c>
      <c r="J57" s="12"/>
      <c r="K57" s="12"/>
      <c r="L57" s="12"/>
      <c r="M57" s="12"/>
      <c r="N57">
        <f t="shared" si="0"/>
        <v>1</v>
      </c>
      <c r="O57">
        <f t="shared" si="1"/>
        <v>0</v>
      </c>
      <c r="P57">
        <f t="shared" si="2"/>
        <v>0</v>
      </c>
      <c r="Q57">
        <f t="shared" si="3"/>
        <v>0</v>
      </c>
      <c r="R57">
        <f t="shared" si="4"/>
        <v>0</v>
      </c>
    </row>
    <row r="58" spans="1:18" ht="17" x14ac:dyDescent="0.2">
      <c r="A58">
        <v>57</v>
      </c>
      <c r="B58" s="1" t="s">
        <v>363</v>
      </c>
      <c r="C58" t="s">
        <v>105</v>
      </c>
      <c r="D58">
        <v>1</v>
      </c>
      <c r="I58" s="12"/>
      <c r="J58" s="12"/>
      <c r="K58" s="12"/>
      <c r="L58" s="12"/>
      <c r="M58" s="12"/>
      <c r="N58" t="str">
        <f t="shared" si="0"/>
        <v>Disagree</v>
      </c>
      <c r="O58">
        <f t="shared" si="1"/>
        <v>0</v>
      </c>
      <c r="P58">
        <f t="shared" si="2"/>
        <v>0</v>
      </c>
      <c r="Q58">
        <f t="shared" si="3"/>
        <v>0</v>
      </c>
      <c r="R58">
        <f t="shared" si="4"/>
        <v>0</v>
      </c>
    </row>
    <row r="59" spans="1:18" ht="119" x14ac:dyDescent="0.2">
      <c r="A59">
        <v>58</v>
      </c>
      <c r="B59" s="10" t="s">
        <v>367</v>
      </c>
      <c r="C59" t="s">
        <v>105</v>
      </c>
      <c r="D59">
        <v>1</v>
      </c>
      <c r="I59" s="12">
        <v>1</v>
      </c>
      <c r="J59" s="12"/>
      <c r="K59" s="12"/>
      <c r="L59" s="12"/>
      <c r="M59" s="12"/>
      <c r="N59">
        <f t="shared" si="0"/>
        <v>1</v>
      </c>
      <c r="O59">
        <f t="shared" si="1"/>
        <v>0</v>
      </c>
      <c r="P59">
        <f t="shared" si="2"/>
        <v>0</v>
      </c>
      <c r="Q59">
        <f t="shared" si="3"/>
        <v>0</v>
      </c>
      <c r="R59">
        <f t="shared" si="4"/>
        <v>0</v>
      </c>
    </row>
    <row r="60" spans="1:18" ht="68" x14ac:dyDescent="0.2">
      <c r="A60">
        <v>59</v>
      </c>
      <c r="B60" s="1" t="s">
        <v>371</v>
      </c>
      <c r="C60" t="s">
        <v>125</v>
      </c>
      <c r="E60">
        <v>1</v>
      </c>
      <c r="I60" s="12"/>
      <c r="J60" s="12">
        <v>1</v>
      </c>
      <c r="K60" s="12">
        <v>1</v>
      </c>
      <c r="L60" s="12"/>
      <c r="M60" s="12"/>
      <c r="N60">
        <f t="shared" si="0"/>
        <v>0</v>
      </c>
      <c r="O60">
        <f t="shared" si="1"/>
        <v>1</v>
      </c>
      <c r="P60" t="str">
        <f t="shared" si="2"/>
        <v>Disagree</v>
      </c>
      <c r="Q60">
        <f t="shared" si="3"/>
        <v>0</v>
      </c>
      <c r="R60">
        <f t="shared" si="4"/>
        <v>0</v>
      </c>
    </row>
    <row r="61" spans="1:18" ht="102" x14ac:dyDescent="0.2">
      <c r="A61">
        <v>60</v>
      </c>
      <c r="B61" s="1" t="s">
        <v>375</v>
      </c>
      <c r="C61" t="s">
        <v>105</v>
      </c>
      <c r="D61">
        <v>1</v>
      </c>
      <c r="I61" s="12">
        <v>1</v>
      </c>
      <c r="J61" s="12"/>
      <c r="K61" s="12"/>
      <c r="L61" s="12"/>
      <c r="M61" s="12"/>
      <c r="N61">
        <f t="shared" si="0"/>
        <v>1</v>
      </c>
      <c r="O61">
        <f t="shared" si="1"/>
        <v>0</v>
      </c>
      <c r="P61">
        <f t="shared" si="2"/>
        <v>0</v>
      </c>
      <c r="Q61">
        <f t="shared" si="3"/>
        <v>0</v>
      </c>
      <c r="R61">
        <f t="shared" si="4"/>
        <v>0</v>
      </c>
    </row>
    <row r="62" spans="1:18" ht="102" x14ac:dyDescent="0.2">
      <c r="A62">
        <v>61</v>
      </c>
      <c r="B62" s="1" t="s">
        <v>379</v>
      </c>
      <c r="C62" t="s">
        <v>97</v>
      </c>
      <c r="D62">
        <v>1</v>
      </c>
      <c r="G62">
        <v>1</v>
      </c>
      <c r="H62">
        <v>1</v>
      </c>
      <c r="I62" s="12"/>
      <c r="J62" s="12"/>
      <c r="K62" s="12"/>
      <c r="L62" s="12">
        <v>1</v>
      </c>
      <c r="M62" s="12"/>
      <c r="N62" t="str">
        <f t="shared" si="0"/>
        <v>Disagree</v>
      </c>
      <c r="O62">
        <f t="shared" si="1"/>
        <v>0</v>
      </c>
      <c r="P62">
        <f t="shared" si="2"/>
        <v>0</v>
      </c>
      <c r="Q62">
        <f t="shared" si="3"/>
        <v>1</v>
      </c>
      <c r="R62" t="str">
        <f t="shared" si="4"/>
        <v>Disagree</v>
      </c>
    </row>
    <row r="63" spans="1:18" ht="34" x14ac:dyDescent="0.2">
      <c r="A63">
        <v>62</v>
      </c>
      <c r="B63" s="1" t="s">
        <v>384</v>
      </c>
      <c r="C63" t="s">
        <v>111</v>
      </c>
      <c r="E63">
        <v>1</v>
      </c>
      <c r="F63">
        <v>1</v>
      </c>
      <c r="I63" s="12"/>
      <c r="J63" s="12">
        <v>1</v>
      </c>
      <c r="K63" s="12">
        <v>1</v>
      </c>
      <c r="L63" s="12"/>
      <c r="M63" s="12"/>
      <c r="N63">
        <f t="shared" si="0"/>
        <v>0</v>
      </c>
      <c r="O63">
        <f t="shared" si="1"/>
        <v>1</v>
      </c>
      <c r="P63">
        <f t="shared" si="2"/>
        <v>1</v>
      </c>
      <c r="Q63">
        <f t="shared" si="3"/>
        <v>0</v>
      </c>
      <c r="R63">
        <f t="shared" si="4"/>
        <v>0</v>
      </c>
    </row>
    <row r="64" spans="1:18" ht="85" x14ac:dyDescent="0.2">
      <c r="A64">
        <v>63</v>
      </c>
      <c r="B64" s="1" t="s">
        <v>389</v>
      </c>
      <c r="C64" t="s">
        <v>97</v>
      </c>
      <c r="E64">
        <v>1</v>
      </c>
      <c r="F64">
        <v>1</v>
      </c>
      <c r="I64" s="12"/>
      <c r="J64" s="12">
        <v>1</v>
      </c>
      <c r="K64" s="12">
        <v>1</v>
      </c>
      <c r="L64" s="12"/>
      <c r="M64" s="12"/>
      <c r="N64">
        <f t="shared" si="0"/>
        <v>0</v>
      </c>
      <c r="O64">
        <f t="shared" si="1"/>
        <v>1</v>
      </c>
      <c r="P64">
        <f t="shared" si="2"/>
        <v>1</v>
      </c>
      <c r="Q64">
        <f t="shared" si="3"/>
        <v>0</v>
      </c>
      <c r="R64">
        <f t="shared" si="4"/>
        <v>0</v>
      </c>
    </row>
    <row r="65" spans="1:18" ht="34" x14ac:dyDescent="0.2">
      <c r="A65">
        <v>64</v>
      </c>
      <c r="B65" s="1" t="s">
        <v>393</v>
      </c>
      <c r="C65" t="s">
        <v>111</v>
      </c>
      <c r="E65">
        <v>1</v>
      </c>
      <c r="F65">
        <v>1</v>
      </c>
      <c r="I65" s="12"/>
      <c r="J65" s="12">
        <v>1</v>
      </c>
      <c r="K65" s="12">
        <v>1</v>
      </c>
      <c r="L65" s="12"/>
      <c r="M65" s="12"/>
      <c r="N65">
        <f t="shared" si="0"/>
        <v>0</v>
      </c>
      <c r="O65">
        <f t="shared" si="1"/>
        <v>1</v>
      </c>
      <c r="P65">
        <f t="shared" si="2"/>
        <v>1</v>
      </c>
      <c r="Q65">
        <f t="shared" si="3"/>
        <v>0</v>
      </c>
      <c r="R65">
        <f t="shared" si="4"/>
        <v>0</v>
      </c>
    </row>
    <row r="66" spans="1:18" ht="51" x14ac:dyDescent="0.2">
      <c r="A66">
        <v>65</v>
      </c>
      <c r="B66" s="1" t="s">
        <v>397</v>
      </c>
      <c r="C66" t="s">
        <v>97</v>
      </c>
      <c r="D66">
        <v>1</v>
      </c>
      <c r="I66" s="12">
        <v>1</v>
      </c>
      <c r="J66" s="12"/>
      <c r="K66" s="12"/>
      <c r="L66" s="12"/>
      <c r="M66" s="12"/>
      <c r="N66">
        <f t="shared" si="0"/>
        <v>1</v>
      </c>
      <c r="O66">
        <f t="shared" si="1"/>
        <v>0</v>
      </c>
      <c r="P66">
        <f t="shared" si="2"/>
        <v>0</v>
      </c>
      <c r="Q66">
        <f t="shared" si="3"/>
        <v>0</v>
      </c>
      <c r="R66">
        <f t="shared" si="4"/>
        <v>0</v>
      </c>
    </row>
    <row r="67" spans="1:18" ht="51" x14ac:dyDescent="0.2">
      <c r="A67">
        <v>66</v>
      </c>
      <c r="B67" s="1" t="s">
        <v>402</v>
      </c>
      <c r="C67" t="s">
        <v>125</v>
      </c>
      <c r="E67">
        <v>1</v>
      </c>
      <c r="I67" s="12"/>
      <c r="J67" s="12">
        <v>1</v>
      </c>
      <c r="K67" s="12"/>
      <c r="L67" s="12"/>
      <c r="M67" s="12"/>
      <c r="N67">
        <f t="shared" ref="N67:N130" si="5">IF(D67=I67,D67,"Disagree")</f>
        <v>0</v>
      </c>
      <c r="O67">
        <f t="shared" ref="O67:O130" si="6">IF(E67=J67,E67,"Disagree")</f>
        <v>1</v>
      </c>
      <c r="P67">
        <f t="shared" ref="P67:P130" si="7">IF(F67=K67,F67,"Disagree")</f>
        <v>0</v>
      </c>
      <c r="Q67">
        <f t="shared" ref="Q67:Q130" si="8">IF(G67=L67,G67,"Disagree")</f>
        <v>0</v>
      </c>
      <c r="R67">
        <f t="shared" ref="R67:R130" si="9">IF(H67=M67,H67,"Disagree")</f>
        <v>0</v>
      </c>
    </row>
    <row r="68" spans="1:18" ht="34" x14ac:dyDescent="0.2">
      <c r="A68">
        <v>67</v>
      </c>
      <c r="B68" s="1" t="s">
        <v>406</v>
      </c>
      <c r="C68" t="s">
        <v>105</v>
      </c>
      <c r="I68" s="12"/>
      <c r="J68" s="12"/>
      <c r="K68" s="12"/>
      <c r="L68" s="12"/>
      <c r="M68" s="12"/>
      <c r="N68">
        <f t="shared" si="5"/>
        <v>0</v>
      </c>
      <c r="O68">
        <f t="shared" si="6"/>
        <v>0</v>
      </c>
      <c r="P68">
        <f t="shared" si="7"/>
        <v>0</v>
      </c>
      <c r="Q68">
        <f t="shared" si="8"/>
        <v>0</v>
      </c>
      <c r="R68">
        <f t="shared" si="9"/>
        <v>0</v>
      </c>
    </row>
    <row r="69" spans="1:18" ht="68" x14ac:dyDescent="0.2">
      <c r="A69">
        <v>68</v>
      </c>
      <c r="B69" s="1" t="s">
        <v>410</v>
      </c>
      <c r="C69" t="s">
        <v>125</v>
      </c>
      <c r="E69">
        <v>1</v>
      </c>
      <c r="F69">
        <v>1</v>
      </c>
      <c r="I69" s="12"/>
      <c r="J69" s="12">
        <v>1</v>
      </c>
      <c r="K69" s="12"/>
      <c r="L69" s="12"/>
      <c r="M69" s="12"/>
      <c r="N69">
        <f t="shared" si="5"/>
        <v>0</v>
      </c>
      <c r="O69">
        <f t="shared" si="6"/>
        <v>1</v>
      </c>
      <c r="P69" t="str">
        <f t="shared" si="7"/>
        <v>Disagree</v>
      </c>
      <c r="Q69">
        <f t="shared" si="8"/>
        <v>0</v>
      </c>
      <c r="R69">
        <f t="shared" si="9"/>
        <v>0</v>
      </c>
    </row>
    <row r="70" spans="1:18" ht="102" x14ac:dyDescent="0.2">
      <c r="A70">
        <v>69</v>
      </c>
      <c r="B70" s="1" t="s">
        <v>414</v>
      </c>
      <c r="C70" t="s">
        <v>105</v>
      </c>
      <c r="D70">
        <v>1</v>
      </c>
      <c r="I70" s="12">
        <v>1</v>
      </c>
      <c r="J70" s="12"/>
      <c r="K70" s="12"/>
      <c r="L70" s="12"/>
      <c r="M70" s="12"/>
      <c r="N70">
        <f t="shared" si="5"/>
        <v>1</v>
      </c>
      <c r="O70">
        <f t="shared" si="6"/>
        <v>0</v>
      </c>
      <c r="P70">
        <f t="shared" si="7"/>
        <v>0</v>
      </c>
      <c r="Q70">
        <f t="shared" si="8"/>
        <v>0</v>
      </c>
      <c r="R70">
        <f t="shared" si="9"/>
        <v>0</v>
      </c>
    </row>
    <row r="71" spans="1:18" ht="51" x14ac:dyDescent="0.2">
      <c r="A71">
        <v>70</v>
      </c>
      <c r="B71" s="1" t="s">
        <v>420</v>
      </c>
      <c r="C71" t="s">
        <v>125</v>
      </c>
      <c r="D71">
        <v>1</v>
      </c>
      <c r="I71" s="12"/>
      <c r="J71" s="12">
        <v>1</v>
      </c>
      <c r="K71" s="12"/>
      <c r="L71" s="12"/>
      <c r="M71" s="12"/>
      <c r="N71" t="str">
        <f t="shared" si="5"/>
        <v>Disagree</v>
      </c>
      <c r="O71" t="str">
        <f t="shared" si="6"/>
        <v>Disagree</v>
      </c>
      <c r="P71">
        <f t="shared" si="7"/>
        <v>0</v>
      </c>
      <c r="Q71">
        <f t="shared" si="8"/>
        <v>0</v>
      </c>
      <c r="R71">
        <f t="shared" si="9"/>
        <v>0</v>
      </c>
    </row>
    <row r="72" spans="1:18" ht="51" x14ac:dyDescent="0.2">
      <c r="A72">
        <v>71</v>
      </c>
      <c r="B72" s="1" t="s">
        <v>424</v>
      </c>
      <c r="C72" t="s">
        <v>97</v>
      </c>
      <c r="D72">
        <v>1</v>
      </c>
      <c r="I72" s="12">
        <v>1</v>
      </c>
      <c r="J72" s="12"/>
      <c r="K72" s="12"/>
      <c r="L72" s="12"/>
      <c r="M72" s="12"/>
      <c r="N72">
        <f t="shared" si="5"/>
        <v>1</v>
      </c>
      <c r="O72">
        <f t="shared" si="6"/>
        <v>0</v>
      </c>
      <c r="P72">
        <f t="shared" si="7"/>
        <v>0</v>
      </c>
      <c r="Q72">
        <f t="shared" si="8"/>
        <v>0</v>
      </c>
      <c r="R72">
        <f t="shared" si="9"/>
        <v>0</v>
      </c>
    </row>
    <row r="73" spans="1:18" ht="68" x14ac:dyDescent="0.2">
      <c r="A73">
        <v>72</v>
      </c>
      <c r="B73" s="1" t="s">
        <v>430</v>
      </c>
      <c r="C73" t="s">
        <v>125</v>
      </c>
      <c r="E73">
        <v>1</v>
      </c>
      <c r="F73">
        <v>1</v>
      </c>
      <c r="I73" s="12"/>
      <c r="J73" s="12">
        <v>1</v>
      </c>
      <c r="K73" s="12">
        <v>1</v>
      </c>
      <c r="L73" s="12"/>
      <c r="M73" s="12"/>
      <c r="N73">
        <f t="shared" si="5"/>
        <v>0</v>
      </c>
      <c r="O73">
        <f t="shared" si="6"/>
        <v>1</v>
      </c>
      <c r="P73">
        <f t="shared" si="7"/>
        <v>1</v>
      </c>
      <c r="Q73">
        <f t="shared" si="8"/>
        <v>0</v>
      </c>
      <c r="R73">
        <f t="shared" si="9"/>
        <v>0</v>
      </c>
    </row>
    <row r="74" spans="1:18" ht="51" x14ac:dyDescent="0.2">
      <c r="A74">
        <v>73</v>
      </c>
      <c r="B74" s="1" t="s">
        <v>434</v>
      </c>
      <c r="C74" t="s">
        <v>111</v>
      </c>
      <c r="E74">
        <v>1</v>
      </c>
      <c r="F74">
        <v>1</v>
      </c>
      <c r="I74" s="12"/>
      <c r="J74" s="12">
        <v>1</v>
      </c>
      <c r="K74" s="12">
        <v>1</v>
      </c>
      <c r="L74" s="12"/>
      <c r="M74" s="12"/>
      <c r="N74">
        <f t="shared" si="5"/>
        <v>0</v>
      </c>
      <c r="O74">
        <f t="shared" si="6"/>
        <v>1</v>
      </c>
      <c r="P74">
        <f t="shared" si="7"/>
        <v>1</v>
      </c>
      <c r="Q74">
        <f t="shared" si="8"/>
        <v>0</v>
      </c>
      <c r="R74">
        <f t="shared" si="9"/>
        <v>0</v>
      </c>
    </row>
    <row r="75" spans="1:18" ht="51" x14ac:dyDescent="0.2">
      <c r="A75">
        <v>74</v>
      </c>
      <c r="B75" s="1" t="s">
        <v>439</v>
      </c>
      <c r="C75" t="s">
        <v>125</v>
      </c>
      <c r="E75">
        <v>1</v>
      </c>
      <c r="I75" s="12"/>
      <c r="J75" s="12">
        <v>1</v>
      </c>
      <c r="K75" s="12"/>
      <c r="L75" s="12"/>
      <c r="M75" s="12"/>
      <c r="N75">
        <f t="shared" si="5"/>
        <v>0</v>
      </c>
      <c r="O75">
        <f t="shared" si="6"/>
        <v>1</v>
      </c>
      <c r="P75">
        <f t="shared" si="7"/>
        <v>0</v>
      </c>
      <c r="Q75">
        <f t="shared" si="8"/>
        <v>0</v>
      </c>
      <c r="R75">
        <f t="shared" si="9"/>
        <v>0</v>
      </c>
    </row>
    <row r="76" spans="1:18" ht="51" x14ac:dyDescent="0.2">
      <c r="A76">
        <v>75</v>
      </c>
      <c r="B76" s="1" t="s">
        <v>444</v>
      </c>
      <c r="C76" t="s">
        <v>111</v>
      </c>
      <c r="E76">
        <v>1</v>
      </c>
      <c r="F76">
        <v>1</v>
      </c>
      <c r="I76" s="12"/>
      <c r="J76" s="12">
        <v>1</v>
      </c>
      <c r="K76" s="12">
        <v>1</v>
      </c>
      <c r="L76" s="12"/>
      <c r="M76" s="12"/>
      <c r="N76">
        <f t="shared" si="5"/>
        <v>0</v>
      </c>
      <c r="O76">
        <f t="shared" si="6"/>
        <v>1</v>
      </c>
      <c r="P76">
        <f t="shared" si="7"/>
        <v>1</v>
      </c>
      <c r="Q76">
        <f t="shared" si="8"/>
        <v>0</v>
      </c>
      <c r="R76">
        <f t="shared" si="9"/>
        <v>0</v>
      </c>
    </row>
    <row r="77" spans="1:18" ht="68" x14ac:dyDescent="0.2">
      <c r="A77">
        <v>76</v>
      </c>
      <c r="B77" s="1" t="s">
        <v>449</v>
      </c>
      <c r="C77" t="s">
        <v>125</v>
      </c>
      <c r="E77">
        <v>1</v>
      </c>
      <c r="I77" s="12"/>
      <c r="J77" s="12">
        <v>1</v>
      </c>
      <c r="K77" s="12"/>
      <c r="L77" s="12"/>
      <c r="M77" s="12"/>
      <c r="N77">
        <f t="shared" si="5"/>
        <v>0</v>
      </c>
      <c r="O77">
        <f t="shared" si="6"/>
        <v>1</v>
      </c>
      <c r="P77">
        <f t="shared" si="7"/>
        <v>0</v>
      </c>
      <c r="Q77">
        <f t="shared" si="8"/>
        <v>0</v>
      </c>
      <c r="R77">
        <f t="shared" si="9"/>
        <v>0</v>
      </c>
    </row>
    <row r="78" spans="1:18" ht="51" x14ac:dyDescent="0.2">
      <c r="A78">
        <v>77</v>
      </c>
      <c r="B78" s="1" t="s">
        <v>453</v>
      </c>
      <c r="C78" t="s">
        <v>111</v>
      </c>
      <c r="D78">
        <v>1</v>
      </c>
      <c r="I78" s="12">
        <v>1</v>
      </c>
      <c r="J78" s="12"/>
      <c r="K78" s="12"/>
      <c r="L78" s="12"/>
      <c r="M78" s="12"/>
      <c r="N78">
        <f t="shared" si="5"/>
        <v>1</v>
      </c>
      <c r="O78">
        <f t="shared" si="6"/>
        <v>0</v>
      </c>
      <c r="P78">
        <f t="shared" si="7"/>
        <v>0</v>
      </c>
      <c r="Q78">
        <f t="shared" si="8"/>
        <v>0</v>
      </c>
      <c r="R78">
        <f t="shared" si="9"/>
        <v>0</v>
      </c>
    </row>
    <row r="79" spans="1:18" ht="17" x14ac:dyDescent="0.2">
      <c r="A79">
        <v>78</v>
      </c>
      <c r="B79" s="1" t="s">
        <v>457</v>
      </c>
      <c r="C79" t="s">
        <v>105</v>
      </c>
      <c r="D79">
        <v>1</v>
      </c>
      <c r="I79" s="12">
        <v>1</v>
      </c>
      <c r="J79" s="12"/>
      <c r="K79" s="12"/>
      <c r="L79" s="12"/>
      <c r="M79" s="12"/>
      <c r="N79">
        <f t="shared" si="5"/>
        <v>1</v>
      </c>
      <c r="O79">
        <f t="shared" si="6"/>
        <v>0</v>
      </c>
      <c r="P79">
        <f t="shared" si="7"/>
        <v>0</v>
      </c>
      <c r="Q79">
        <f t="shared" si="8"/>
        <v>0</v>
      </c>
      <c r="R79">
        <f t="shared" si="9"/>
        <v>0</v>
      </c>
    </row>
    <row r="80" spans="1:18" ht="51" x14ac:dyDescent="0.2">
      <c r="A80">
        <v>79</v>
      </c>
      <c r="B80" s="1" t="s">
        <v>463</v>
      </c>
      <c r="C80" t="s">
        <v>105</v>
      </c>
      <c r="I80" s="12">
        <v>1</v>
      </c>
      <c r="J80" s="12"/>
      <c r="K80" s="12">
        <v>1</v>
      </c>
      <c r="L80" s="12"/>
      <c r="M80" s="12"/>
      <c r="N80" t="str">
        <f t="shared" si="5"/>
        <v>Disagree</v>
      </c>
      <c r="O80">
        <f t="shared" si="6"/>
        <v>0</v>
      </c>
      <c r="P80" t="str">
        <f t="shared" si="7"/>
        <v>Disagree</v>
      </c>
      <c r="Q80">
        <f t="shared" si="8"/>
        <v>0</v>
      </c>
      <c r="R80">
        <f t="shared" si="9"/>
        <v>0</v>
      </c>
    </row>
    <row r="81" spans="1:18" ht="34" x14ac:dyDescent="0.2">
      <c r="A81">
        <v>80</v>
      </c>
      <c r="B81" s="1" t="s">
        <v>467</v>
      </c>
      <c r="C81" t="s">
        <v>125</v>
      </c>
      <c r="D81">
        <v>1</v>
      </c>
      <c r="I81" s="12"/>
      <c r="J81" s="12"/>
      <c r="K81" s="12"/>
      <c r="L81" s="12"/>
      <c r="M81" s="12"/>
      <c r="N81" t="str">
        <f t="shared" si="5"/>
        <v>Disagree</v>
      </c>
      <c r="O81">
        <f t="shared" si="6"/>
        <v>0</v>
      </c>
      <c r="P81">
        <f t="shared" si="7"/>
        <v>0</v>
      </c>
      <c r="Q81">
        <f t="shared" si="8"/>
        <v>0</v>
      </c>
      <c r="R81">
        <f t="shared" si="9"/>
        <v>0</v>
      </c>
    </row>
    <row r="82" spans="1:18" ht="68" x14ac:dyDescent="0.2">
      <c r="A82">
        <v>81</v>
      </c>
      <c r="B82" s="1" t="s">
        <v>471</v>
      </c>
      <c r="C82" t="s">
        <v>111</v>
      </c>
      <c r="E82">
        <v>1</v>
      </c>
      <c r="F82">
        <v>1</v>
      </c>
      <c r="I82" s="12"/>
      <c r="J82" s="12">
        <v>1</v>
      </c>
      <c r="K82" s="12">
        <v>1</v>
      </c>
      <c r="L82" s="12"/>
      <c r="M82" s="12"/>
      <c r="N82">
        <f t="shared" si="5"/>
        <v>0</v>
      </c>
      <c r="O82">
        <f t="shared" si="6"/>
        <v>1</v>
      </c>
      <c r="P82">
        <f t="shared" si="7"/>
        <v>1</v>
      </c>
      <c r="Q82">
        <f t="shared" si="8"/>
        <v>0</v>
      </c>
      <c r="R82">
        <f t="shared" si="9"/>
        <v>0</v>
      </c>
    </row>
    <row r="83" spans="1:18" ht="34" x14ac:dyDescent="0.2">
      <c r="A83">
        <v>82</v>
      </c>
      <c r="B83" s="1" t="s">
        <v>475</v>
      </c>
      <c r="C83" t="s">
        <v>125</v>
      </c>
      <c r="D83">
        <v>1</v>
      </c>
      <c r="I83" s="12">
        <v>1</v>
      </c>
      <c r="J83" s="12"/>
      <c r="K83" s="12"/>
      <c r="L83" s="12"/>
      <c r="M83" s="12"/>
      <c r="N83">
        <f t="shared" si="5"/>
        <v>1</v>
      </c>
      <c r="O83">
        <f t="shared" si="6"/>
        <v>0</v>
      </c>
      <c r="P83">
        <f t="shared" si="7"/>
        <v>0</v>
      </c>
      <c r="Q83">
        <f t="shared" si="8"/>
        <v>0</v>
      </c>
      <c r="R83">
        <f t="shared" si="9"/>
        <v>0</v>
      </c>
    </row>
    <row r="84" spans="1:18" ht="34" x14ac:dyDescent="0.2">
      <c r="A84">
        <v>83</v>
      </c>
      <c r="B84" s="1" t="s">
        <v>482</v>
      </c>
      <c r="C84" t="s">
        <v>105</v>
      </c>
      <c r="D84">
        <v>1</v>
      </c>
      <c r="I84" s="12">
        <v>1</v>
      </c>
      <c r="J84" s="12"/>
      <c r="K84" s="12"/>
      <c r="L84" s="12"/>
      <c r="M84" s="12"/>
      <c r="N84">
        <f t="shared" si="5"/>
        <v>1</v>
      </c>
      <c r="O84">
        <f t="shared" si="6"/>
        <v>0</v>
      </c>
      <c r="P84">
        <f t="shared" si="7"/>
        <v>0</v>
      </c>
      <c r="Q84">
        <f t="shared" si="8"/>
        <v>0</v>
      </c>
      <c r="R84">
        <f t="shared" si="9"/>
        <v>0</v>
      </c>
    </row>
    <row r="85" spans="1:18" ht="51" x14ac:dyDescent="0.2">
      <c r="A85">
        <v>84</v>
      </c>
      <c r="B85" s="1" t="s">
        <v>486</v>
      </c>
      <c r="C85" t="s">
        <v>97</v>
      </c>
      <c r="I85" s="12">
        <v>1</v>
      </c>
      <c r="J85" s="12"/>
      <c r="K85" s="12"/>
      <c r="L85" s="12"/>
      <c r="M85" s="12"/>
      <c r="N85" t="str">
        <f t="shared" si="5"/>
        <v>Disagree</v>
      </c>
      <c r="O85">
        <f t="shared" si="6"/>
        <v>0</v>
      </c>
      <c r="P85">
        <f t="shared" si="7"/>
        <v>0</v>
      </c>
      <c r="Q85">
        <f t="shared" si="8"/>
        <v>0</v>
      </c>
      <c r="R85">
        <f t="shared" si="9"/>
        <v>0</v>
      </c>
    </row>
    <row r="86" spans="1:18" ht="17" x14ac:dyDescent="0.2">
      <c r="A86">
        <v>85</v>
      </c>
      <c r="B86" s="1" t="s">
        <v>491</v>
      </c>
      <c r="C86" t="s">
        <v>125</v>
      </c>
      <c r="E86">
        <v>1</v>
      </c>
      <c r="F86">
        <v>1</v>
      </c>
      <c r="I86" s="12"/>
      <c r="J86" s="12">
        <v>1</v>
      </c>
      <c r="K86" s="12">
        <v>1</v>
      </c>
      <c r="L86" s="12"/>
      <c r="M86" s="12"/>
      <c r="N86">
        <f t="shared" si="5"/>
        <v>0</v>
      </c>
      <c r="O86">
        <f t="shared" si="6"/>
        <v>1</v>
      </c>
      <c r="P86">
        <f t="shared" si="7"/>
        <v>1</v>
      </c>
      <c r="Q86">
        <f t="shared" si="8"/>
        <v>0</v>
      </c>
      <c r="R86">
        <f t="shared" si="9"/>
        <v>0</v>
      </c>
    </row>
    <row r="87" spans="1:18" ht="51" x14ac:dyDescent="0.2">
      <c r="A87">
        <v>86</v>
      </c>
      <c r="B87" s="1" t="s">
        <v>495</v>
      </c>
      <c r="C87" t="s">
        <v>125</v>
      </c>
      <c r="D87">
        <v>1</v>
      </c>
      <c r="I87" s="12">
        <v>1</v>
      </c>
      <c r="J87" s="12"/>
      <c r="K87" s="12"/>
      <c r="L87" s="12"/>
      <c r="M87" s="12"/>
      <c r="N87">
        <f t="shared" si="5"/>
        <v>1</v>
      </c>
      <c r="O87">
        <f t="shared" si="6"/>
        <v>0</v>
      </c>
      <c r="P87">
        <f t="shared" si="7"/>
        <v>0</v>
      </c>
      <c r="Q87">
        <f t="shared" si="8"/>
        <v>0</v>
      </c>
      <c r="R87">
        <f t="shared" si="9"/>
        <v>0</v>
      </c>
    </row>
    <row r="88" spans="1:18" ht="34" x14ac:dyDescent="0.2">
      <c r="A88">
        <v>87</v>
      </c>
      <c r="B88" s="1" t="s">
        <v>500</v>
      </c>
      <c r="C88" t="s">
        <v>97</v>
      </c>
      <c r="H88">
        <v>1</v>
      </c>
      <c r="I88" s="12"/>
      <c r="J88" s="12"/>
      <c r="K88" s="12"/>
      <c r="L88" s="12">
        <v>1</v>
      </c>
      <c r="M88" s="12"/>
      <c r="N88">
        <f t="shared" si="5"/>
        <v>0</v>
      </c>
      <c r="O88">
        <f t="shared" si="6"/>
        <v>0</v>
      </c>
      <c r="P88">
        <f t="shared" si="7"/>
        <v>0</v>
      </c>
      <c r="Q88" t="str">
        <f t="shared" si="8"/>
        <v>Disagree</v>
      </c>
      <c r="R88" t="str">
        <f t="shared" si="9"/>
        <v>Disagree</v>
      </c>
    </row>
    <row r="89" spans="1:18" ht="51" x14ac:dyDescent="0.2">
      <c r="A89">
        <v>88</v>
      </c>
      <c r="B89" s="1" t="s">
        <v>504</v>
      </c>
      <c r="C89" t="s">
        <v>111</v>
      </c>
      <c r="E89">
        <v>1</v>
      </c>
      <c r="F89">
        <v>1</v>
      </c>
      <c r="I89" s="12"/>
      <c r="J89" s="12">
        <v>1</v>
      </c>
      <c r="K89" s="12">
        <v>1</v>
      </c>
      <c r="L89" s="12"/>
      <c r="M89" s="12"/>
      <c r="N89">
        <f t="shared" si="5"/>
        <v>0</v>
      </c>
      <c r="O89">
        <f t="shared" si="6"/>
        <v>1</v>
      </c>
      <c r="P89">
        <f t="shared" si="7"/>
        <v>1</v>
      </c>
      <c r="Q89">
        <f t="shared" si="8"/>
        <v>0</v>
      </c>
      <c r="R89">
        <f t="shared" si="9"/>
        <v>0</v>
      </c>
    </row>
    <row r="90" spans="1:18" ht="17" x14ac:dyDescent="0.2">
      <c r="A90">
        <v>89</v>
      </c>
      <c r="B90" s="1" t="s">
        <v>508</v>
      </c>
      <c r="C90" t="s">
        <v>111</v>
      </c>
      <c r="I90" s="12"/>
      <c r="J90" s="12"/>
      <c r="K90" s="12"/>
      <c r="L90" s="12"/>
      <c r="M90" s="12"/>
      <c r="N90">
        <f t="shared" si="5"/>
        <v>0</v>
      </c>
      <c r="O90">
        <f t="shared" si="6"/>
        <v>0</v>
      </c>
      <c r="P90">
        <f t="shared" si="7"/>
        <v>0</v>
      </c>
      <c r="Q90">
        <f t="shared" si="8"/>
        <v>0</v>
      </c>
      <c r="R90">
        <f t="shared" si="9"/>
        <v>0</v>
      </c>
    </row>
    <row r="91" spans="1:18" ht="51" x14ac:dyDescent="0.2">
      <c r="A91">
        <v>90</v>
      </c>
      <c r="B91" s="1" t="s">
        <v>512</v>
      </c>
      <c r="C91" t="s">
        <v>111</v>
      </c>
      <c r="E91">
        <v>1</v>
      </c>
      <c r="H91">
        <v>1</v>
      </c>
      <c r="I91" s="12"/>
      <c r="J91" s="12">
        <v>1</v>
      </c>
      <c r="K91" s="12"/>
      <c r="L91" s="12"/>
      <c r="M91" s="12"/>
      <c r="N91">
        <f t="shared" si="5"/>
        <v>0</v>
      </c>
      <c r="O91">
        <f t="shared" si="6"/>
        <v>1</v>
      </c>
      <c r="P91">
        <f t="shared" si="7"/>
        <v>0</v>
      </c>
      <c r="Q91">
        <f t="shared" si="8"/>
        <v>0</v>
      </c>
      <c r="R91" t="str">
        <f t="shared" si="9"/>
        <v>Disagree</v>
      </c>
    </row>
    <row r="92" spans="1:18" ht="17" x14ac:dyDescent="0.2">
      <c r="A92">
        <v>91</v>
      </c>
      <c r="B92" s="1" t="s">
        <v>517</v>
      </c>
      <c r="C92" t="s">
        <v>111</v>
      </c>
      <c r="F92">
        <v>1</v>
      </c>
      <c r="I92" s="12"/>
      <c r="J92" s="12"/>
      <c r="K92" s="12">
        <v>1</v>
      </c>
      <c r="L92" s="12"/>
      <c r="M92" s="12"/>
      <c r="N92">
        <f t="shared" si="5"/>
        <v>0</v>
      </c>
      <c r="O92">
        <f t="shared" si="6"/>
        <v>0</v>
      </c>
      <c r="P92">
        <f t="shared" si="7"/>
        <v>1</v>
      </c>
      <c r="Q92">
        <f t="shared" si="8"/>
        <v>0</v>
      </c>
      <c r="R92">
        <f t="shared" si="9"/>
        <v>0</v>
      </c>
    </row>
    <row r="93" spans="1:18" ht="17" x14ac:dyDescent="0.2">
      <c r="A93">
        <v>92</v>
      </c>
      <c r="B93" s="1" t="s">
        <v>522</v>
      </c>
      <c r="C93" t="s">
        <v>125</v>
      </c>
      <c r="E93">
        <v>1</v>
      </c>
      <c r="F93">
        <v>1</v>
      </c>
      <c r="I93" s="12"/>
      <c r="J93" s="12">
        <v>1</v>
      </c>
      <c r="K93" s="12">
        <v>1</v>
      </c>
      <c r="L93" s="12"/>
      <c r="M93" s="12"/>
      <c r="N93">
        <f t="shared" si="5"/>
        <v>0</v>
      </c>
      <c r="O93">
        <f t="shared" si="6"/>
        <v>1</v>
      </c>
      <c r="P93">
        <f t="shared" si="7"/>
        <v>1</v>
      </c>
      <c r="Q93">
        <f t="shared" si="8"/>
        <v>0</v>
      </c>
      <c r="R93">
        <f t="shared" si="9"/>
        <v>0</v>
      </c>
    </row>
    <row r="94" spans="1:18" ht="34" x14ac:dyDescent="0.2">
      <c r="A94">
        <v>93</v>
      </c>
      <c r="B94" s="1" t="s">
        <v>529</v>
      </c>
      <c r="C94" t="s">
        <v>105</v>
      </c>
      <c r="I94" s="12"/>
      <c r="J94" s="12"/>
      <c r="K94" s="12"/>
      <c r="L94" s="12"/>
      <c r="M94" s="12"/>
      <c r="N94">
        <f t="shared" si="5"/>
        <v>0</v>
      </c>
      <c r="O94">
        <f t="shared" si="6"/>
        <v>0</v>
      </c>
      <c r="P94">
        <f t="shared" si="7"/>
        <v>0</v>
      </c>
      <c r="Q94">
        <f t="shared" si="8"/>
        <v>0</v>
      </c>
      <c r="R94">
        <f t="shared" si="9"/>
        <v>0</v>
      </c>
    </row>
    <row r="95" spans="1:18" ht="51" x14ac:dyDescent="0.2">
      <c r="A95">
        <v>94</v>
      </c>
      <c r="B95" s="1" t="s">
        <v>534</v>
      </c>
      <c r="C95" t="s">
        <v>97</v>
      </c>
      <c r="D95">
        <v>1</v>
      </c>
      <c r="I95" s="12">
        <v>1</v>
      </c>
      <c r="J95" s="12"/>
      <c r="K95" s="12"/>
      <c r="L95" s="12"/>
      <c r="M95" s="12"/>
      <c r="N95">
        <f t="shared" si="5"/>
        <v>1</v>
      </c>
      <c r="O95">
        <f t="shared" si="6"/>
        <v>0</v>
      </c>
      <c r="P95">
        <f t="shared" si="7"/>
        <v>0</v>
      </c>
      <c r="Q95">
        <f t="shared" si="8"/>
        <v>0</v>
      </c>
      <c r="R95">
        <f t="shared" si="9"/>
        <v>0</v>
      </c>
    </row>
    <row r="96" spans="1:18" ht="34" x14ac:dyDescent="0.2">
      <c r="A96">
        <v>95</v>
      </c>
      <c r="B96" s="1" t="s">
        <v>538</v>
      </c>
      <c r="C96" t="s">
        <v>105</v>
      </c>
      <c r="D96">
        <v>1</v>
      </c>
      <c r="I96" s="12"/>
      <c r="J96" s="12"/>
      <c r="K96" s="12"/>
      <c r="L96" s="12"/>
      <c r="M96" s="12"/>
      <c r="N96" t="str">
        <f t="shared" si="5"/>
        <v>Disagree</v>
      </c>
      <c r="O96">
        <f t="shared" si="6"/>
        <v>0</v>
      </c>
      <c r="P96">
        <f t="shared" si="7"/>
        <v>0</v>
      </c>
      <c r="Q96">
        <f t="shared" si="8"/>
        <v>0</v>
      </c>
      <c r="R96">
        <f t="shared" si="9"/>
        <v>0</v>
      </c>
    </row>
    <row r="97" spans="1:18" ht="34" x14ac:dyDescent="0.2">
      <c r="A97">
        <v>96</v>
      </c>
      <c r="B97" s="1" t="s">
        <v>542</v>
      </c>
      <c r="C97" t="s">
        <v>111</v>
      </c>
      <c r="D97">
        <v>1</v>
      </c>
      <c r="I97" s="12">
        <v>1</v>
      </c>
      <c r="J97" s="12"/>
      <c r="K97" s="12"/>
      <c r="L97" s="12"/>
      <c r="M97" s="12"/>
      <c r="N97">
        <f t="shared" si="5"/>
        <v>1</v>
      </c>
      <c r="O97">
        <f t="shared" si="6"/>
        <v>0</v>
      </c>
      <c r="P97">
        <f t="shared" si="7"/>
        <v>0</v>
      </c>
      <c r="Q97">
        <f t="shared" si="8"/>
        <v>0</v>
      </c>
      <c r="R97">
        <f t="shared" si="9"/>
        <v>0</v>
      </c>
    </row>
    <row r="98" spans="1:18" ht="34" x14ac:dyDescent="0.2">
      <c r="A98">
        <v>97</v>
      </c>
      <c r="B98" s="1" t="s">
        <v>546</v>
      </c>
      <c r="C98" t="s">
        <v>97</v>
      </c>
      <c r="D98">
        <v>1</v>
      </c>
      <c r="I98" s="12">
        <v>1</v>
      </c>
      <c r="J98" s="12"/>
      <c r="K98" s="12"/>
      <c r="L98" s="12"/>
      <c r="M98" s="12"/>
      <c r="N98">
        <f t="shared" si="5"/>
        <v>1</v>
      </c>
      <c r="O98">
        <f t="shared" si="6"/>
        <v>0</v>
      </c>
      <c r="P98">
        <f t="shared" si="7"/>
        <v>0</v>
      </c>
      <c r="Q98">
        <f t="shared" si="8"/>
        <v>0</v>
      </c>
      <c r="R98">
        <f t="shared" si="9"/>
        <v>0</v>
      </c>
    </row>
    <row r="99" spans="1:18" ht="85" x14ac:dyDescent="0.2">
      <c r="A99">
        <v>98</v>
      </c>
      <c r="B99" s="1" t="s">
        <v>550</v>
      </c>
      <c r="C99" t="s">
        <v>111</v>
      </c>
      <c r="E99">
        <v>1</v>
      </c>
      <c r="F99">
        <v>1</v>
      </c>
      <c r="I99" s="12"/>
      <c r="J99" s="12">
        <v>1</v>
      </c>
      <c r="K99" s="12">
        <v>1</v>
      </c>
      <c r="L99" s="12"/>
      <c r="M99" s="12"/>
      <c r="N99">
        <f t="shared" si="5"/>
        <v>0</v>
      </c>
      <c r="O99">
        <f t="shared" si="6"/>
        <v>1</v>
      </c>
      <c r="P99">
        <f t="shared" si="7"/>
        <v>1</v>
      </c>
      <c r="Q99">
        <f t="shared" si="8"/>
        <v>0</v>
      </c>
      <c r="R99">
        <f t="shared" si="9"/>
        <v>0</v>
      </c>
    </row>
    <row r="100" spans="1:18" ht="34" x14ac:dyDescent="0.2">
      <c r="A100">
        <v>99</v>
      </c>
      <c r="B100" s="1" t="s">
        <v>555</v>
      </c>
      <c r="C100" t="s">
        <v>105</v>
      </c>
      <c r="E100">
        <v>1</v>
      </c>
      <c r="F100">
        <v>1</v>
      </c>
      <c r="I100" s="12">
        <v>1</v>
      </c>
      <c r="J100" s="12"/>
      <c r="K100" s="12">
        <v>1</v>
      </c>
      <c r="L100" s="12"/>
      <c r="M100" s="12"/>
      <c r="N100" t="str">
        <f t="shared" si="5"/>
        <v>Disagree</v>
      </c>
      <c r="O100" t="str">
        <f t="shared" si="6"/>
        <v>Disagree</v>
      </c>
      <c r="P100">
        <f t="shared" si="7"/>
        <v>1</v>
      </c>
      <c r="Q100">
        <f t="shared" si="8"/>
        <v>0</v>
      </c>
      <c r="R100">
        <f t="shared" si="9"/>
        <v>0</v>
      </c>
    </row>
    <row r="101" spans="1:18" ht="85" x14ac:dyDescent="0.2">
      <c r="A101">
        <v>100</v>
      </c>
      <c r="B101" s="1" t="s">
        <v>559</v>
      </c>
      <c r="C101" t="s">
        <v>97</v>
      </c>
      <c r="D101">
        <v>1</v>
      </c>
      <c r="I101" s="12">
        <v>1</v>
      </c>
      <c r="J101" s="12"/>
      <c r="K101" s="12"/>
      <c r="L101" s="12"/>
      <c r="M101" s="12"/>
      <c r="N101">
        <f t="shared" si="5"/>
        <v>1</v>
      </c>
      <c r="O101">
        <f t="shared" si="6"/>
        <v>0</v>
      </c>
      <c r="P101">
        <f t="shared" si="7"/>
        <v>0</v>
      </c>
      <c r="Q101">
        <f t="shared" si="8"/>
        <v>0</v>
      </c>
      <c r="R101">
        <f t="shared" si="9"/>
        <v>0</v>
      </c>
    </row>
    <row r="102" spans="1:18" ht="85" x14ac:dyDescent="0.2">
      <c r="A102">
        <v>101</v>
      </c>
      <c r="B102" s="1" t="s">
        <v>563</v>
      </c>
      <c r="C102" t="s">
        <v>125</v>
      </c>
      <c r="D102">
        <v>1</v>
      </c>
      <c r="I102" s="12"/>
      <c r="J102" s="12"/>
      <c r="K102" s="12"/>
      <c r="L102" s="12"/>
      <c r="M102" s="12"/>
      <c r="N102" t="str">
        <f t="shared" si="5"/>
        <v>Disagree</v>
      </c>
      <c r="O102">
        <f t="shared" si="6"/>
        <v>0</v>
      </c>
      <c r="P102">
        <f t="shared" si="7"/>
        <v>0</v>
      </c>
      <c r="Q102">
        <f t="shared" si="8"/>
        <v>0</v>
      </c>
      <c r="R102">
        <f t="shared" si="9"/>
        <v>0</v>
      </c>
    </row>
    <row r="103" spans="1:18" ht="85" x14ac:dyDescent="0.2">
      <c r="A103">
        <v>102</v>
      </c>
      <c r="B103" s="1" t="s">
        <v>568</v>
      </c>
      <c r="C103" t="s">
        <v>105</v>
      </c>
      <c r="D103">
        <v>1</v>
      </c>
      <c r="I103" s="12">
        <v>1</v>
      </c>
      <c r="J103" s="12"/>
      <c r="K103" s="12"/>
      <c r="L103" s="12"/>
      <c r="M103" s="12"/>
      <c r="N103">
        <f t="shared" si="5"/>
        <v>1</v>
      </c>
      <c r="O103">
        <f t="shared" si="6"/>
        <v>0</v>
      </c>
      <c r="P103">
        <f t="shared" si="7"/>
        <v>0</v>
      </c>
      <c r="Q103">
        <f t="shared" si="8"/>
        <v>0</v>
      </c>
      <c r="R103">
        <f t="shared" si="9"/>
        <v>0</v>
      </c>
    </row>
    <row r="104" spans="1:18" ht="51" x14ac:dyDescent="0.2">
      <c r="A104">
        <v>103</v>
      </c>
      <c r="B104" s="1" t="s">
        <v>573</v>
      </c>
      <c r="C104" t="s">
        <v>125</v>
      </c>
      <c r="E104">
        <v>1</v>
      </c>
      <c r="I104" s="12"/>
      <c r="J104" s="12">
        <v>1</v>
      </c>
      <c r="K104" s="12"/>
      <c r="L104" s="12"/>
      <c r="M104" s="12"/>
      <c r="N104">
        <f t="shared" si="5"/>
        <v>0</v>
      </c>
      <c r="O104">
        <f t="shared" si="6"/>
        <v>1</v>
      </c>
      <c r="P104">
        <f t="shared" si="7"/>
        <v>0</v>
      </c>
      <c r="Q104">
        <f t="shared" si="8"/>
        <v>0</v>
      </c>
      <c r="R104">
        <f t="shared" si="9"/>
        <v>0</v>
      </c>
    </row>
    <row r="105" spans="1:18" ht="51" x14ac:dyDescent="0.2">
      <c r="A105">
        <v>104</v>
      </c>
      <c r="B105" s="1" t="s">
        <v>577</v>
      </c>
      <c r="C105" t="s">
        <v>105</v>
      </c>
      <c r="D105">
        <v>1</v>
      </c>
      <c r="I105" s="12">
        <v>1</v>
      </c>
      <c r="J105" s="12"/>
      <c r="K105" s="12"/>
      <c r="L105" s="12"/>
      <c r="M105" s="12"/>
      <c r="N105">
        <f t="shared" si="5"/>
        <v>1</v>
      </c>
      <c r="O105">
        <f t="shared" si="6"/>
        <v>0</v>
      </c>
      <c r="P105">
        <f t="shared" si="7"/>
        <v>0</v>
      </c>
      <c r="Q105">
        <f t="shared" si="8"/>
        <v>0</v>
      </c>
      <c r="R105">
        <f t="shared" si="9"/>
        <v>0</v>
      </c>
    </row>
    <row r="106" spans="1:18" ht="34" x14ac:dyDescent="0.2">
      <c r="A106">
        <v>105</v>
      </c>
      <c r="B106" s="1" t="s">
        <v>581</v>
      </c>
      <c r="C106" t="s">
        <v>111</v>
      </c>
      <c r="E106">
        <v>1</v>
      </c>
      <c r="F106">
        <v>1</v>
      </c>
      <c r="I106" s="12"/>
      <c r="J106" s="12">
        <v>1</v>
      </c>
      <c r="K106" s="12">
        <v>1</v>
      </c>
      <c r="L106" s="12"/>
      <c r="M106" s="12"/>
      <c r="N106">
        <f t="shared" si="5"/>
        <v>0</v>
      </c>
      <c r="O106">
        <f t="shared" si="6"/>
        <v>1</v>
      </c>
      <c r="P106">
        <f t="shared" si="7"/>
        <v>1</v>
      </c>
      <c r="Q106">
        <f t="shared" si="8"/>
        <v>0</v>
      </c>
      <c r="R106">
        <f t="shared" si="9"/>
        <v>0</v>
      </c>
    </row>
    <row r="107" spans="1:18" ht="68" x14ac:dyDescent="0.2">
      <c r="A107">
        <v>106</v>
      </c>
      <c r="B107" s="1" t="s">
        <v>585</v>
      </c>
      <c r="C107" t="s">
        <v>111</v>
      </c>
      <c r="E107">
        <v>1</v>
      </c>
      <c r="F107">
        <v>1</v>
      </c>
      <c r="I107" s="12"/>
      <c r="J107" s="12">
        <v>1</v>
      </c>
      <c r="K107" s="12">
        <v>1</v>
      </c>
      <c r="L107" s="12"/>
      <c r="M107" s="12"/>
      <c r="N107">
        <f t="shared" si="5"/>
        <v>0</v>
      </c>
      <c r="O107">
        <f t="shared" si="6"/>
        <v>1</v>
      </c>
      <c r="P107">
        <f t="shared" si="7"/>
        <v>1</v>
      </c>
      <c r="Q107">
        <f t="shared" si="8"/>
        <v>0</v>
      </c>
      <c r="R107">
        <f t="shared" si="9"/>
        <v>0</v>
      </c>
    </row>
    <row r="108" spans="1:18" ht="51" x14ac:dyDescent="0.2">
      <c r="A108">
        <v>107</v>
      </c>
      <c r="B108" s="1" t="s">
        <v>589</v>
      </c>
      <c r="C108" t="s">
        <v>97</v>
      </c>
      <c r="D108">
        <v>1</v>
      </c>
      <c r="I108" s="12">
        <v>1</v>
      </c>
      <c r="J108" s="12"/>
      <c r="K108" s="12"/>
      <c r="L108" s="12"/>
      <c r="M108" s="12"/>
      <c r="N108">
        <f t="shared" si="5"/>
        <v>1</v>
      </c>
      <c r="O108">
        <f t="shared" si="6"/>
        <v>0</v>
      </c>
      <c r="P108">
        <f t="shared" si="7"/>
        <v>0</v>
      </c>
      <c r="Q108">
        <f t="shared" si="8"/>
        <v>0</v>
      </c>
      <c r="R108">
        <f t="shared" si="9"/>
        <v>0</v>
      </c>
    </row>
    <row r="109" spans="1:18" ht="51" x14ac:dyDescent="0.2">
      <c r="A109">
        <v>108</v>
      </c>
      <c r="B109" s="1" t="s">
        <v>593</v>
      </c>
      <c r="C109" t="s">
        <v>97</v>
      </c>
      <c r="D109">
        <v>1</v>
      </c>
      <c r="I109" s="12">
        <v>1</v>
      </c>
      <c r="J109" s="12"/>
      <c r="K109" s="12"/>
      <c r="L109" s="12"/>
      <c r="M109" s="12"/>
      <c r="N109">
        <f t="shared" si="5"/>
        <v>1</v>
      </c>
      <c r="O109">
        <f t="shared" si="6"/>
        <v>0</v>
      </c>
      <c r="P109">
        <f t="shared" si="7"/>
        <v>0</v>
      </c>
      <c r="Q109">
        <f t="shared" si="8"/>
        <v>0</v>
      </c>
      <c r="R109">
        <f t="shared" si="9"/>
        <v>0</v>
      </c>
    </row>
    <row r="110" spans="1:18" ht="51" x14ac:dyDescent="0.2">
      <c r="A110">
        <v>109</v>
      </c>
      <c r="B110" s="1" t="s">
        <v>597</v>
      </c>
      <c r="C110" t="s">
        <v>125</v>
      </c>
      <c r="D110">
        <v>1</v>
      </c>
      <c r="I110" s="12">
        <v>1</v>
      </c>
      <c r="J110" s="12"/>
      <c r="K110" s="12"/>
      <c r="L110" s="12"/>
      <c r="M110" s="12"/>
      <c r="N110">
        <f t="shared" si="5"/>
        <v>1</v>
      </c>
      <c r="O110">
        <f t="shared" si="6"/>
        <v>0</v>
      </c>
      <c r="P110">
        <f t="shared" si="7"/>
        <v>0</v>
      </c>
      <c r="Q110">
        <f t="shared" si="8"/>
        <v>0</v>
      </c>
      <c r="R110">
        <f t="shared" si="9"/>
        <v>0</v>
      </c>
    </row>
    <row r="111" spans="1:18" ht="68" x14ac:dyDescent="0.2">
      <c r="A111">
        <v>110</v>
      </c>
      <c r="B111" s="1" t="s">
        <v>601</v>
      </c>
      <c r="C111" t="s">
        <v>105</v>
      </c>
      <c r="D111">
        <v>1</v>
      </c>
      <c r="I111" s="12">
        <v>1</v>
      </c>
      <c r="J111" s="12"/>
      <c r="K111" s="12"/>
      <c r="L111" s="12"/>
      <c r="M111" s="12"/>
      <c r="N111">
        <f t="shared" si="5"/>
        <v>1</v>
      </c>
      <c r="O111">
        <f t="shared" si="6"/>
        <v>0</v>
      </c>
      <c r="P111">
        <f t="shared" si="7"/>
        <v>0</v>
      </c>
      <c r="Q111">
        <f t="shared" si="8"/>
        <v>0</v>
      </c>
      <c r="R111">
        <f t="shared" si="9"/>
        <v>0</v>
      </c>
    </row>
    <row r="112" spans="1:18" ht="34" x14ac:dyDescent="0.2">
      <c r="A112">
        <v>111</v>
      </c>
      <c r="B112" s="1" t="s">
        <v>605</v>
      </c>
      <c r="C112" t="s">
        <v>125</v>
      </c>
      <c r="E112">
        <v>1</v>
      </c>
      <c r="F112">
        <v>1</v>
      </c>
      <c r="I112" s="12"/>
      <c r="J112" s="12">
        <v>1</v>
      </c>
      <c r="K112" s="12"/>
      <c r="L112" s="12"/>
      <c r="M112" s="12"/>
      <c r="N112">
        <f t="shared" si="5"/>
        <v>0</v>
      </c>
      <c r="O112">
        <f t="shared" si="6"/>
        <v>1</v>
      </c>
      <c r="P112" t="str">
        <f t="shared" si="7"/>
        <v>Disagree</v>
      </c>
      <c r="Q112">
        <f t="shared" si="8"/>
        <v>0</v>
      </c>
      <c r="R112">
        <f t="shared" si="9"/>
        <v>0</v>
      </c>
    </row>
    <row r="113" spans="1:18" ht="51" x14ac:dyDescent="0.2">
      <c r="A113">
        <v>112</v>
      </c>
      <c r="B113" s="1" t="s">
        <v>609</v>
      </c>
      <c r="C113" t="s">
        <v>105</v>
      </c>
      <c r="D113">
        <v>1</v>
      </c>
      <c r="I113" s="12">
        <v>1</v>
      </c>
      <c r="J113" s="12"/>
      <c r="K113" s="12"/>
      <c r="L113" s="12"/>
      <c r="M113" s="12"/>
      <c r="N113">
        <f t="shared" si="5"/>
        <v>1</v>
      </c>
      <c r="O113">
        <f t="shared" si="6"/>
        <v>0</v>
      </c>
      <c r="P113">
        <f t="shared" si="7"/>
        <v>0</v>
      </c>
      <c r="Q113">
        <f t="shared" si="8"/>
        <v>0</v>
      </c>
      <c r="R113">
        <f t="shared" si="9"/>
        <v>0</v>
      </c>
    </row>
    <row r="114" spans="1:18" ht="34" x14ac:dyDescent="0.2">
      <c r="A114">
        <v>113</v>
      </c>
      <c r="B114" s="1" t="s">
        <v>613</v>
      </c>
      <c r="C114" t="s">
        <v>111</v>
      </c>
      <c r="E114">
        <v>1</v>
      </c>
      <c r="I114" s="12"/>
      <c r="J114" s="12">
        <v>1</v>
      </c>
      <c r="K114" s="12"/>
      <c r="L114" s="12"/>
      <c r="M114" s="12"/>
      <c r="N114">
        <f t="shared" si="5"/>
        <v>0</v>
      </c>
      <c r="O114">
        <f t="shared" si="6"/>
        <v>1</v>
      </c>
      <c r="P114">
        <f t="shared" si="7"/>
        <v>0</v>
      </c>
      <c r="Q114">
        <f t="shared" si="8"/>
        <v>0</v>
      </c>
      <c r="R114">
        <f t="shared" si="9"/>
        <v>0</v>
      </c>
    </row>
    <row r="115" spans="1:18" ht="17" x14ac:dyDescent="0.2">
      <c r="A115">
        <v>114</v>
      </c>
      <c r="B115" s="1" t="s">
        <v>617</v>
      </c>
      <c r="C115" t="s">
        <v>111</v>
      </c>
      <c r="D115">
        <v>1</v>
      </c>
      <c r="I115" s="12">
        <v>1</v>
      </c>
      <c r="J115" s="12"/>
      <c r="K115" s="12"/>
      <c r="L115" s="12"/>
      <c r="M115" s="12"/>
      <c r="N115">
        <f t="shared" si="5"/>
        <v>1</v>
      </c>
      <c r="O115">
        <f t="shared" si="6"/>
        <v>0</v>
      </c>
      <c r="P115">
        <f t="shared" si="7"/>
        <v>0</v>
      </c>
      <c r="Q115">
        <f t="shared" si="8"/>
        <v>0</v>
      </c>
      <c r="R115">
        <f t="shared" si="9"/>
        <v>0</v>
      </c>
    </row>
    <row r="116" spans="1:18" ht="17" x14ac:dyDescent="0.2">
      <c r="A116">
        <v>115</v>
      </c>
      <c r="B116" s="1" t="s">
        <v>623</v>
      </c>
      <c r="C116" t="s">
        <v>111</v>
      </c>
      <c r="D116">
        <v>1</v>
      </c>
      <c r="I116" s="12">
        <v>1</v>
      </c>
      <c r="J116" s="12"/>
      <c r="K116" s="12"/>
      <c r="L116" s="12"/>
      <c r="M116" s="12"/>
      <c r="N116">
        <f t="shared" si="5"/>
        <v>1</v>
      </c>
      <c r="O116">
        <f t="shared" si="6"/>
        <v>0</v>
      </c>
      <c r="P116">
        <f t="shared" si="7"/>
        <v>0</v>
      </c>
      <c r="Q116">
        <f t="shared" si="8"/>
        <v>0</v>
      </c>
      <c r="R116">
        <f t="shared" si="9"/>
        <v>0</v>
      </c>
    </row>
    <row r="117" spans="1:18" ht="34" x14ac:dyDescent="0.2">
      <c r="A117">
        <v>116</v>
      </c>
      <c r="B117" s="1" t="s">
        <v>628</v>
      </c>
      <c r="C117" t="s">
        <v>97</v>
      </c>
      <c r="D117">
        <v>1</v>
      </c>
      <c r="I117" s="12">
        <v>1</v>
      </c>
      <c r="J117" s="12"/>
      <c r="K117" s="12"/>
      <c r="L117" s="12"/>
      <c r="M117" s="12"/>
      <c r="N117">
        <f t="shared" si="5"/>
        <v>1</v>
      </c>
      <c r="O117">
        <f t="shared" si="6"/>
        <v>0</v>
      </c>
      <c r="P117">
        <f t="shared" si="7"/>
        <v>0</v>
      </c>
      <c r="Q117">
        <f t="shared" si="8"/>
        <v>0</v>
      </c>
      <c r="R117">
        <f t="shared" si="9"/>
        <v>0</v>
      </c>
    </row>
    <row r="118" spans="1:18" ht="34" x14ac:dyDescent="0.2">
      <c r="A118">
        <v>117</v>
      </c>
      <c r="B118" s="1" t="s">
        <v>632</v>
      </c>
      <c r="C118" t="s">
        <v>97</v>
      </c>
      <c r="D118">
        <v>1</v>
      </c>
      <c r="I118" s="12">
        <v>1</v>
      </c>
      <c r="J118" s="12"/>
      <c r="K118" s="12"/>
      <c r="L118" s="12"/>
      <c r="M118" s="12"/>
      <c r="N118">
        <f t="shared" si="5"/>
        <v>1</v>
      </c>
      <c r="O118">
        <f t="shared" si="6"/>
        <v>0</v>
      </c>
      <c r="P118">
        <f t="shared" si="7"/>
        <v>0</v>
      </c>
      <c r="Q118">
        <f t="shared" si="8"/>
        <v>0</v>
      </c>
      <c r="R118">
        <f t="shared" si="9"/>
        <v>0</v>
      </c>
    </row>
    <row r="119" spans="1:18" ht="136" x14ac:dyDescent="0.2">
      <c r="A119">
        <v>118</v>
      </c>
      <c r="B119" s="1" t="s">
        <v>636</v>
      </c>
      <c r="C119" t="s">
        <v>125</v>
      </c>
      <c r="E119">
        <v>1</v>
      </c>
      <c r="F119">
        <v>1</v>
      </c>
      <c r="I119" s="12"/>
      <c r="J119" s="12">
        <v>1</v>
      </c>
      <c r="K119" s="12">
        <v>1</v>
      </c>
      <c r="L119" s="12"/>
      <c r="M119" s="12"/>
      <c r="N119">
        <f t="shared" si="5"/>
        <v>0</v>
      </c>
      <c r="O119">
        <f t="shared" si="6"/>
        <v>1</v>
      </c>
      <c r="P119">
        <f t="shared" si="7"/>
        <v>1</v>
      </c>
      <c r="Q119">
        <f t="shared" si="8"/>
        <v>0</v>
      </c>
      <c r="R119">
        <f t="shared" si="9"/>
        <v>0</v>
      </c>
    </row>
    <row r="120" spans="1:18" ht="85" x14ac:dyDescent="0.2">
      <c r="A120">
        <v>119</v>
      </c>
      <c r="B120" s="1" t="s">
        <v>640</v>
      </c>
      <c r="C120" t="s">
        <v>97</v>
      </c>
      <c r="H120">
        <v>1</v>
      </c>
      <c r="I120" s="12">
        <v>1</v>
      </c>
      <c r="J120" s="12"/>
      <c r="K120" s="12"/>
      <c r="L120" s="12"/>
      <c r="M120" s="12"/>
      <c r="N120" t="str">
        <f t="shared" si="5"/>
        <v>Disagree</v>
      </c>
      <c r="O120">
        <f t="shared" si="6"/>
        <v>0</v>
      </c>
      <c r="P120">
        <f t="shared" si="7"/>
        <v>0</v>
      </c>
      <c r="Q120">
        <f t="shared" si="8"/>
        <v>0</v>
      </c>
      <c r="R120" t="str">
        <f t="shared" si="9"/>
        <v>Disagree</v>
      </c>
    </row>
    <row r="121" spans="1:18" ht="51" x14ac:dyDescent="0.2">
      <c r="A121">
        <v>120</v>
      </c>
      <c r="B121" s="1" t="s">
        <v>646</v>
      </c>
      <c r="C121" t="s">
        <v>105</v>
      </c>
      <c r="D121">
        <v>1</v>
      </c>
      <c r="I121" s="12"/>
      <c r="J121" s="12">
        <v>1</v>
      </c>
      <c r="K121" s="12"/>
      <c r="L121" s="12"/>
      <c r="M121" s="12"/>
      <c r="N121" t="str">
        <f t="shared" si="5"/>
        <v>Disagree</v>
      </c>
      <c r="O121" t="str">
        <f t="shared" si="6"/>
        <v>Disagree</v>
      </c>
      <c r="P121">
        <f t="shared" si="7"/>
        <v>0</v>
      </c>
      <c r="Q121">
        <f t="shared" si="8"/>
        <v>0</v>
      </c>
      <c r="R121">
        <f t="shared" si="9"/>
        <v>0</v>
      </c>
    </row>
    <row r="122" spans="1:18" ht="68" x14ac:dyDescent="0.2">
      <c r="A122">
        <v>121</v>
      </c>
      <c r="B122" s="1" t="s">
        <v>651</v>
      </c>
      <c r="C122" t="s">
        <v>125</v>
      </c>
      <c r="E122">
        <v>1</v>
      </c>
      <c r="F122">
        <v>1</v>
      </c>
      <c r="I122" s="12"/>
      <c r="J122" s="12">
        <v>1</v>
      </c>
      <c r="K122" s="12">
        <v>1</v>
      </c>
      <c r="L122" s="12"/>
      <c r="M122" s="12"/>
      <c r="N122">
        <f t="shared" si="5"/>
        <v>0</v>
      </c>
      <c r="O122">
        <f t="shared" si="6"/>
        <v>1</v>
      </c>
      <c r="P122">
        <f t="shared" si="7"/>
        <v>1</v>
      </c>
      <c r="Q122">
        <f t="shared" si="8"/>
        <v>0</v>
      </c>
      <c r="R122">
        <f t="shared" si="9"/>
        <v>0</v>
      </c>
    </row>
    <row r="123" spans="1:18" ht="34" x14ac:dyDescent="0.2">
      <c r="A123">
        <v>122</v>
      </c>
      <c r="B123" s="1" t="s">
        <v>656</v>
      </c>
      <c r="C123" t="s">
        <v>111</v>
      </c>
      <c r="E123">
        <v>1</v>
      </c>
      <c r="I123" s="12"/>
      <c r="J123" s="12">
        <v>1</v>
      </c>
      <c r="K123" s="12"/>
      <c r="L123" s="12"/>
      <c r="M123" s="12"/>
      <c r="N123">
        <f t="shared" si="5"/>
        <v>0</v>
      </c>
      <c r="O123">
        <f t="shared" si="6"/>
        <v>1</v>
      </c>
      <c r="P123">
        <f t="shared" si="7"/>
        <v>0</v>
      </c>
      <c r="Q123">
        <f t="shared" si="8"/>
        <v>0</v>
      </c>
      <c r="R123">
        <f t="shared" si="9"/>
        <v>0</v>
      </c>
    </row>
    <row r="124" spans="1:18" ht="68" x14ac:dyDescent="0.2">
      <c r="A124">
        <v>123</v>
      </c>
      <c r="B124" s="1" t="s">
        <v>661</v>
      </c>
      <c r="C124" t="s">
        <v>97</v>
      </c>
      <c r="H124">
        <v>1</v>
      </c>
      <c r="I124" s="12"/>
      <c r="J124" s="12"/>
      <c r="K124" s="12"/>
      <c r="L124" s="12"/>
      <c r="M124" s="12">
        <v>1</v>
      </c>
      <c r="N124">
        <f t="shared" si="5"/>
        <v>0</v>
      </c>
      <c r="O124">
        <f t="shared" si="6"/>
        <v>0</v>
      </c>
      <c r="P124">
        <f t="shared" si="7"/>
        <v>0</v>
      </c>
      <c r="Q124">
        <f t="shared" si="8"/>
        <v>0</v>
      </c>
      <c r="R124">
        <f t="shared" si="9"/>
        <v>1</v>
      </c>
    </row>
    <row r="125" spans="1:18" ht="136" x14ac:dyDescent="0.2">
      <c r="A125">
        <v>124</v>
      </c>
      <c r="B125" s="1" t="s">
        <v>666</v>
      </c>
      <c r="C125" t="s">
        <v>125</v>
      </c>
      <c r="D125">
        <v>1</v>
      </c>
      <c r="H125">
        <v>1</v>
      </c>
      <c r="I125" s="12">
        <v>1</v>
      </c>
      <c r="J125" s="12"/>
      <c r="K125" s="12"/>
      <c r="L125" s="12"/>
      <c r="M125" s="12"/>
      <c r="N125">
        <f t="shared" si="5"/>
        <v>1</v>
      </c>
      <c r="O125">
        <f t="shared" si="6"/>
        <v>0</v>
      </c>
      <c r="P125">
        <f t="shared" si="7"/>
        <v>0</v>
      </c>
      <c r="Q125">
        <f t="shared" si="8"/>
        <v>0</v>
      </c>
      <c r="R125" t="str">
        <f t="shared" si="9"/>
        <v>Disagree</v>
      </c>
    </row>
    <row r="126" spans="1:18" ht="34" x14ac:dyDescent="0.2">
      <c r="A126">
        <v>125</v>
      </c>
      <c r="B126" s="1" t="s">
        <v>670</v>
      </c>
      <c r="C126" t="s">
        <v>125</v>
      </c>
      <c r="I126" s="12">
        <v>1</v>
      </c>
      <c r="J126" s="12"/>
      <c r="K126" s="12"/>
      <c r="L126" s="12"/>
      <c r="M126" s="12"/>
      <c r="N126" t="str">
        <f t="shared" si="5"/>
        <v>Disagree</v>
      </c>
      <c r="O126">
        <f t="shared" si="6"/>
        <v>0</v>
      </c>
      <c r="P126">
        <f t="shared" si="7"/>
        <v>0</v>
      </c>
      <c r="Q126">
        <f t="shared" si="8"/>
        <v>0</v>
      </c>
      <c r="R126">
        <f t="shared" si="9"/>
        <v>0</v>
      </c>
    </row>
    <row r="127" spans="1:18" ht="34" x14ac:dyDescent="0.2">
      <c r="A127">
        <v>126</v>
      </c>
      <c r="B127" s="1" t="s">
        <v>674</v>
      </c>
      <c r="C127" t="s">
        <v>125</v>
      </c>
      <c r="E127">
        <v>1</v>
      </c>
      <c r="F127">
        <v>1</v>
      </c>
      <c r="I127" s="12"/>
      <c r="J127" s="12">
        <v>1</v>
      </c>
      <c r="K127" s="12">
        <v>1</v>
      </c>
      <c r="L127" s="12"/>
      <c r="M127" s="12"/>
      <c r="N127">
        <f t="shared" si="5"/>
        <v>0</v>
      </c>
      <c r="O127">
        <f t="shared" si="6"/>
        <v>1</v>
      </c>
      <c r="P127">
        <f t="shared" si="7"/>
        <v>1</v>
      </c>
      <c r="Q127">
        <f t="shared" si="8"/>
        <v>0</v>
      </c>
      <c r="R127">
        <f t="shared" si="9"/>
        <v>0</v>
      </c>
    </row>
    <row r="128" spans="1:18" ht="51" x14ac:dyDescent="0.2">
      <c r="A128">
        <v>127</v>
      </c>
      <c r="B128" s="1" t="s">
        <v>678</v>
      </c>
      <c r="C128" t="s">
        <v>125</v>
      </c>
      <c r="D128">
        <v>1</v>
      </c>
      <c r="I128" s="12">
        <v>1</v>
      </c>
      <c r="J128" s="12"/>
      <c r="K128" s="12"/>
      <c r="L128" s="12"/>
      <c r="M128" s="12"/>
      <c r="N128">
        <f t="shared" si="5"/>
        <v>1</v>
      </c>
      <c r="O128">
        <f t="shared" si="6"/>
        <v>0</v>
      </c>
      <c r="P128">
        <f t="shared" si="7"/>
        <v>0</v>
      </c>
      <c r="Q128">
        <f t="shared" si="8"/>
        <v>0</v>
      </c>
      <c r="R128">
        <f t="shared" si="9"/>
        <v>0</v>
      </c>
    </row>
    <row r="129" spans="1:18" ht="85" x14ac:dyDescent="0.2">
      <c r="A129">
        <v>128</v>
      </c>
      <c r="B129" s="1" t="s">
        <v>683</v>
      </c>
      <c r="C129" t="s">
        <v>125</v>
      </c>
      <c r="E129">
        <v>1</v>
      </c>
      <c r="H129">
        <v>1</v>
      </c>
      <c r="I129" s="12"/>
      <c r="J129" s="12">
        <v>1</v>
      </c>
      <c r="K129" s="12">
        <v>1</v>
      </c>
      <c r="L129" s="12"/>
      <c r="M129" s="12"/>
      <c r="N129">
        <f t="shared" si="5"/>
        <v>0</v>
      </c>
      <c r="O129">
        <f t="shared" si="6"/>
        <v>1</v>
      </c>
      <c r="P129" t="str">
        <f t="shared" si="7"/>
        <v>Disagree</v>
      </c>
      <c r="Q129">
        <f t="shared" si="8"/>
        <v>0</v>
      </c>
      <c r="R129" t="str">
        <f t="shared" si="9"/>
        <v>Disagree</v>
      </c>
    </row>
    <row r="130" spans="1:18" ht="34" x14ac:dyDescent="0.2">
      <c r="A130">
        <v>129</v>
      </c>
      <c r="B130" s="1" t="s">
        <v>687</v>
      </c>
      <c r="C130" t="s">
        <v>111</v>
      </c>
      <c r="D130">
        <v>1</v>
      </c>
      <c r="I130" s="12">
        <v>1</v>
      </c>
      <c r="J130" s="12"/>
      <c r="K130" s="12"/>
      <c r="L130" s="12"/>
      <c r="M130" s="12"/>
      <c r="N130">
        <f t="shared" si="5"/>
        <v>1</v>
      </c>
      <c r="O130">
        <f t="shared" si="6"/>
        <v>0</v>
      </c>
      <c r="P130">
        <f t="shared" si="7"/>
        <v>0</v>
      </c>
      <c r="Q130">
        <f t="shared" si="8"/>
        <v>0</v>
      </c>
      <c r="R130">
        <f t="shared" si="9"/>
        <v>0</v>
      </c>
    </row>
    <row r="131" spans="1:18" ht="34" x14ac:dyDescent="0.2">
      <c r="A131">
        <v>130</v>
      </c>
      <c r="B131" s="1" t="s">
        <v>691</v>
      </c>
      <c r="C131" t="s">
        <v>105</v>
      </c>
      <c r="D131">
        <v>1</v>
      </c>
      <c r="I131" s="12">
        <v>1</v>
      </c>
      <c r="J131" s="12"/>
      <c r="K131" s="12"/>
      <c r="L131" s="12"/>
      <c r="M131" s="12"/>
      <c r="N131">
        <f t="shared" ref="N131:N194" si="10">IF(D131=I131,D131,"Disagree")</f>
        <v>1</v>
      </c>
      <c r="O131">
        <f t="shared" ref="O131:O194" si="11">IF(E131=J131,E131,"Disagree")</f>
        <v>0</v>
      </c>
      <c r="P131">
        <f t="shared" ref="P131:P194" si="12">IF(F131=K131,F131,"Disagree")</f>
        <v>0</v>
      </c>
      <c r="Q131">
        <f t="shared" ref="Q131:Q194" si="13">IF(G131=L131,G131,"Disagree")</f>
        <v>0</v>
      </c>
      <c r="R131">
        <f t="shared" ref="R131:R194" si="14">IF(H131=M131,H131,"Disagree")</f>
        <v>0</v>
      </c>
    </row>
    <row r="132" spans="1:18" ht="51" x14ac:dyDescent="0.2">
      <c r="A132">
        <v>131</v>
      </c>
      <c r="B132" s="1" t="s">
        <v>695</v>
      </c>
      <c r="C132" t="s">
        <v>125</v>
      </c>
      <c r="E132">
        <v>1</v>
      </c>
      <c r="F132">
        <v>1</v>
      </c>
      <c r="I132" s="12"/>
      <c r="J132" s="12">
        <v>1</v>
      </c>
      <c r="K132" s="12">
        <v>1</v>
      </c>
      <c r="L132" s="12"/>
      <c r="M132" s="12"/>
      <c r="N132">
        <f t="shared" si="10"/>
        <v>0</v>
      </c>
      <c r="O132">
        <f t="shared" si="11"/>
        <v>1</v>
      </c>
      <c r="P132">
        <f t="shared" si="12"/>
        <v>1</v>
      </c>
      <c r="Q132">
        <f t="shared" si="13"/>
        <v>0</v>
      </c>
      <c r="R132">
        <f t="shared" si="14"/>
        <v>0</v>
      </c>
    </row>
    <row r="133" spans="1:18" ht="68" x14ac:dyDescent="0.2">
      <c r="A133">
        <v>132</v>
      </c>
      <c r="B133" s="1" t="s">
        <v>702</v>
      </c>
      <c r="C133" t="s">
        <v>105</v>
      </c>
      <c r="D133">
        <v>1</v>
      </c>
      <c r="I133" s="12">
        <v>1</v>
      </c>
      <c r="J133" s="12"/>
      <c r="K133" s="12"/>
      <c r="L133" s="12"/>
      <c r="M133" s="12"/>
      <c r="N133">
        <f t="shared" si="10"/>
        <v>1</v>
      </c>
      <c r="O133">
        <f t="shared" si="11"/>
        <v>0</v>
      </c>
      <c r="P133">
        <f t="shared" si="12"/>
        <v>0</v>
      </c>
      <c r="Q133">
        <f t="shared" si="13"/>
        <v>0</v>
      </c>
      <c r="R133">
        <f t="shared" si="14"/>
        <v>0</v>
      </c>
    </row>
    <row r="134" spans="1:18" ht="34" x14ac:dyDescent="0.2">
      <c r="A134">
        <v>133</v>
      </c>
      <c r="B134" s="1" t="s">
        <v>706</v>
      </c>
      <c r="C134" t="s">
        <v>111</v>
      </c>
      <c r="E134">
        <v>1</v>
      </c>
      <c r="F134">
        <v>1</v>
      </c>
      <c r="I134" s="12"/>
      <c r="J134" s="12">
        <v>1</v>
      </c>
      <c r="K134" s="12">
        <v>1</v>
      </c>
      <c r="L134" s="12"/>
      <c r="M134" s="12"/>
      <c r="N134">
        <f t="shared" si="10"/>
        <v>0</v>
      </c>
      <c r="O134">
        <f t="shared" si="11"/>
        <v>1</v>
      </c>
      <c r="P134">
        <f t="shared" si="12"/>
        <v>1</v>
      </c>
      <c r="Q134">
        <f t="shared" si="13"/>
        <v>0</v>
      </c>
      <c r="R134">
        <f t="shared" si="14"/>
        <v>0</v>
      </c>
    </row>
    <row r="135" spans="1:18" ht="17" x14ac:dyDescent="0.2">
      <c r="A135">
        <v>134</v>
      </c>
      <c r="B135" s="1" t="s">
        <v>710</v>
      </c>
      <c r="C135" t="s">
        <v>125</v>
      </c>
      <c r="E135">
        <v>1</v>
      </c>
      <c r="F135">
        <v>1</v>
      </c>
      <c r="I135" s="12"/>
      <c r="J135" s="12">
        <v>1</v>
      </c>
      <c r="K135" s="12">
        <v>1</v>
      </c>
      <c r="L135" s="12"/>
      <c r="M135" s="12"/>
      <c r="N135">
        <f t="shared" si="10"/>
        <v>0</v>
      </c>
      <c r="O135">
        <f t="shared" si="11"/>
        <v>1</v>
      </c>
      <c r="P135">
        <f t="shared" si="12"/>
        <v>1</v>
      </c>
      <c r="Q135">
        <f t="shared" si="13"/>
        <v>0</v>
      </c>
      <c r="R135">
        <f t="shared" si="14"/>
        <v>0</v>
      </c>
    </row>
    <row r="136" spans="1:18" ht="119" x14ac:dyDescent="0.2">
      <c r="A136">
        <v>135</v>
      </c>
      <c r="B136" s="1" t="s">
        <v>714</v>
      </c>
      <c r="C136" t="s">
        <v>105</v>
      </c>
      <c r="D136">
        <v>1</v>
      </c>
      <c r="I136" s="12">
        <v>1</v>
      </c>
      <c r="J136" s="12"/>
      <c r="K136" s="12"/>
      <c r="L136" s="12"/>
      <c r="M136" s="12"/>
      <c r="N136">
        <f t="shared" si="10"/>
        <v>1</v>
      </c>
      <c r="O136">
        <f t="shared" si="11"/>
        <v>0</v>
      </c>
      <c r="P136">
        <f t="shared" si="12"/>
        <v>0</v>
      </c>
      <c r="Q136">
        <f t="shared" si="13"/>
        <v>0</v>
      </c>
      <c r="R136">
        <f t="shared" si="14"/>
        <v>0</v>
      </c>
    </row>
    <row r="137" spans="1:18" ht="34" x14ac:dyDescent="0.2">
      <c r="A137">
        <v>136</v>
      </c>
      <c r="B137" s="1" t="s">
        <v>721</v>
      </c>
      <c r="C137" t="s">
        <v>105</v>
      </c>
      <c r="I137" s="12">
        <v>1</v>
      </c>
      <c r="J137" s="12"/>
      <c r="K137" s="12"/>
      <c r="L137" s="12"/>
      <c r="M137" s="12"/>
      <c r="N137" t="str">
        <f t="shared" si="10"/>
        <v>Disagree</v>
      </c>
      <c r="O137">
        <f t="shared" si="11"/>
        <v>0</v>
      </c>
      <c r="P137">
        <f t="shared" si="12"/>
        <v>0</v>
      </c>
      <c r="Q137">
        <f t="shared" si="13"/>
        <v>0</v>
      </c>
      <c r="R137">
        <f t="shared" si="14"/>
        <v>0</v>
      </c>
    </row>
    <row r="138" spans="1:18" ht="34" x14ac:dyDescent="0.2">
      <c r="A138">
        <v>137</v>
      </c>
      <c r="B138" s="1" t="s">
        <v>727</v>
      </c>
      <c r="C138" t="s">
        <v>111</v>
      </c>
      <c r="E138">
        <v>1</v>
      </c>
      <c r="F138">
        <v>1</v>
      </c>
      <c r="I138" s="12"/>
      <c r="J138" s="12">
        <v>1</v>
      </c>
      <c r="K138" s="12">
        <v>1</v>
      </c>
      <c r="L138" s="12"/>
      <c r="M138" s="12"/>
      <c r="N138">
        <f t="shared" si="10"/>
        <v>0</v>
      </c>
      <c r="O138">
        <f t="shared" si="11"/>
        <v>1</v>
      </c>
      <c r="P138">
        <f t="shared" si="12"/>
        <v>1</v>
      </c>
      <c r="Q138">
        <f t="shared" si="13"/>
        <v>0</v>
      </c>
      <c r="R138">
        <f t="shared" si="14"/>
        <v>0</v>
      </c>
    </row>
    <row r="139" spans="1:18" ht="51" x14ac:dyDescent="0.2">
      <c r="A139">
        <v>138</v>
      </c>
      <c r="B139" s="1" t="s">
        <v>732</v>
      </c>
      <c r="C139" t="s">
        <v>105</v>
      </c>
      <c r="E139">
        <v>1</v>
      </c>
      <c r="I139" s="12">
        <v>1</v>
      </c>
      <c r="J139" s="12"/>
      <c r="K139" s="12"/>
      <c r="L139" s="12"/>
      <c r="M139" s="12"/>
      <c r="N139" t="str">
        <f t="shared" si="10"/>
        <v>Disagree</v>
      </c>
      <c r="O139" t="str">
        <f t="shared" si="11"/>
        <v>Disagree</v>
      </c>
      <c r="P139">
        <f t="shared" si="12"/>
        <v>0</v>
      </c>
      <c r="Q139">
        <f t="shared" si="13"/>
        <v>0</v>
      </c>
      <c r="R139">
        <f t="shared" si="14"/>
        <v>0</v>
      </c>
    </row>
    <row r="140" spans="1:18" ht="34" x14ac:dyDescent="0.2">
      <c r="A140">
        <v>139</v>
      </c>
      <c r="B140" s="1" t="s">
        <v>736</v>
      </c>
      <c r="C140" t="s">
        <v>125</v>
      </c>
      <c r="E140">
        <v>1</v>
      </c>
      <c r="F140">
        <v>1</v>
      </c>
      <c r="I140" s="12"/>
      <c r="J140" s="12">
        <v>1</v>
      </c>
      <c r="K140" s="12">
        <v>1</v>
      </c>
      <c r="L140" s="12"/>
      <c r="M140" s="12"/>
      <c r="N140">
        <f t="shared" si="10"/>
        <v>0</v>
      </c>
      <c r="O140">
        <f t="shared" si="11"/>
        <v>1</v>
      </c>
      <c r="P140">
        <f t="shared" si="12"/>
        <v>1</v>
      </c>
      <c r="Q140">
        <f t="shared" si="13"/>
        <v>0</v>
      </c>
      <c r="R140">
        <f t="shared" si="14"/>
        <v>0</v>
      </c>
    </row>
    <row r="141" spans="1:18" ht="51" x14ac:dyDescent="0.2">
      <c r="A141">
        <v>140</v>
      </c>
      <c r="B141" s="1" t="s">
        <v>740</v>
      </c>
      <c r="C141" t="s">
        <v>97</v>
      </c>
      <c r="D141">
        <v>1</v>
      </c>
      <c r="I141" s="12">
        <v>1</v>
      </c>
      <c r="J141" s="12"/>
      <c r="K141" s="12"/>
      <c r="L141" s="12"/>
      <c r="M141" s="12"/>
      <c r="N141">
        <f t="shared" si="10"/>
        <v>1</v>
      </c>
      <c r="O141">
        <f t="shared" si="11"/>
        <v>0</v>
      </c>
      <c r="P141">
        <f t="shared" si="12"/>
        <v>0</v>
      </c>
      <c r="Q141">
        <f t="shared" si="13"/>
        <v>0</v>
      </c>
      <c r="R141">
        <f t="shared" si="14"/>
        <v>0</v>
      </c>
    </row>
    <row r="142" spans="1:18" ht="34" x14ac:dyDescent="0.2">
      <c r="A142">
        <v>141</v>
      </c>
      <c r="B142" s="1" t="s">
        <v>745</v>
      </c>
      <c r="C142" t="s">
        <v>97</v>
      </c>
      <c r="I142" s="12"/>
      <c r="J142" s="12"/>
      <c r="K142" s="12"/>
      <c r="L142" s="12"/>
      <c r="M142" s="12"/>
      <c r="N142">
        <f t="shared" si="10"/>
        <v>0</v>
      </c>
      <c r="O142">
        <f t="shared" si="11"/>
        <v>0</v>
      </c>
      <c r="P142">
        <f t="shared" si="12"/>
        <v>0</v>
      </c>
      <c r="Q142">
        <f t="shared" si="13"/>
        <v>0</v>
      </c>
      <c r="R142">
        <f t="shared" si="14"/>
        <v>0</v>
      </c>
    </row>
    <row r="143" spans="1:18" ht="51" x14ac:dyDescent="0.2">
      <c r="A143">
        <v>142</v>
      </c>
      <c r="B143" s="1" t="s">
        <v>750</v>
      </c>
      <c r="C143" t="s">
        <v>125</v>
      </c>
      <c r="E143">
        <v>1</v>
      </c>
      <c r="F143">
        <v>1</v>
      </c>
      <c r="I143" s="12"/>
      <c r="J143" s="12">
        <v>1</v>
      </c>
      <c r="K143" s="12">
        <v>1</v>
      </c>
      <c r="L143" s="12"/>
      <c r="M143" s="12"/>
      <c r="N143">
        <f t="shared" si="10"/>
        <v>0</v>
      </c>
      <c r="O143">
        <f t="shared" si="11"/>
        <v>1</v>
      </c>
      <c r="P143">
        <f t="shared" si="12"/>
        <v>1</v>
      </c>
      <c r="Q143">
        <f t="shared" si="13"/>
        <v>0</v>
      </c>
      <c r="R143">
        <f t="shared" si="14"/>
        <v>0</v>
      </c>
    </row>
    <row r="144" spans="1:18" ht="17" x14ac:dyDescent="0.2">
      <c r="A144">
        <v>143</v>
      </c>
      <c r="B144" s="1" t="s">
        <v>754</v>
      </c>
      <c r="C144" t="s">
        <v>111</v>
      </c>
      <c r="E144">
        <v>1</v>
      </c>
      <c r="I144" s="12"/>
      <c r="J144" s="12">
        <v>1</v>
      </c>
      <c r="K144" s="12"/>
      <c r="L144" s="12"/>
      <c r="M144" s="12"/>
      <c r="N144">
        <f t="shared" si="10"/>
        <v>0</v>
      </c>
      <c r="O144">
        <f t="shared" si="11"/>
        <v>1</v>
      </c>
      <c r="P144">
        <f t="shared" si="12"/>
        <v>0</v>
      </c>
      <c r="Q144">
        <f t="shared" si="13"/>
        <v>0</v>
      </c>
      <c r="R144">
        <f t="shared" si="14"/>
        <v>0</v>
      </c>
    </row>
    <row r="145" spans="1:18" ht="51" x14ac:dyDescent="0.2">
      <c r="A145">
        <v>144</v>
      </c>
      <c r="B145" s="1" t="s">
        <v>759</v>
      </c>
      <c r="C145" t="s">
        <v>111</v>
      </c>
      <c r="D145">
        <v>1</v>
      </c>
      <c r="I145" s="12">
        <v>1</v>
      </c>
      <c r="J145" s="12"/>
      <c r="K145" s="12"/>
      <c r="L145" s="12"/>
      <c r="M145" s="12"/>
      <c r="N145">
        <f t="shared" si="10"/>
        <v>1</v>
      </c>
      <c r="O145">
        <f t="shared" si="11"/>
        <v>0</v>
      </c>
      <c r="P145">
        <f t="shared" si="12"/>
        <v>0</v>
      </c>
      <c r="Q145">
        <f t="shared" si="13"/>
        <v>0</v>
      </c>
      <c r="R145">
        <f t="shared" si="14"/>
        <v>0</v>
      </c>
    </row>
    <row r="146" spans="1:18" ht="17" x14ac:dyDescent="0.2">
      <c r="A146">
        <v>145</v>
      </c>
      <c r="B146" s="1" t="s">
        <v>764</v>
      </c>
      <c r="C146" t="s">
        <v>105</v>
      </c>
      <c r="D146">
        <v>1</v>
      </c>
      <c r="I146" s="12">
        <v>1</v>
      </c>
      <c r="J146" s="12"/>
      <c r="K146" s="12"/>
      <c r="L146" s="12"/>
      <c r="M146" s="12"/>
      <c r="N146">
        <f t="shared" si="10"/>
        <v>1</v>
      </c>
      <c r="O146">
        <f t="shared" si="11"/>
        <v>0</v>
      </c>
      <c r="P146">
        <f t="shared" si="12"/>
        <v>0</v>
      </c>
      <c r="Q146">
        <f t="shared" si="13"/>
        <v>0</v>
      </c>
      <c r="R146">
        <f t="shared" si="14"/>
        <v>0</v>
      </c>
    </row>
    <row r="147" spans="1:18" ht="51" x14ac:dyDescent="0.2">
      <c r="A147">
        <v>146</v>
      </c>
      <c r="B147" s="1" t="s">
        <v>769</v>
      </c>
      <c r="C147" t="s">
        <v>105</v>
      </c>
      <c r="E147">
        <v>1</v>
      </c>
      <c r="I147" s="12">
        <v>1</v>
      </c>
      <c r="J147" s="12"/>
      <c r="K147" s="12"/>
      <c r="L147" s="12"/>
      <c r="M147" s="12"/>
      <c r="N147" t="str">
        <f t="shared" si="10"/>
        <v>Disagree</v>
      </c>
      <c r="O147" t="str">
        <f t="shared" si="11"/>
        <v>Disagree</v>
      </c>
      <c r="P147">
        <f t="shared" si="12"/>
        <v>0</v>
      </c>
      <c r="Q147">
        <f t="shared" si="13"/>
        <v>0</v>
      </c>
      <c r="R147">
        <f t="shared" si="14"/>
        <v>0</v>
      </c>
    </row>
    <row r="148" spans="1:18" ht="34" x14ac:dyDescent="0.2">
      <c r="A148">
        <v>147</v>
      </c>
      <c r="B148" s="1" t="s">
        <v>774</v>
      </c>
      <c r="C148" t="s">
        <v>125</v>
      </c>
      <c r="E148">
        <v>1</v>
      </c>
      <c r="F148">
        <v>1</v>
      </c>
      <c r="I148" s="12"/>
      <c r="J148" s="12">
        <v>1</v>
      </c>
      <c r="K148" s="12"/>
      <c r="L148" s="12"/>
      <c r="M148" s="12"/>
      <c r="N148">
        <f t="shared" si="10"/>
        <v>0</v>
      </c>
      <c r="O148">
        <f t="shared" si="11"/>
        <v>1</v>
      </c>
      <c r="P148" t="str">
        <f t="shared" si="12"/>
        <v>Disagree</v>
      </c>
      <c r="Q148">
        <f t="shared" si="13"/>
        <v>0</v>
      </c>
      <c r="R148">
        <f t="shared" si="14"/>
        <v>0</v>
      </c>
    </row>
    <row r="149" spans="1:18" ht="34" x14ac:dyDescent="0.2">
      <c r="A149">
        <v>148</v>
      </c>
      <c r="B149" s="1" t="s">
        <v>778</v>
      </c>
      <c r="C149" t="s">
        <v>97</v>
      </c>
      <c r="I149" s="12"/>
      <c r="J149" s="12"/>
      <c r="K149" s="12"/>
      <c r="L149" s="12"/>
      <c r="M149" s="12"/>
      <c r="N149">
        <f t="shared" si="10"/>
        <v>0</v>
      </c>
      <c r="O149">
        <f t="shared" si="11"/>
        <v>0</v>
      </c>
      <c r="P149">
        <f t="shared" si="12"/>
        <v>0</v>
      </c>
      <c r="Q149">
        <f t="shared" si="13"/>
        <v>0</v>
      </c>
      <c r="R149">
        <f t="shared" si="14"/>
        <v>0</v>
      </c>
    </row>
    <row r="150" spans="1:18" ht="51" x14ac:dyDescent="0.2">
      <c r="A150">
        <v>149</v>
      </c>
      <c r="B150" s="1" t="s">
        <v>784</v>
      </c>
      <c r="C150" t="s">
        <v>97</v>
      </c>
      <c r="D150">
        <v>1</v>
      </c>
      <c r="I150" s="12">
        <v>1</v>
      </c>
      <c r="J150" s="12"/>
      <c r="K150" s="12"/>
      <c r="L150" s="12"/>
      <c r="M150" s="12"/>
      <c r="N150">
        <f t="shared" si="10"/>
        <v>1</v>
      </c>
      <c r="O150">
        <f t="shared" si="11"/>
        <v>0</v>
      </c>
      <c r="P150">
        <f t="shared" si="12"/>
        <v>0</v>
      </c>
      <c r="Q150">
        <f t="shared" si="13"/>
        <v>0</v>
      </c>
      <c r="R150">
        <f t="shared" si="14"/>
        <v>0</v>
      </c>
    </row>
    <row r="151" spans="1:18" ht="102" x14ac:dyDescent="0.2">
      <c r="A151">
        <v>150</v>
      </c>
      <c r="B151" s="1" t="s">
        <v>790</v>
      </c>
      <c r="C151" t="s">
        <v>97</v>
      </c>
      <c r="D151">
        <v>1</v>
      </c>
      <c r="I151" s="12">
        <v>1</v>
      </c>
      <c r="J151" s="12"/>
      <c r="K151" s="12"/>
      <c r="L151" s="12"/>
      <c r="M151" s="12"/>
      <c r="N151">
        <f t="shared" si="10"/>
        <v>1</v>
      </c>
      <c r="O151">
        <f t="shared" si="11"/>
        <v>0</v>
      </c>
      <c r="P151">
        <f t="shared" si="12"/>
        <v>0</v>
      </c>
      <c r="Q151">
        <f t="shared" si="13"/>
        <v>0</v>
      </c>
      <c r="R151">
        <f t="shared" si="14"/>
        <v>0</v>
      </c>
    </row>
    <row r="152" spans="1:18" ht="51" x14ac:dyDescent="0.2">
      <c r="A152">
        <v>151</v>
      </c>
      <c r="B152" s="1" t="s">
        <v>794</v>
      </c>
      <c r="C152" t="s">
        <v>105</v>
      </c>
      <c r="D152">
        <v>1</v>
      </c>
      <c r="I152" s="12">
        <v>1</v>
      </c>
      <c r="J152" s="12"/>
      <c r="K152" s="12"/>
      <c r="L152" s="12"/>
      <c r="M152" s="12"/>
      <c r="N152">
        <f t="shared" si="10"/>
        <v>1</v>
      </c>
      <c r="O152">
        <f t="shared" si="11"/>
        <v>0</v>
      </c>
      <c r="P152">
        <f t="shared" si="12"/>
        <v>0</v>
      </c>
      <c r="Q152">
        <f t="shared" si="13"/>
        <v>0</v>
      </c>
      <c r="R152">
        <f t="shared" si="14"/>
        <v>0</v>
      </c>
    </row>
    <row r="153" spans="1:18" ht="34" x14ac:dyDescent="0.2">
      <c r="A153">
        <v>152</v>
      </c>
      <c r="B153" s="1" t="s">
        <v>798</v>
      </c>
      <c r="C153" t="s">
        <v>97</v>
      </c>
      <c r="D153">
        <v>1</v>
      </c>
      <c r="I153" s="12">
        <v>1</v>
      </c>
      <c r="J153" s="12"/>
      <c r="K153" s="12"/>
      <c r="L153" s="12"/>
      <c r="M153" s="12"/>
      <c r="N153">
        <f t="shared" si="10"/>
        <v>1</v>
      </c>
      <c r="O153">
        <f t="shared" si="11"/>
        <v>0</v>
      </c>
      <c r="P153">
        <f t="shared" si="12"/>
        <v>0</v>
      </c>
      <c r="Q153">
        <f t="shared" si="13"/>
        <v>0</v>
      </c>
      <c r="R153">
        <f t="shared" si="14"/>
        <v>0</v>
      </c>
    </row>
    <row r="154" spans="1:18" ht="51" x14ac:dyDescent="0.2">
      <c r="A154">
        <v>153</v>
      </c>
      <c r="B154" s="1" t="s">
        <v>804</v>
      </c>
      <c r="C154" t="s">
        <v>125</v>
      </c>
      <c r="E154">
        <v>1</v>
      </c>
      <c r="F154">
        <v>1</v>
      </c>
      <c r="I154" s="12"/>
      <c r="J154" s="12">
        <v>1</v>
      </c>
      <c r="K154" s="12">
        <v>1</v>
      </c>
      <c r="L154" s="12"/>
      <c r="M154" s="12"/>
      <c r="N154">
        <f t="shared" si="10"/>
        <v>0</v>
      </c>
      <c r="O154">
        <f t="shared" si="11"/>
        <v>1</v>
      </c>
      <c r="P154">
        <f t="shared" si="12"/>
        <v>1</v>
      </c>
      <c r="Q154">
        <f t="shared" si="13"/>
        <v>0</v>
      </c>
      <c r="R154">
        <f t="shared" si="14"/>
        <v>0</v>
      </c>
    </row>
    <row r="155" spans="1:18" ht="51" x14ac:dyDescent="0.2">
      <c r="A155">
        <v>154</v>
      </c>
      <c r="B155" s="1" t="s">
        <v>809</v>
      </c>
      <c r="C155" t="s">
        <v>111</v>
      </c>
      <c r="D155">
        <v>1</v>
      </c>
      <c r="I155" s="12">
        <v>1</v>
      </c>
      <c r="J155" s="12"/>
      <c r="K155" s="12"/>
      <c r="L155" s="12"/>
      <c r="M155" s="12"/>
      <c r="N155">
        <f t="shared" si="10"/>
        <v>1</v>
      </c>
      <c r="O155">
        <f t="shared" si="11"/>
        <v>0</v>
      </c>
      <c r="P155">
        <f t="shared" si="12"/>
        <v>0</v>
      </c>
      <c r="Q155">
        <f t="shared" si="13"/>
        <v>0</v>
      </c>
      <c r="R155">
        <f t="shared" si="14"/>
        <v>0</v>
      </c>
    </row>
    <row r="156" spans="1:18" ht="34" x14ac:dyDescent="0.2">
      <c r="A156">
        <v>155</v>
      </c>
      <c r="B156" s="1" t="s">
        <v>813</v>
      </c>
      <c r="C156" t="s">
        <v>105</v>
      </c>
      <c r="D156">
        <v>1</v>
      </c>
      <c r="I156" s="12">
        <v>1</v>
      </c>
      <c r="J156" s="12"/>
      <c r="K156" s="12"/>
      <c r="L156" s="12"/>
      <c r="M156" s="12"/>
      <c r="N156">
        <f t="shared" si="10"/>
        <v>1</v>
      </c>
      <c r="O156">
        <f t="shared" si="11"/>
        <v>0</v>
      </c>
      <c r="P156">
        <f t="shared" si="12"/>
        <v>0</v>
      </c>
      <c r="Q156">
        <f t="shared" si="13"/>
        <v>0</v>
      </c>
      <c r="R156">
        <f t="shared" si="14"/>
        <v>0</v>
      </c>
    </row>
    <row r="157" spans="1:18" ht="102" x14ac:dyDescent="0.2">
      <c r="A157">
        <v>156</v>
      </c>
      <c r="B157" s="1" t="s">
        <v>817</v>
      </c>
      <c r="C157" t="s">
        <v>105</v>
      </c>
      <c r="D157">
        <v>1</v>
      </c>
      <c r="I157" s="12">
        <v>1</v>
      </c>
      <c r="J157" s="12"/>
      <c r="K157" s="12"/>
      <c r="L157" s="12"/>
      <c r="M157" s="12"/>
      <c r="N157">
        <f t="shared" si="10"/>
        <v>1</v>
      </c>
      <c r="O157">
        <f t="shared" si="11"/>
        <v>0</v>
      </c>
      <c r="P157">
        <f t="shared" si="12"/>
        <v>0</v>
      </c>
      <c r="Q157">
        <f t="shared" si="13"/>
        <v>0</v>
      </c>
      <c r="R157">
        <f t="shared" si="14"/>
        <v>0</v>
      </c>
    </row>
    <row r="158" spans="1:18" ht="51" x14ac:dyDescent="0.2">
      <c r="A158">
        <v>157</v>
      </c>
      <c r="B158" s="1" t="s">
        <v>821</v>
      </c>
      <c r="C158" t="s">
        <v>111</v>
      </c>
      <c r="E158">
        <v>1</v>
      </c>
      <c r="F158">
        <v>1</v>
      </c>
      <c r="I158" s="12"/>
      <c r="J158" s="12">
        <v>1</v>
      </c>
      <c r="K158" s="12">
        <v>1</v>
      </c>
      <c r="L158" s="12"/>
      <c r="M158" s="12"/>
      <c r="N158">
        <f t="shared" si="10"/>
        <v>0</v>
      </c>
      <c r="O158">
        <f t="shared" si="11"/>
        <v>1</v>
      </c>
      <c r="P158">
        <f t="shared" si="12"/>
        <v>1</v>
      </c>
      <c r="Q158">
        <f t="shared" si="13"/>
        <v>0</v>
      </c>
      <c r="R158">
        <f t="shared" si="14"/>
        <v>0</v>
      </c>
    </row>
    <row r="159" spans="1:18" ht="51" x14ac:dyDescent="0.2">
      <c r="A159">
        <v>158</v>
      </c>
      <c r="B159" s="1" t="s">
        <v>825</v>
      </c>
      <c r="C159" t="s">
        <v>97</v>
      </c>
      <c r="I159" s="12">
        <v>1</v>
      </c>
      <c r="J159" s="12"/>
      <c r="K159" s="12"/>
      <c r="L159" s="12"/>
      <c r="M159" s="12"/>
      <c r="N159" t="str">
        <f t="shared" si="10"/>
        <v>Disagree</v>
      </c>
      <c r="O159">
        <f t="shared" si="11"/>
        <v>0</v>
      </c>
      <c r="P159">
        <f t="shared" si="12"/>
        <v>0</v>
      </c>
      <c r="Q159">
        <f t="shared" si="13"/>
        <v>0</v>
      </c>
      <c r="R159">
        <f t="shared" si="14"/>
        <v>0</v>
      </c>
    </row>
    <row r="160" spans="1:18" ht="34" x14ac:dyDescent="0.2">
      <c r="A160">
        <v>159</v>
      </c>
      <c r="B160" s="1" t="s">
        <v>829</v>
      </c>
      <c r="C160" t="s">
        <v>97</v>
      </c>
      <c r="I160" s="12">
        <v>1</v>
      </c>
      <c r="J160" s="12"/>
      <c r="K160" s="12"/>
      <c r="L160" s="12"/>
      <c r="M160" s="12"/>
      <c r="N160" t="str">
        <f t="shared" si="10"/>
        <v>Disagree</v>
      </c>
      <c r="O160">
        <f t="shared" si="11"/>
        <v>0</v>
      </c>
      <c r="P160">
        <f t="shared" si="12"/>
        <v>0</v>
      </c>
      <c r="Q160">
        <f t="shared" si="13"/>
        <v>0</v>
      </c>
      <c r="R160">
        <f t="shared" si="14"/>
        <v>0</v>
      </c>
    </row>
    <row r="161" spans="1:18" ht="34" x14ac:dyDescent="0.2">
      <c r="A161">
        <v>160</v>
      </c>
      <c r="B161" s="1" t="s">
        <v>833</v>
      </c>
      <c r="C161" t="s">
        <v>111</v>
      </c>
      <c r="I161" s="12"/>
      <c r="J161" s="12">
        <v>1</v>
      </c>
      <c r="K161" s="12">
        <v>1</v>
      </c>
      <c r="L161" s="12"/>
      <c r="M161" s="12"/>
      <c r="N161">
        <f t="shared" si="10"/>
        <v>0</v>
      </c>
      <c r="O161" t="str">
        <f t="shared" si="11"/>
        <v>Disagree</v>
      </c>
      <c r="P161" t="str">
        <f t="shared" si="12"/>
        <v>Disagree</v>
      </c>
      <c r="Q161">
        <f t="shared" si="13"/>
        <v>0</v>
      </c>
      <c r="R161">
        <f t="shared" si="14"/>
        <v>0</v>
      </c>
    </row>
    <row r="162" spans="1:18" ht="34" x14ac:dyDescent="0.2">
      <c r="A162">
        <v>161</v>
      </c>
      <c r="B162" s="1" t="s">
        <v>837</v>
      </c>
      <c r="C162" t="s">
        <v>97</v>
      </c>
      <c r="D162">
        <v>1</v>
      </c>
      <c r="I162" s="12">
        <v>1</v>
      </c>
      <c r="J162" s="12"/>
      <c r="K162" s="12"/>
      <c r="L162" s="12"/>
      <c r="M162" s="12"/>
      <c r="N162">
        <f t="shared" si="10"/>
        <v>1</v>
      </c>
      <c r="O162">
        <f t="shared" si="11"/>
        <v>0</v>
      </c>
      <c r="P162">
        <f t="shared" si="12"/>
        <v>0</v>
      </c>
      <c r="Q162">
        <f t="shared" si="13"/>
        <v>0</v>
      </c>
      <c r="R162">
        <f t="shared" si="14"/>
        <v>0</v>
      </c>
    </row>
    <row r="163" spans="1:18" ht="136" x14ac:dyDescent="0.2">
      <c r="A163">
        <v>162</v>
      </c>
      <c r="B163" s="1" t="s">
        <v>841</v>
      </c>
      <c r="C163" t="s">
        <v>97</v>
      </c>
      <c r="D163">
        <v>1</v>
      </c>
      <c r="I163" s="12">
        <v>1</v>
      </c>
      <c r="J163" s="12"/>
      <c r="K163" s="12"/>
      <c r="L163" s="12"/>
      <c r="M163" s="12"/>
      <c r="N163">
        <f t="shared" si="10"/>
        <v>1</v>
      </c>
      <c r="O163">
        <f t="shared" si="11"/>
        <v>0</v>
      </c>
      <c r="P163">
        <f t="shared" si="12"/>
        <v>0</v>
      </c>
      <c r="Q163">
        <f t="shared" si="13"/>
        <v>0</v>
      </c>
      <c r="R163">
        <f t="shared" si="14"/>
        <v>0</v>
      </c>
    </row>
    <row r="164" spans="1:18" ht="51" x14ac:dyDescent="0.2">
      <c r="A164">
        <v>163</v>
      </c>
      <c r="B164" s="1" t="s">
        <v>845</v>
      </c>
      <c r="C164" t="s">
        <v>111</v>
      </c>
      <c r="E164">
        <v>1</v>
      </c>
      <c r="F164">
        <v>1</v>
      </c>
      <c r="I164" s="12"/>
      <c r="J164" s="12">
        <v>1</v>
      </c>
      <c r="K164" s="12">
        <v>1</v>
      </c>
      <c r="L164" s="12"/>
      <c r="M164" s="12"/>
      <c r="N164">
        <f t="shared" si="10"/>
        <v>0</v>
      </c>
      <c r="O164">
        <f t="shared" si="11"/>
        <v>1</v>
      </c>
      <c r="P164">
        <f t="shared" si="12"/>
        <v>1</v>
      </c>
      <c r="Q164">
        <f t="shared" si="13"/>
        <v>0</v>
      </c>
      <c r="R164">
        <f t="shared" si="14"/>
        <v>0</v>
      </c>
    </row>
    <row r="165" spans="1:18" ht="85" x14ac:dyDescent="0.2">
      <c r="A165">
        <v>164</v>
      </c>
      <c r="B165" s="1" t="s">
        <v>849</v>
      </c>
      <c r="C165" t="s">
        <v>111</v>
      </c>
      <c r="E165">
        <v>1</v>
      </c>
      <c r="F165">
        <v>1</v>
      </c>
      <c r="I165" s="12"/>
      <c r="J165" s="12">
        <v>1</v>
      </c>
      <c r="K165" s="12">
        <v>1</v>
      </c>
      <c r="L165" s="12"/>
      <c r="M165" s="12"/>
      <c r="N165">
        <f t="shared" si="10"/>
        <v>0</v>
      </c>
      <c r="O165">
        <f t="shared" si="11"/>
        <v>1</v>
      </c>
      <c r="P165">
        <f t="shared" si="12"/>
        <v>1</v>
      </c>
      <c r="Q165">
        <f t="shared" si="13"/>
        <v>0</v>
      </c>
      <c r="R165">
        <f t="shared" si="14"/>
        <v>0</v>
      </c>
    </row>
    <row r="166" spans="1:18" ht="17" x14ac:dyDescent="0.2">
      <c r="A166">
        <v>165</v>
      </c>
      <c r="B166" s="1" t="s">
        <v>853</v>
      </c>
      <c r="C166" t="s">
        <v>111</v>
      </c>
      <c r="E166">
        <v>1</v>
      </c>
      <c r="F166">
        <v>1</v>
      </c>
      <c r="I166" s="12"/>
      <c r="J166" s="12">
        <v>1</v>
      </c>
      <c r="K166" s="12">
        <v>1</v>
      </c>
      <c r="L166" s="12"/>
      <c r="M166" s="12"/>
      <c r="N166">
        <f t="shared" si="10"/>
        <v>0</v>
      </c>
      <c r="O166">
        <f t="shared" si="11"/>
        <v>1</v>
      </c>
      <c r="P166">
        <f t="shared" si="12"/>
        <v>1</v>
      </c>
      <c r="Q166">
        <f t="shared" si="13"/>
        <v>0</v>
      </c>
      <c r="R166">
        <f t="shared" si="14"/>
        <v>0</v>
      </c>
    </row>
    <row r="167" spans="1:18" ht="34" x14ac:dyDescent="0.2">
      <c r="A167">
        <v>166</v>
      </c>
      <c r="B167" s="1" t="s">
        <v>857</v>
      </c>
      <c r="C167" t="s">
        <v>111</v>
      </c>
      <c r="E167">
        <v>1</v>
      </c>
      <c r="F167">
        <v>1</v>
      </c>
      <c r="I167" s="12"/>
      <c r="J167" s="12">
        <v>1</v>
      </c>
      <c r="K167" s="12">
        <v>1</v>
      </c>
      <c r="L167" s="12"/>
      <c r="M167" s="12"/>
      <c r="N167">
        <f t="shared" si="10"/>
        <v>0</v>
      </c>
      <c r="O167">
        <f t="shared" si="11"/>
        <v>1</v>
      </c>
      <c r="P167">
        <f t="shared" si="12"/>
        <v>1</v>
      </c>
      <c r="Q167">
        <f t="shared" si="13"/>
        <v>0</v>
      </c>
      <c r="R167">
        <f t="shared" si="14"/>
        <v>0</v>
      </c>
    </row>
    <row r="168" spans="1:18" ht="68" x14ac:dyDescent="0.2">
      <c r="A168">
        <v>167</v>
      </c>
      <c r="B168" s="1" t="s">
        <v>861</v>
      </c>
      <c r="C168" t="s">
        <v>97</v>
      </c>
      <c r="I168" s="12">
        <v>1</v>
      </c>
      <c r="J168" s="12"/>
      <c r="K168" s="12"/>
      <c r="L168" s="12"/>
      <c r="M168" s="12"/>
      <c r="N168" t="str">
        <f t="shared" si="10"/>
        <v>Disagree</v>
      </c>
      <c r="O168">
        <f t="shared" si="11"/>
        <v>0</v>
      </c>
      <c r="P168">
        <f t="shared" si="12"/>
        <v>0</v>
      </c>
      <c r="Q168">
        <f t="shared" si="13"/>
        <v>0</v>
      </c>
      <c r="R168">
        <f t="shared" si="14"/>
        <v>0</v>
      </c>
    </row>
    <row r="169" spans="1:18" ht="17" x14ac:dyDescent="0.2">
      <c r="A169">
        <v>168</v>
      </c>
      <c r="B169" s="1" t="s">
        <v>865</v>
      </c>
      <c r="C169" t="s">
        <v>111</v>
      </c>
      <c r="D169">
        <v>1</v>
      </c>
      <c r="I169" s="12">
        <v>1</v>
      </c>
      <c r="J169" s="12"/>
      <c r="K169" s="12"/>
      <c r="L169" s="12"/>
      <c r="M169" s="12"/>
      <c r="N169">
        <f t="shared" si="10"/>
        <v>1</v>
      </c>
      <c r="O169">
        <f t="shared" si="11"/>
        <v>0</v>
      </c>
      <c r="P169">
        <f t="shared" si="12"/>
        <v>0</v>
      </c>
      <c r="Q169">
        <f t="shared" si="13"/>
        <v>0</v>
      </c>
      <c r="R169">
        <f t="shared" si="14"/>
        <v>0</v>
      </c>
    </row>
    <row r="170" spans="1:18" ht="51" x14ac:dyDescent="0.2">
      <c r="A170">
        <v>169</v>
      </c>
      <c r="B170" s="1" t="s">
        <v>869</v>
      </c>
      <c r="C170" t="s">
        <v>105</v>
      </c>
      <c r="E170">
        <v>1</v>
      </c>
      <c r="F170">
        <v>1</v>
      </c>
      <c r="I170" s="12"/>
      <c r="J170" s="12">
        <v>1</v>
      </c>
      <c r="K170" s="12">
        <v>1</v>
      </c>
      <c r="L170" s="12"/>
      <c r="M170" s="12"/>
      <c r="N170">
        <f t="shared" si="10"/>
        <v>0</v>
      </c>
      <c r="O170">
        <f t="shared" si="11"/>
        <v>1</v>
      </c>
      <c r="P170">
        <f t="shared" si="12"/>
        <v>1</v>
      </c>
      <c r="Q170">
        <f t="shared" si="13"/>
        <v>0</v>
      </c>
      <c r="R170">
        <f t="shared" si="14"/>
        <v>0</v>
      </c>
    </row>
    <row r="171" spans="1:18" ht="68" x14ac:dyDescent="0.2">
      <c r="A171">
        <v>170</v>
      </c>
      <c r="B171" s="1" t="s">
        <v>873</v>
      </c>
      <c r="C171" t="s">
        <v>125</v>
      </c>
      <c r="E171">
        <v>1</v>
      </c>
      <c r="F171">
        <v>1</v>
      </c>
      <c r="H171">
        <v>1</v>
      </c>
      <c r="I171" s="12"/>
      <c r="J171" s="12">
        <v>1</v>
      </c>
      <c r="K171" s="12"/>
      <c r="L171" s="12"/>
      <c r="M171" s="12"/>
      <c r="N171">
        <f t="shared" si="10"/>
        <v>0</v>
      </c>
      <c r="O171">
        <f t="shared" si="11"/>
        <v>1</v>
      </c>
      <c r="P171" t="str">
        <f t="shared" si="12"/>
        <v>Disagree</v>
      </c>
      <c r="Q171">
        <f t="shared" si="13"/>
        <v>0</v>
      </c>
      <c r="R171" t="str">
        <f t="shared" si="14"/>
        <v>Disagree</v>
      </c>
    </row>
    <row r="172" spans="1:18" ht="51" x14ac:dyDescent="0.2">
      <c r="A172">
        <v>171</v>
      </c>
      <c r="B172" s="1" t="s">
        <v>877</v>
      </c>
      <c r="C172" t="s">
        <v>111</v>
      </c>
      <c r="E172">
        <v>1</v>
      </c>
      <c r="I172" s="12"/>
      <c r="J172" s="12">
        <v>1</v>
      </c>
      <c r="K172" s="12"/>
      <c r="L172" s="12"/>
      <c r="M172" s="12"/>
      <c r="N172">
        <f t="shared" si="10"/>
        <v>0</v>
      </c>
      <c r="O172">
        <f t="shared" si="11"/>
        <v>1</v>
      </c>
      <c r="P172">
        <f t="shared" si="12"/>
        <v>0</v>
      </c>
      <c r="Q172">
        <f t="shared" si="13"/>
        <v>0</v>
      </c>
      <c r="R172">
        <f t="shared" si="14"/>
        <v>0</v>
      </c>
    </row>
    <row r="173" spans="1:18" ht="51" x14ac:dyDescent="0.2">
      <c r="A173">
        <v>172</v>
      </c>
      <c r="B173" s="1" t="s">
        <v>881</v>
      </c>
      <c r="C173" t="s">
        <v>125</v>
      </c>
      <c r="E173">
        <v>1</v>
      </c>
      <c r="F173">
        <v>1</v>
      </c>
      <c r="I173" s="12"/>
      <c r="J173" s="12">
        <v>1</v>
      </c>
      <c r="K173" s="12"/>
      <c r="L173" s="12"/>
      <c r="M173" s="12"/>
      <c r="N173">
        <f t="shared" si="10"/>
        <v>0</v>
      </c>
      <c r="O173">
        <f t="shared" si="11"/>
        <v>1</v>
      </c>
      <c r="P173" t="str">
        <f t="shared" si="12"/>
        <v>Disagree</v>
      </c>
      <c r="Q173">
        <f t="shared" si="13"/>
        <v>0</v>
      </c>
      <c r="R173">
        <f t="shared" si="14"/>
        <v>0</v>
      </c>
    </row>
    <row r="174" spans="1:18" ht="51" x14ac:dyDescent="0.2">
      <c r="A174">
        <v>173</v>
      </c>
      <c r="B174" s="1" t="s">
        <v>885</v>
      </c>
      <c r="C174" t="s">
        <v>97</v>
      </c>
      <c r="D174">
        <v>1</v>
      </c>
      <c r="I174" s="12">
        <v>1</v>
      </c>
      <c r="J174" s="12"/>
      <c r="K174" s="12"/>
      <c r="L174" s="12"/>
      <c r="M174" s="12"/>
      <c r="N174">
        <f t="shared" si="10"/>
        <v>1</v>
      </c>
      <c r="O174">
        <f t="shared" si="11"/>
        <v>0</v>
      </c>
      <c r="P174">
        <f t="shared" si="12"/>
        <v>0</v>
      </c>
      <c r="Q174">
        <f t="shared" si="13"/>
        <v>0</v>
      </c>
      <c r="R174">
        <f t="shared" si="14"/>
        <v>0</v>
      </c>
    </row>
    <row r="175" spans="1:18" ht="34" x14ac:dyDescent="0.2">
      <c r="A175">
        <v>174</v>
      </c>
      <c r="B175" s="1" t="s">
        <v>889</v>
      </c>
      <c r="C175" t="s">
        <v>105</v>
      </c>
      <c r="D175">
        <v>1</v>
      </c>
      <c r="I175" s="12">
        <v>1</v>
      </c>
      <c r="J175" s="12"/>
      <c r="K175" s="12"/>
      <c r="L175" s="12"/>
      <c r="M175" s="12"/>
      <c r="N175">
        <f t="shared" si="10"/>
        <v>1</v>
      </c>
      <c r="O175">
        <f t="shared" si="11"/>
        <v>0</v>
      </c>
      <c r="P175">
        <f t="shared" si="12"/>
        <v>0</v>
      </c>
      <c r="Q175">
        <f t="shared" si="13"/>
        <v>0</v>
      </c>
      <c r="R175">
        <f t="shared" si="14"/>
        <v>0</v>
      </c>
    </row>
    <row r="176" spans="1:18" ht="68" x14ac:dyDescent="0.2">
      <c r="A176">
        <v>175</v>
      </c>
      <c r="B176" s="1" t="s">
        <v>893</v>
      </c>
      <c r="C176" t="s">
        <v>111</v>
      </c>
      <c r="E176">
        <v>1</v>
      </c>
      <c r="F176">
        <v>1</v>
      </c>
      <c r="I176" s="12"/>
      <c r="J176" s="12">
        <v>1</v>
      </c>
      <c r="K176" s="12"/>
      <c r="L176" s="12"/>
      <c r="M176" s="12"/>
      <c r="N176">
        <f t="shared" si="10"/>
        <v>0</v>
      </c>
      <c r="O176">
        <f t="shared" si="11"/>
        <v>1</v>
      </c>
      <c r="P176" t="str">
        <f t="shared" si="12"/>
        <v>Disagree</v>
      </c>
      <c r="Q176">
        <f t="shared" si="13"/>
        <v>0</v>
      </c>
      <c r="R176">
        <f t="shared" si="14"/>
        <v>0</v>
      </c>
    </row>
    <row r="177" spans="1:18" ht="17" x14ac:dyDescent="0.2">
      <c r="A177">
        <v>176</v>
      </c>
      <c r="B177" s="1" t="s">
        <v>897</v>
      </c>
      <c r="C177" t="s">
        <v>105</v>
      </c>
      <c r="D177">
        <v>1</v>
      </c>
      <c r="I177" s="12">
        <v>1</v>
      </c>
      <c r="J177" s="12"/>
      <c r="K177" s="12"/>
      <c r="L177" s="12"/>
      <c r="M177" s="12"/>
      <c r="N177">
        <f t="shared" si="10"/>
        <v>1</v>
      </c>
      <c r="O177">
        <f t="shared" si="11"/>
        <v>0</v>
      </c>
      <c r="P177">
        <f t="shared" si="12"/>
        <v>0</v>
      </c>
      <c r="Q177">
        <f t="shared" si="13"/>
        <v>0</v>
      </c>
      <c r="R177">
        <f t="shared" si="14"/>
        <v>0</v>
      </c>
    </row>
    <row r="178" spans="1:18" ht="51" x14ac:dyDescent="0.2">
      <c r="A178">
        <v>177</v>
      </c>
      <c r="B178" s="1" t="s">
        <v>901</v>
      </c>
      <c r="C178" t="s">
        <v>125</v>
      </c>
      <c r="I178" s="12"/>
      <c r="J178" s="12"/>
      <c r="K178" s="12"/>
      <c r="L178" s="12"/>
      <c r="M178" s="12"/>
      <c r="N178">
        <f t="shared" si="10"/>
        <v>0</v>
      </c>
      <c r="O178">
        <f t="shared" si="11"/>
        <v>0</v>
      </c>
      <c r="P178">
        <f t="shared" si="12"/>
        <v>0</v>
      </c>
      <c r="Q178">
        <f t="shared" si="13"/>
        <v>0</v>
      </c>
      <c r="R178">
        <f t="shared" si="14"/>
        <v>0</v>
      </c>
    </row>
    <row r="179" spans="1:18" ht="51" x14ac:dyDescent="0.2">
      <c r="A179">
        <v>178</v>
      </c>
      <c r="B179" s="1" t="s">
        <v>906</v>
      </c>
      <c r="C179" t="s">
        <v>111</v>
      </c>
      <c r="I179" s="12"/>
      <c r="J179" s="12"/>
      <c r="K179" s="12">
        <v>1</v>
      </c>
      <c r="L179" s="12"/>
      <c r="M179" s="12"/>
      <c r="N179">
        <f t="shared" si="10"/>
        <v>0</v>
      </c>
      <c r="O179">
        <f t="shared" si="11"/>
        <v>0</v>
      </c>
      <c r="P179" t="str">
        <f t="shared" si="12"/>
        <v>Disagree</v>
      </c>
      <c r="Q179">
        <f t="shared" si="13"/>
        <v>0</v>
      </c>
      <c r="R179">
        <f t="shared" si="14"/>
        <v>0</v>
      </c>
    </row>
    <row r="180" spans="1:18" ht="34" x14ac:dyDescent="0.2">
      <c r="A180">
        <v>179</v>
      </c>
      <c r="B180" s="1" t="s">
        <v>911</v>
      </c>
      <c r="C180" t="s">
        <v>125</v>
      </c>
      <c r="I180" s="12">
        <v>1</v>
      </c>
      <c r="J180" s="12"/>
      <c r="K180" s="12"/>
      <c r="L180" s="12"/>
      <c r="M180" s="12"/>
      <c r="N180" t="str">
        <f t="shared" si="10"/>
        <v>Disagree</v>
      </c>
      <c r="O180">
        <f t="shared" si="11"/>
        <v>0</v>
      </c>
      <c r="P180">
        <f t="shared" si="12"/>
        <v>0</v>
      </c>
      <c r="Q180">
        <f t="shared" si="13"/>
        <v>0</v>
      </c>
      <c r="R180">
        <f t="shared" si="14"/>
        <v>0</v>
      </c>
    </row>
    <row r="181" spans="1:18" ht="51" x14ac:dyDescent="0.2">
      <c r="A181">
        <v>180</v>
      </c>
      <c r="B181" s="1" t="s">
        <v>917</v>
      </c>
      <c r="C181" t="s">
        <v>125</v>
      </c>
      <c r="E181">
        <v>1</v>
      </c>
      <c r="F181">
        <v>1</v>
      </c>
      <c r="I181" s="12"/>
      <c r="J181" s="12">
        <v>1</v>
      </c>
      <c r="K181" s="12">
        <v>1</v>
      </c>
      <c r="L181" s="12"/>
      <c r="M181" s="12"/>
      <c r="N181">
        <f t="shared" si="10"/>
        <v>0</v>
      </c>
      <c r="O181">
        <f t="shared" si="11"/>
        <v>1</v>
      </c>
      <c r="P181">
        <f t="shared" si="12"/>
        <v>1</v>
      </c>
      <c r="Q181">
        <f t="shared" si="13"/>
        <v>0</v>
      </c>
      <c r="R181">
        <f t="shared" si="14"/>
        <v>0</v>
      </c>
    </row>
    <row r="182" spans="1:18" ht="17" x14ac:dyDescent="0.2">
      <c r="A182">
        <v>181</v>
      </c>
      <c r="B182" s="1" t="s">
        <v>921</v>
      </c>
      <c r="C182" t="s">
        <v>125</v>
      </c>
      <c r="I182" s="12">
        <v>1</v>
      </c>
      <c r="J182" s="12"/>
      <c r="K182" s="12"/>
      <c r="L182" s="12"/>
      <c r="M182" s="12"/>
      <c r="N182" t="str">
        <f t="shared" si="10"/>
        <v>Disagree</v>
      </c>
      <c r="O182">
        <f t="shared" si="11"/>
        <v>0</v>
      </c>
      <c r="P182">
        <f t="shared" si="12"/>
        <v>0</v>
      </c>
      <c r="Q182">
        <f t="shared" si="13"/>
        <v>0</v>
      </c>
      <c r="R182">
        <f t="shared" si="14"/>
        <v>0</v>
      </c>
    </row>
    <row r="183" spans="1:18" ht="34" x14ac:dyDescent="0.2">
      <c r="A183">
        <v>182</v>
      </c>
      <c r="B183" s="1" t="s">
        <v>925</v>
      </c>
      <c r="C183" t="s">
        <v>97</v>
      </c>
      <c r="D183">
        <v>1</v>
      </c>
      <c r="I183" s="12">
        <v>1</v>
      </c>
      <c r="J183" s="12"/>
      <c r="K183" s="12"/>
      <c r="L183" s="12"/>
      <c r="M183" s="12"/>
      <c r="N183">
        <f t="shared" si="10"/>
        <v>1</v>
      </c>
      <c r="O183">
        <f t="shared" si="11"/>
        <v>0</v>
      </c>
      <c r="P183">
        <f t="shared" si="12"/>
        <v>0</v>
      </c>
      <c r="Q183">
        <f t="shared" si="13"/>
        <v>0</v>
      </c>
      <c r="R183">
        <f t="shared" si="14"/>
        <v>0</v>
      </c>
    </row>
    <row r="184" spans="1:18" ht="17" x14ac:dyDescent="0.2">
      <c r="A184">
        <v>183</v>
      </c>
      <c r="B184" s="1" t="s">
        <v>930</v>
      </c>
      <c r="C184" t="s">
        <v>125</v>
      </c>
      <c r="E184">
        <v>1</v>
      </c>
      <c r="F184">
        <v>1</v>
      </c>
      <c r="I184" s="12"/>
      <c r="J184" s="12">
        <v>1</v>
      </c>
      <c r="K184" s="12"/>
      <c r="L184" s="12"/>
      <c r="M184" s="12"/>
      <c r="N184">
        <f t="shared" si="10"/>
        <v>0</v>
      </c>
      <c r="O184">
        <f t="shared" si="11"/>
        <v>1</v>
      </c>
      <c r="P184" t="str">
        <f t="shared" si="12"/>
        <v>Disagree</v>
      </c>
      <c r="Q184">
        <f t="shared" si="13"/>
        <v>0</v>
      </c>
      <c r="R184">
        <f t="shared" si="14"/>
        <v>0</v>
      </c>
    </row>
    <row r="185" spans="1:18" ht="34" x14ac:dyDescent="0.2">
      <c r="A185">
        <v>184</v>
      </c>
      <c r="B185" s="1" t="s">
        <v>935</v>
      </c>
      <c r="C185" t="s">
        <v>105</v>
      </c>
      <c r="D185">
        <v>1</v>
      </c>
      <c r="I185" s="12">
        <v>1</v>
      </c>
      <c r="J185" s="12"/>
      <c r="K185" s="12"/>
      <c r="L185" s="12"/>
      <c r="M185" s="12"/>
      <c r="N185">
        <f t="shared" si="10"/>
        <v>1</v>
      </c>
      <c r="O185">
        <f t="shared" si="11"/>
        <v>0</v>
      </c>
      <c r="P185">
        <f t="shared" si="12"/>
        <v>0</v>
      </c>
      <c r="Q185">
        <f t="shared" si="13"/>
        <v>0</v>
      </c>
      <c r="R185">
        <f t="shared" si="14"/>
        <v>0</v>
      </c>
    </row>
    <row r="186" spans="1:18" ht="17" x14ac:dyDescent="0.2">
      <c r="A186">
        <v>185</v>
      </c>
      <c r="B186" s="1" t="s">
        <v>939</v>
      </c>
      <c r="C186" t="s">
        <v>97</v>
      </c>
      <c r="I186" s="12"/>
      <c r="J186" s="12"/>
      <c r="K186" s="12"/>
      <c r="L186" s="12"/>
      <c r="M186" s="12"/>
      <c r="N186">
        <f t="shared" si="10"/>
        <v>0</v>
      </c>
      <c r="O186">
        <f t="shared" si="11"/>
        <v>0</v>
      </c>
      <c r="P186">
        <f t="shared" si="12"/>
        <v>0</v>
      </c>
      <c r="Q186">
        <f t="shared" si="13"/>
        <v>0</v>
      </c>
      <c r="R186">
        <f t="shared" si="14"/>
        <v>0</v>
      </c>
    </row>
    <row r="187" spans="1:18" ht="34" x14ac:dyDescent="0.2">
      <c r="A187">
        <v>186</v>
      </c>
      <c r="B187" s="1" t="s">
        <v>943</v>
      </c>
      <c r="C187" t="s">
        <v>111</v>
      </c>
      <c r="D187">
        <v>1</v>
      </c>
      <c r="I187" s="12">
        <v>1</v>
      </c>
      <c r="J187" s="12"/>
      <c r="K187" s="12"/>
      <c r="L187" s="12"/>
      <c r="M187" s="12"/>
      <c r="N187">
        <f t="shared" si="10"/>
        <v>1</v>
      </c>
      <c r="O187">
        <f t="shared" si="11"/>
        <v>0</v>
      </c>
      <c r="P187">
        <f t="shared" si="12"/>
        <v>0</v>
      </c>
      <c r="Q187">
        <f t="shared" si="13"/>
        <v>0</v>
      </c>
      <c r="R187">
        <f t="shared" si="14"/>
        <v>0</v>
      </c>
    </row>
    <row r="188" spans="1:18" ht="51" x14ac:dyDescent="0.2">
      <c r="A188">
        <v>187</v>
      </c>
      <c r="B188" s="1" t="s">
        <v>953</v>
      </c>
      <c r="C188" t="s">
        <v>105</v>
      </c>
      <c r="D188">
        <v>1</v>
      </c>
      <c r="I188" s="12">
        <v>1</v>
      </c>
      <c r="J188" s="12"/>
      <c r="K188" s="12"/>
      <c r="L188" s="12"/>
      <c r="M188" s="12"/>
      <c r="N188">
        <f t="shared" si="10"/>
        <v>1</v>
      </c>
      <c r="O188">
        <f t="shared" si="11"/>
        <v>0</v>
      </c>
      <c r="P188">
        <f t="shared" si="12"/>
        <v>0</v>
      </c>
      <c r="Q188">
        <f t="shared" si="13"/>
        <v>0</v>
      </c>
      <c r="R188">
        <f t="shared" si="14"/>
        <v>0</v>
      </c>
    </row>
    <row r="189" spans="1:18" ht="34" x14ac:dyDescent="0.2">
      <c r="A189">
        <v>188</v>
      </c>
      <c r="B189" s="1" t="s">
        <v>959</v>
      </c>
      <c r="C189" t="s">
        <v>97</v>
      </c>
      <c r="D189">
        <v>1</v>
      </c>
      <c r="I189" s="12">
        <v>1</v>
      </c>
      <c r="J189" s="12"/>
      <c r="K189" s="12"/>
      <c r="L189" s="12"/>
      <c r="M189" s="12"/>
      <c r="N189">
        <f t="shared" si="10"/>
        <v>1</v>
      </c>
      <c r="O189">
        <f t="shared" si="11"/>
        <v>0</v>
      </c>
      <c r="P189">
        <f t="shared" si="12"/>
        <v>0</v>
      </c>
      <c r="Q189">
        <f t="shared" si="13"/>
        <v>0</v>
      </c>
      <c r="R189">
        <f t="shared" si="14"/>
        <v>0</v>
      </c>
    </row>
    <row r="190" spans="1:18" ht="68" x14ac:dyDescent="0.2">
      <c r="A190">
        <v>189</v>
      </c>
      <c r="B190" s="1" t="s">
        <v>963</v>
      </c>
      <c r="C190" t="s">
        <v>105</v>
      </c>
      <c r="I190" s="12">
        <v>1</v>
      </c>
      <c r="J190" s="12"/>
      <c r="K190" s="12"/>
      <c r="L190" s="12"/>
      <c r="M190" s="12"/>
      <c r="N190" t="str">
        <f t="shared" si="10"/>
        <v>Disagree</v>
      </c>
      <c r="O190">
        <f t="shared" si="11"/>
        <v>0</v>
      </c>
      <c r="P190">
        <f t="shared" si="12"/>
        <v>0</v>
      </c>
      <c r="Q190">
        <f t="shared" si="13"/>
        <v>0</v>
      </c>
      <c r="R190">
        <f t="shared" si="14"/>
        <v>0</v>
      </c>
    </row>
    <row r="191" spans="1:18" ht="34" x14ac:dyDescent="0.2">
      <c r="A191">
        <v>190</v>
      </c>
      <c r="B191" s="1" t="s">
        <v>967</v>
      </c>
      <c r="C191" t="s">
        <v>97</v>
      </c>
      <c r="D191">
        <v>1</v>
      </c>
      <c r="I191" s="12">
        <v>1</v>
      </c>
      <c r="J191" s="12"/>
      <c r="K191" s="12"/>
      <c r="L191" s="12"/>
      <c r="M191" s="12"/>
      <c r="N191">
        <f t="shared" si="10"/>
        <v>1</v>
      </c>
      <c r="O191">
        <f t="shared" si="11"/>
        <v>0</v>
      </c>
      <c r="P191">
        <f t="shared" si="12"/>
        <v>0</v>
      </c>
      <c r="Q191">
        <f t="shared" si="13"/>
        <v>0</v>
      </c>
      <c r="R191">
        <f t="shared" si="14"/>
        <v>0</v>
      </c>
    </row>
    <row r="192" spans="1:18" ht="17" x14ac:dyDescent="0.2">
      <c r="A192">
        <v>191</v>
      </c>
      <c r="B192" s="1" t="s">
        <v>971</v>
      </c>
      <c r="C192" t="s">
        <v>125</v>
      </c>
      <c r="I192" s="12"/>
      <c r="J192" s="12"/>
      <c r="K192" s="12"/>
      <c r="L192" s="12"/>
      <c r="M192" s="12"/>
      <c r="N192">
        <f t="shared" si="10"/>
        <v>0</v>
      </c>
      <c r="O192">
        <f t="shared" si="11"/>
        <v>0</v>
      </c>
      <c r="P192">
        <f t="shared" si="12"/>
        <v>0</v>
      </c>
      <c r="Q192">
        <f t="shared" si="13"/>
        <v>0</v>
      </c>
      <c r="R192">
        <f t="shared" si="14"/>
        <v>0</v>
      </c>
    </row>
    <row r="193" spans="1:18" ht="34" x14ac:dyDescent="0.2">
      <c r="A193">
        <v>192</v>
      </c>
      <c r="B193" s="1" t="s">
        <v>979</v>
      </c>
      <c r="C193" t="s">
        <v>105</v>
      </c>
      <c r="D193">
        <v>1</v>
      </c>
      <c r="I193" s="12">
        <v>1</v>
      </c>
      <c r="J193" s="12"/>
      <c r="K193" s="12"/>
      <c r="L193" s="12"/>
      <c r="M193" s="12"/>
      <c r="N193">
        <f t="shared" si="10"/>
        <v>1</v>
      </c>
      <c r="O193">
        <f t="shared" si="11"/>
        <v>0</v>
      </c>
      <c r="P193">
        <f t="shared" si="12"/>
        <v>0</v>
      </c>
      <c r="Q193">
        <f t="shared" si="13"/>
        <v>0</v>
      </c>
      <c r="R193">
        <f t="shared" si="14"/>
        <v>0</v>
      </c>
    </row>
    <row r="194" spans="1:18" ht="34" x14ac:dyDescent="0.2">
      <c r="A194">
        <v>193</v>
      </c>
      <c r="B194" s="1" t="s">
        <v>985</v>
      </c>
      <c r="C194" t="s">
        <v>125</v>
      </c>
      <c r="I194" s="12"/>
      <c r="J194" s="12"/>
      <c r="K194" s="12"/>
      <c r="L194" s="12"/>
      <c r="M194" s="12"/>
      <c r="N194">
        <f t="shared" si="10"/>
        <v>0</v>
      </c>
      <c r="O194">
        <f t="shared" si="11"/>
        <v>0</v>
      </c>
      <c r="P194">
        <f t="shared" si="12"/>
        <v>0</v>
      </c>
      <c r="Q194">
        <f t="shared" si="13"/>
        <v>0</v>
      </c>
      <c r="R194">
        <f t="shared" si="14"/>
        <v>0</v>
      </c>
    </row>
    <row r="195" spans="1:18" ht="34" x14ac:dyDescent="0.2">
      <c r="A195">
        <v>194</v>
      </c>
      <c r="B195" s="1" t="s">
        <v>989</v>
      </c>
      <c r="C195" t="s">
        <v>105</v>
      </c>
      <c r="D195">
        <v>1</v>
      </c>
      <c r="I195" s="12">
        <v>1</v>
      </c>
      <c r="J195" s="12"/>
      <c r="K195" s="12"/>
      <c r="L195" s="12"/>
      <c r="M195" s="12"/>
      <c r="N195">
        <f t="shared" ref="N195:N258" si="15">IF(D195=I195,D195,"Disagree")</f>
        <v>1</v>
      </c>
      <c r="O195">
        <f t="shared" ref="O195:O258" si="16">IF(E195=J195,E195,"Disagree")</f>
        <v>0</v>
      </c>
      <c r="P195">
        <f t="shared" ref="P195:P258" si="17">IF(F195=K195,F195,"Disagree")</f>
        <v>0</v>
      </c>
      <c r="Q195">
        <f t="shared" ref="Q195:Q258" si="18">IF(G195=L195,G195,"Disagree")</f>
        <v>0</v>
      </c>
      <c r="R195">
        <f t="shared" ref="R195:R258" si="19">IF(H195=M195,H195,"Disagree")</f>
        <v>0</v>
      </c>
    </row>
    <row r="196" spans="1:18" ht="34" x14ac:dyDescent="0.2">
      <c r="A196">
        <v>195</v>
      </c>
      <c r="B196" s="1" t="s">
        <v>995</v>
      </c>
      <c r="C196" t="s">
        <v>125</v>
      </c>
      <c r="E196">
        <v>1</v>
      </c>
      <c r="I196" s="12"/>
      <c r="J196" s="12">
        <v>1</v>
      </c>
      <c r="K196" s="12"/>
      <c r="L196" s="12"/>
      <c r="M196" s="12"/>
      <c r="N196">
        <f t="shared" si="15"/>
        <v>0</v>
      </c>
      <c r="O196">
        <f t="shared" si="16"/>
        <v>1</v>
      </c>
      <c r="P196">
        <f t="shared" si="17"/>
        <v>0</v>
      </c>
      <c r="Q196">
        <f t="shared" si="18"/>
        <v>0</v>
      </c>
      <c r="R196">
        <f t="shared" si="19"/>
        <v>0</v>
      </c>
    </row>
    <row r="197" spans="1:18" ht="68" x14ac:dyDescent="0.2">
      <c r="A197">
        <v>196</v>
      </c>
      <c r="B197" s="1" t="s">
        <v>999</v>
      </c>
      <c r="C197" t="s">
        <v>111</v>
      </c>
      <c r="E197">
        <v>1</v>
      </c>
      <c r="F197">
        <v>1</v>
      </c>
      <c r="I197" s="12"/>
      <c r="J197" s="12">
        <v>1</v>
      </c>
      <c r="K197" s="12">
        <v>1</v>
      </c>
      <c r="L197" s="12"/>
      <c r="M197" s="12"/>
      <c r="N197">
        <f t="shared" si="15"/>
        <v>0</v>
      </c>
      <c r="O197">
        <f t="shared" si="16"/>
        <v>1</v>
      </c>
      <c r="P197">
        <f t="shared" si="17"/>
        <v>1</v>
      </c>
      <c r="Q197">
        <f t="shared" si="18"/>
        <v>0</v>
      </c>
      <c r="R197">
        <f t="shared" si="19"/>
        <v>0</v>
      </c>
    </row>
    <row r="198" spans="1:18" ht="17" x14ac:dyDescent="0.2">
      <c r="A198">
        <v>197</v>
      </c>
      <c r="B198" s="1" t="s">
        <v>1004</v>
      </c>
      <c r="C198" t="s">
        <v>125</v>
      </c>
      <c r="E198">
        <v>1</v>
      </c>
      <c r="F198">
        <v>1</v>
      </c>
      <c r="I198" s="12"/>
      <c r="J198" s="12">
        <v>1</v>
      </c>
      <c r="K198" s="12">
        <v>1</v>
      </c>
      <c r="L198" s="12"/>
      <c r="M198" s="12"/>
      <c r="N198">
        <f t="shared" si="15"/>
        <v>0</v>
      </c>
      <c r="O198">
        <f t="shared" si="16"/>
        <v>1</v>
      </c>
      <c r="P198">
        <f t="shared" si="17"/>
        <v>1</v>
      </c>
      <c r="Q198">
        <f t="shared" si="18"/>
        <v>0</v>
      </c>
      <c r="R198">
        <f t="shared" si="19"/>
        <v>0</v>
      </c>
    </row>
    <row r="199" spans="1:18" ht="51" x14ac:dyDescent="0.2">
      <c r="A199">
        <v>198</v>
      </c>
      <c r="B199" s="1" t="s">
        <v>1009</v>
      </c>
      <c r="C199" t="s">
        <v>125</v>
      </c>
      <c r="E199">
        <v>1</v>
      </c>
      <c r="F199">
        <v>1</v>
      </c>
      <c r="I199" s="12"/>
      <c r="J199" s="12">
        <v>1</v>
      </c>
      <c r="K199" s="12">
        <v>1</v>
      </c>
      <c r="L199" s="12"/>
      <c r="M199" s="12"/>
      <c r="N199">
        <f t="shared" si="15"/>
        <v>0</v>
      </c>
      <c r="O199">
        <f t="shared" si="16"/>
        <v>1</v>
      </c>
      <c r="P199">
        <f t="shared" si="17"/>
        <v>1</v>
      </c>
      <c r="Q199">
        <f t="shared" si="18"/>
        <v>0</v>
      </c>
      <c r="R199">
        <f t="shared" si="19"/>
        <v>0</v>
      </c>
    </row>
    <row r="200" spans="1:18" ht="85" x14ac:dyDescent="0.2">
      <c r="A200">
        <v>199</v>
      </c>
      <c r="B200" s="1" t="s">
        <v>1013</v>
      </c>
      <c r="C200" t="s">
        <v>111</v>
      </c>
      <c r="E200">
        <v>1</v>
      </c>
      <c r="I200" s="12"/>
      <c r="J200" s="12">
        <v>1</v>
      </c>
      <c r="K200" s="12"/>
      <c r="L200" s="12"/>
      <c r="M200" s="12"/>
      <c r="N200">
        <f t="shared" si="15"/>
        <v>0</v>
      </c>
      <c r="O200">
        <f t="shared" si="16"/>
        <v>1</v>
      </c>
      <c r="P200">
        <f t="shared" si="17"/>
        <v>0</v>
      </c>
      <c r="Q200">
        <f t="shared" si="18"/>
        <v>0</v>
      </c>
      <c r="R200">
        <f t="shared" si="19"/>
        <v>0</v>
      </c>
    </row>
    <row r="201" spans="1:18" ht="17" x14ac:dyDescent="0.2">
      <c r="A201">
        <v>200</v>
      </c>
      <c r="B201" s="1" t="s">
        <v>1017</v>
      </c>
      <c r="C201" t="s">
        <v>111</v>
      </c>
      <c r="I201" s="12"/>
      <c r="J201" s="12"/>
      <c r="K201" s="12"/>
      <c r="L201" s="12"/>
      <c r="M201" s="12"/>
      <c r="N201">
        <f t="shared" si="15"/>
        <v>0</v>
      </c>
      <c r="O201">
        <f t="shared" si="16"/>
        <v>0</v>
      </c>
      <c r="P201">
        <f t="shared" si="17"/>
        <v>0</v>
      </c>
      <c r="Q201">
        <f t="shared" si="18"/>
        <v>0</v>
      </c>
      <c r="R201">
        <f t="shared" si="19"/>
        <v>0</v>
      </c>
    </row>
    <row r="202" spans="1:18" ht="51" x14ac:dyDescent="0.2">
      <c r="A202">
        <v>201</v>
      </c>
      <c r="B202" s="1" t="s">
        <v>1022</v>
      </c>
      <c r="C202" t="s">
        <v>125</v>
      </c>
      <c r="I202" s="12"/>
      <c r="J202" s="12"/>
      <c r="K202" s="12"/>
      <c r="L202" s="12"/>
      <c r="M202" s="12"/>
      <c r="N202">
        <f t="shared" si="15"/>
        <v>0</v>
      </c>
      <c r="O202">
        <f t="shared" si="16"/>
        <v>0</v>
      </c>
      <c r="P202">
        <f t="shared" si="17"/>
        <v>0</v>
      </c>
      <c r="Q202">
        <f t="shared" si="18"/>
        <v>0</v>
      </c>
      <c r="R202">
        <f t="shared" si="19"/>
        <v>0</v>
      </c>
    </row>
    <row r="203" spans="1:18" ht="17" x14ac:dyDescent="0.2">
      <c r="A203">
        <v>202</v>
      </c>
      <c r="B203" s="1" t="s">
        <v>1026</v>
      </c>
      <c r="C203" t="s">
        <v>111</v>
      </c>
      <c r="D203">
        <v>1</v>
      </c>
      <c r="I203" s="12">
        <v>1</v>
      </c>
      <c r="J203" s="12"/>
      <c r="K203" s="12"/>
      <c r="L203" s="12"/>
      <c r="M203" s="12"/>
      <c r="N203">
        <f t="shared" si="15"/>
        <v>1</v>
      </c>
      <c r="O203">
        <f t="shared" si="16"/>
        <v>0</v>
      </c>
      <c r="P203">
        <f t="shared" si="17"/>
        <v>0</v>
      </c>
      <c r="Q203">
        <f t="shared" si="18"/>
        <v>0</v>
      </c>
      <c r="R203">
        <f t="shared" si="19"/>
        <v>0</v>
      </c>
    </row>
    <row r="204" spans="1:18" ht="85" x14ac:dyDescent="0.2">
      <c r="A204">
        <v>203</v>
      </c>
      <c r="B204" s="1" t="s">
        <v>1030</v>
      </c>
      <c r="C204" t="s">
        <v>97</v>
      </c>
      <c r="D204">
        <v>1</v>
      </c>
      <c r="I204" s="12">
        <v>1</v>
      </c>
      <c r="J204" s="12"/>
      <c r="K204" s="12"/>
      <c r="L204" s="12"/>
      <c r="M204" s="12"/>
      <c r="N204">
        <f t="shared" si="15"/>
        <v>1</v>
      </c>
      <c r="O204">
        <f t="shared" si="16"/>
        <v>0</v>
      </c>
      <c r="P204">
        <f t="shared" si="17"/>
        <v>0</v>
      </c>
      <c r="Q204">
        <f t="shared" si="18"/>
        <v>0</v>
      </c>
      <c r="R204">
        <f t="shared" si="19"/>
        <v>0</v>
      </c>
    </row>
    <row r="205" spans="1:18" ht="68" x14ac:dyDescent="0.2">
      <c r="A205">
        <v>204</v>
      </c>
      <c r="B205" s="1" t="s">
        <v>1034</v>
      </c>
      <c r="C205" t="s">
        <v>105</v>
      </c>
      <c r="D205">
        <v>1</v>
      </c>
      <c r="I205" s="12">
        <v>1</v>
      </c>
      <c r="J205" s="12"/>
      <c r="K205" s="12"/>
      <c r="L205" s="12"/>
      <c r="M205" s="12"/>
      <c r="N205">
        <f t="shared" si="15"/>
        <v>1</v>
      </c>
      <c r="O205">
        <f t="shared" si="16"/>
        <v>0</v>
      </c>
      <c r="P205">
        <f t="shared" si="17"/>
        <v>0</v>
      </c>
      <c r="Q205">
        <f t="shared" si="18"/>
        <v>0</v>
      </c>
      <c r="R205">
        <f t="shared" si="19"/>
        <v>0</v>
      </c>
    </row>
    <row r="206" spans="1:18" ht="51" x14ac:dyDescent="0.2">
      <c r="A206">
        <v>205</v>
      </c>
      <c r="B206" s="1" t="s">
        <v>1038</v>
      </c>
      <c r="C206" t="s">
        <v>105</v>
      </c>
      <c r="D206">
        <v>1</v>
      </c>
      <c r="I206" s="12">
        <v>1</v>
      </c>
      <c r="J206" s="12"/>
      <c r="K206" s="12"/>
      <c r="L206" s="12"/>
      <c r="M206" s="12"/>
      <c r="N206">
        <f t="shared" si="15"/>
        <v>1</v>
      </c>
      <c r="O206">
        <f t="shared" si="16"/>
        <v>0</v>
      </c>
      <c r="P206">
        <f t="shared" si="17"/>
        <v>0</v>
      </c>
      <c r="Q206">
        <f t="shared" si="18"/>
        <v>0</v>
      </c>
      <c r="R206">
        <f t="shared" si="19"/>
        <v>0</v>
      </c>
    </row>
    <row r="207" spans="1:18" ht="17" x14ac:dyDescent="0.2">
      <c r="A207">
        <v>206</v>
      </c>
      <c r="B207" s="1" t="s">
        <v>1042</v>
      </c>
      <c r="C207" t="s">
        <v>111</v>
      </c>
      <c r="E207">
        <v>1</v>
      </c>
      <c r="F207">
        <v>1</v>
      </c>
      <c r="I207" s="12"/>
      <c r="J207" s="12">
        <v>1</v>
      </c>
      <c r="K207" s="12">
        <v>1</v>
      </c>
      <c r="L207" s="12"/>
      <c r="M207" s="12"/>
      <c r="N207">
        <f t="shared" si="15"/>
        <v>0</v>
      </c>
      <c r="O207">
        <f t="shared" si="16"/>
        <v>1</v>
      </c>
      <c r="P207">
        <f t="shared" si="17"/>
        <v>1</v>
      </c>
      <c r="Q207">
        <f t="shared" si="18"/>
        <v>0</v>
      </c>
      <c r="R207">
        <f t="shared" si="19"/>
        <v>0</v>
      </c>
    </row>
    <row r="208" spans="1:18" ht="51" x14ac:dyDescent="0.2">
      <c r="A208">
        <v>207</v>
      </c>
      <c r="B208" s="1" t="s">
        <v>1046</v>
      </c>
      <c r="C208" t="s">
        <v>105</v>
      </c>
      <c r="I208" s="12"/>
      <c r="J208" s="12"/>
      <c r="K208" s="12"/>
      <c r="L208" s="12"/>
      <c r="M208" s="12">
        <v>1</v>
      </c>
      <c r="N208">
        <f t="shared" si="15"/>
        <v>0</v>
      </c>
      <c r="O208">
        <f t="shared" si="16"/>
        <v>0</v>
      </c>
      <c r="P208">
        <f t="shared" si="17"/>
        <v>0</v>
      </c>
      <c r="Q208">
        <f t="shared" si="18"/>
        <v>0</v>
      </c>
      <c r="R208" t="str">
        <f t="shared" si="19"/>
        <v>Disagree</v>
      </c>
    </row>
    <row r="209" spans="1:18" ht="34" x14ac:dyDescent="0.2">
      <c r="A209">
        <v>208</v>
      </c>
      <c r="B209" s="1" t="s">
        <v>1050</v>
      </c>
      <c r="C209" t="s">
        <v>125</v>
      </c>
      <c r="D209">
        <v>1</v>
      </c>
      <c r="H209">
        <v>1</v>
      </c>
      <c r="I209" s="12"/>
      <c r="J209" s="12"/>
      <c r="K209" s="12"/>
      <c r="L209" s="12"/>
      <c r="M209" s="12">
        <v>1</v>
      </c>
      <c r="N209" t="str">
        <f t="shared" si="15"/>
        <v>Disagree</v>
      </c>
      <c r="O209">
        <f t="shared" si="16"/>
        <v>0</v>
      </c>
      <c r="P209">
        <f t="shared" si="17"/>
        <v>0</v>
      </c>
      <c r="Q209">
        <f t="shared" si="18"/>
        <v>0</v>
      </c>
      <c r="R209">
        <f t="shared" si="19"/>
        <v>1</v>
      </c>
    </row>
    <row r="210" spans="1:18" ht="17" x14ac:dyDescent="0.2">
      <c r="A210">
        <v>209</v>
      </c>
      <c r="B210" s="1" t="s">
        <v>1054</v>
      </c>
      <c r="C210" t="s">
        <v>105</v>
      </c>
      <c r="D210">
        <v>1</v>
      </c>
      <c r="I210" s="12">
        <v>1</v>
      </c>
      <c r="J210" s="12"/>
      <c r="K210" s="12"/>
      <c r="L210" s="12"/>
      <c r="M210" s="12"/>
      <c r="N210">
        <f t="shared" si="15"/>
        <v>1</v>
      </c>
      <c r="O210">
        <f t="shared" si="16"/>
        <v>0</v>
      </c>
      <c r="P210">
        <f t="shared" si="17"/>
        <v>0</v>
      </c>
      <c r="Q210">
        <f t="shared" si="18"/>
        <v>0</v>
      </c>
      <c r="R210">
        <f t="shared" si="19"/>
        <v>0</v>
      </c>
    </row>
    <row r="211" spans="1:18" ht="34" x14ac:dyDescent="0.2">
      <c r="A211">
        <v>210</v>
      </c>
      <c r="B211" s="1" t="s">
        <v>1059</v>
      </c>
      <c r="C211" t="s">
        <v>125</v>
      </c>
      <c r="I211" s="12"/>
      <c r="J211" s="12"/>
      <c r="K211" s="12">
        <v>1</v>
      </c>
      <c r="L211" s="12"/>
      <c r="M211" s="12"/>
      <c r="N211">
        <f t="shared" si="15"/>
        <v>0</v>
      </c>
      <c r="O211">
        <f t="shared" si="16"/>
        <v>0</v>
      </c>
      <c r="P211" t="str">
        <f t="shared" si="17"/>
        <v>Disagree</v>
      </c>
      <c r="Q211">
        <f t="shared" si="18"/>
        <v>0</v>
      </c>
      <c r="R211">
        <f t="shared" si="19"/>
        <v>0</v>
      </c>
    </row>
    <row r="212" spans="1:18" ht="17" x14ac:dyDescent="0.2">
      <c r="A212">
        <v>211</v>
      </c>
      <c r="B212" s="1" t="s">
        <v>1063</v>
      </c>
      <c r="C212" t="s">
        <v>125</v>
      </c>
      <c r="D212">
        <v>1</v>
      </c>
      <c r="I212" s="12">
        <v>1</v>
      </c>
      <c r="J212" s="12"/>
      <c r="K212" s="12"/>
      <c r="L212" s="12"/>
      <c r="M212" s="12"/>
      <c r="N212">
        <f t="shared" si="15"/>
        <v>1</v>
      </c>
      <c r="O212">
        <f t="shared" si="16"/>
        <v>0</v>
      </c>
      <c r="P212">
        <f t="shared" si="17"/>
        <v>0</v>
      </c>
      <c r="Q212">
        <f t="shared" si="18"/>
        <v>0</v>
      </c>
      <c r="R212">
        <f t="shared" si="19"/>
        <v>0</v>
      </c>
    </row>
    <row r="213" spans="1:18" ht="34" x14ac:dyDescent="0.2">
      <c r="A213">
        <v>212</v>
      </c>
      <c r="B213" s="1" t="s">
        <v>1067</v>
      </c>
      <c r="C213" t="s">
        <v>111</v>
      </c>
      <c r="D213">
        <v>1</v>
      </c>
      <c r="I213" s="12">
        <v>1</v>
      </c>
      <c r="J213" s="12"/>
      <c r="K213" s="12"/>
      <c r="L213" s="12"/>
      <c r="M213" s="12"/>
      <c r="N213">
        <f t="shared" si="15"/>
        <v>1</v>
      </c>
      <c r="O213">
        <f t="shared" si="16"/>
        <v>0</v>
      </c>
      <c r="P213">
        <f t="shared" si="17"/>
        <v>0</v>
      </c>
      <c r="Q213">
        <f t="shared" si="18"/>
        <v>0</v>
      </c>
      <c r="R213">
        <f t="shared" si="19"/>
        <v>0</v>
      </c>
    </row>
    <row r="214" spans="1:18" ht="68" x14ac:dyDescent="0.2">
      <c r="A214">
        <v>213</v>
      </c>
      <c r="B214" s="1" t="s">
        <v>1072</v>
      </c>
      <c r="C214" t="s">
        <v>97</v>
      </c>
      <c r="D214">
        <v>1</v>
      </c>
      <c r="I214" s="12">
        <v>1</v>
      </c>
      <c r="J214" s="12"/>
      <c r="K214" s="12"/>
      <c r="L214" s="12"/>
      <c r="M214" s="12"/>
      <c r="N214">
        <f t="shared" si="15"/>
        <v>1</v>
      </c>
      <c r="O214">
        <f t="shared" si="16"/>
        <v>0</v>
      </c>
      <c r="P214">
        <f t="shared" si="17"/>
        <v>0</v>
      </c>
      <c r="Q214">
        <f t="shared" si="18"/>
        <v>0</v>
      </c>
      <c r="R214">
        <f t="shared" si="19"/>
        <v>0</v>
      </c>
    </row>
    <row r="215" spans="1:18" ht="34" x14ac:dyDescent="0.2">
      <c r="A215">
        <v>214</v>
      </c>
      <c r="B215" s="1" t="s">
        <v>1076</v>
      </c>
      <c r="C215" t="s">
        <v>111</v>
      </c>
      <c r="E215">
        <v>1</v>
      </c>
      <c r="F215">
        <v>1</v>
      </c>
      <c r="I215" s="12"/>
      <c r="J215" s="12">
        <v>1</v>
      </c>
      <c r="K215" s="12">
        <v>1</v>
      </c>
      <c r="L215" s="12"/>
      <c r="M215" s="12"/>
      <c r="N215">
        <f t="shared" si="15"/>
        <v>0</v>
      </c>
      <c r="O215">
        <f t="shared" si="16"/>
        <v>1</v>
      </c>
      <c r="P215">
        <f t="shared" si="17"/>
        <v>1</v>
      </c>
      <c r="Q215">
        <f t="shared" si="18"/>
        <v>0</v>
      </c>
      <c r="R215">
        <f t="shared" si="19"/>
        <v>0</v>
      </c>
    </row>
    <row r="216" spans="1:18" ht="51" x14ac:dyDescent="0.2">
      <c r="A216">
        <v>215</v>
      </c>
      <c r="B216" s="1" t="s">
        <v>1080</v>
      </c>
      <c r="C216" t="s">
        <v>125</v>
      </c>
      <c r="D216">
        <v>1</v>
      </c>
      <c r="I216" s="12">
        <v>1</v>
      </c>
      <c r="J216" s="12"/>
      <c r="K216" s="12"/>
      <c r="L216" s="12"/>
      <c r="M216" s="12"/>
      <c r="N216">
        <f t="shared" si="15"/>
        <v>1</v>
      </c>
      <c r="O216">
        <f t="shared" si="16"/>
        <v>0</v>
      </c>
      <c r="P216">
        <f t="shared" si="17"/>
        <v>0</v>
      </c>
      <c r="Q216">
        <f t="shared" si="18"/>
        <v>0</v>
      </c>
      <c r="R216">
        <f t="shared" si="19"/>
        <v>0</v>
      </c>
    </row>
    <row r="217" spans="1:18" ht="51" x14ac:dyDescent="0.2">
      <c r="A217">
        <v>216</v>
      </c>
      <c r="B217" s="1" t="s">
        <v>1084</v>
      </c>
      <c r="C217" t="s">
        <v>105</v>
      </c>
      <c r="E217">
        <v>1</v>
      </c>
      <c r="F217">
        <v>1</v>
      </c>
      <c r="I217" s="12"/>
      <c r="J217" s="12">
        <v>1</v>
      </c>
      <c r="K217" s="12">
        <v>1</v>
      </c>
      <c r="L217" s="12"/>
      <c r="M217" s="12"/>
      <c r="N217">
        <f t="shared" si="15"/>
        <v>0</v>
      </c>
      <c r="O217">
        <f t="shared" si="16"/>
        <v>1</v>
      </c>
      <c r="P217">
        <f t="shared" si="17"/>
        <v>1</v>
      </c>
      <c r="Q217">
        <f t="shared" si="18"/>
        <v>0</v>
      </c>
      <c r="R217">
        <f t="shared" si="19"/>
        <v>0</v>
      </c>
    </row>
    <row r="218" spans="1:18" ht="51" x14ac:dyDescent="0.2">
      <c r="A218">
        <v>217</v>
      </c>
      <c r="B218" s="1" t="s">
        <v>1089</v>
      </c>
      <c r="C218" t="s">
        <v>111</v>
      </c>
      <c r="D218">
        <v>1</v>
      </c>
      <c r="I218" s="12">
        <v>1</v>
      </c>
      <c r="J218" s="12"/>
      <c r="K218" s="12"/>
      <c r="L218" s="12"/>
      <c r="M218" s="12"/>
      <c r="N218">
        <f t="shared" si="15"/>
        <v>1</v>
      </c>
      <c r="O218">
        <f t="shared" si="16"/>
        <v>0</v>
      </c>
      <c r="P218">
        <f t="shared" si="17"/>
        <v>0</v>
      </c>
      <c r="Q218">
        <f t="shared" si="18"/>
        <v>0</v>
      </c>
      <c r="R218">
        <f t="shared" si="19"/>
        <v>0</v>
      </c>
    </row>
    <row r="219" spans="1:18" ht="51" x14ac:dyDescent="0.2">
      <c r="A219">
        <v>218</v>
      </c>
      <c r="B219" s="1" t="s">
        <v>1093</v>
      </c>
      <c r="C219" t="s">
        <v>105</v>
      </c>
      <c r="D219">
        <v>1</v>
      </c>
      <c r="I219" s="12">
        <v>1</v>
      </c>
      <c r="J219" s="12"/>
      <c r="K219" s="12">
        <v>1</v>
      </c>
      <c r="L219" s="12"/>
      <c r="M219" s="12"/>
      <c r="N219">
        <f t="shared" si="15"/>
        <v>1</v>
      </c>
      <c r="O219">
        <f t="shared" si="16"/>
        <v>0</v>
      </c>
      <c r="P219" t="str">
        <f t="shared" si="17"/>
        <v>Disagree</v>
      </c>
      <c r="Q219">
        <f t="shared" si="18"/>
        <v>0</v>
      </c>
      <c r="R219">
        <f t="shared" si="19"/>
        <v>0</v>
      </c>
    </row>
    <row r="220" spans="1:18" ht="68" x14ac:dyDescent="0.2">
      <c r="A220">
        <v>219</v>
      </c>
      <c r="B220" s="1" t="s">
        <v>1097</v>
      </c>
      <c r="C220" t="s">
        <v>105</v>
      </c>
      <c r="D220">
        <v>1</v>
      </c>
      <c r="I220" s="12">
        <v>1</v>
      </c>
      <c r="J220" s="12"/>
      <c r="K220" s="12"/>
      <c r="L220" s="12"/>
      <c r="M220" s="12"/>
      <c r="N220">
        <f t="shared" si="15"/>
        <v>1</v>
      </c>
      <c r="O220">
        <f t="shared" si="16"/>
        <v>0</v>
      </c>
      <c r="P220">
        <f t="shared" si="17"/>
        <v>0</v>
      </c>
      <c r="Q220">
        <f t="shared" si="18"/>
        <v>0</v>
      </c>
      <c r="R220">
        <f t="shared" si="19"/>
        <v>0</v>
      </c>
    </row>
    <row r="221" spans="1:18" ht="51" x14ac:dyDescent="0.2">
      <c r="A221">
        <v>220</v>
      </c>
      <c r="B221" s="1" t="s">
        <v>1102</v>
      </c>
      <c r="C221" t="s">
        <v>105</v>
      </c>
      <c r="I221" s="12"/>
      <c r="J221" s="12"/>
      <c r="K221" s="12"/>
      <c r="L221" s="12"/>
      <c r="M221" s="12"/>
      <c r="N221">
        <f t="shared" si="15"/>
        <v>0</v>
      </c>
      <c r="O221">
        <f t="shared" si="16"/>
        <v>0</v>
      </c>
      <c r="P221">
        <f t="shared" si="17"/>
        <v>0</v>
      </c>
      <c r="Q221">
        <f t="shared" si="18"/>
        <v>0</v>
      </c>
      <c r="R221">
        <f t="shared" si="19"/>
        <v>0</v>
      </c>
    </row>
    <row r="222" spans="1:18" ht="34" x14ac:dyDescent="0.2">
      <c r="A222">
        <v>221</v>
      </c>
      <c r="B222" s="1" t="s">
        <v>1107</v>
      </c>
      <c r="C222" t="s">
        <v>105</v>
      </c>
      <c r="E222">
        <v>1</v>
      </c>
      <c r="I222" s="12"/>
      <c r="J222" s="12">
        <v>1</v>
      </c>
      <c r="K222" s="12">
        <v>1</v>
      </c>
      <c r="L222" s="12"/>
      <c r="M222" s="12"/>
      <c r="N222">
        <f t="shared" si="15"/>
        <v>0</v>
      </c>
      <c r="O222">
        <f t="shared" si="16"/>
        <v>1</v>
      </c>
      <c r="P222" t="str">
        <f t="shared" si="17"/>
        <v>Disagree</v>
      </c>
      <c r="Q222">
        <f t="shared" si="18"/>
        <v>0</v>
      </c>
      <c r="R222">
        <f t="shared" si="19"/>
        <v>0</v>
      </c>
    </row>
    <row r="223" spans="1:18" ht="68" x14ac:dyDescent="0.2">
      <c r="A223">
        <v>222</v>
      </c>
      <c r="B223" s="1" t="s">
        <v>1111</v>
      </c>
      <c r="C223" t="s">
        <v>125</v>
      </c>
      <c r="E223">
        <v>1</v>
      </c>
      <c r="F223">
        <v>1</v>
      </c>
      <c r="I223" s="12"/>
      <c r="J223" s="12">
        <v>1</v>
      </c>
      <c r="K223" s="12">
        <v>1</v>
      </c>
      <c r="L223" s="12"/>
      <c r="M223" s="12"/>
      <c r="N223">
        <f t="shared" si="15"/>
        <v>0</v>
      </c>
      <c r="O223">
        <f t="shared" si="16"/>
        <v>1</v>
      </c>
      <c r="P223">
        <f t="shared" si="17"/>
        <v>1</v>
      </c>
      <c r="Q223">
        <f t="shared" si="18"/>
        <v>0</v>
      </c>
      <c r="R223">
        <f t="shared" si="19"/>
        <v>0</v>
      </c>
    </row>
    <row r="224" spans="1:18" ht="34" x14ac:dyDescent="0.2">
      <c r="A224">
        <v>223</v>
      </c>
      <c r="B224" s="1" t="s">
        <v>1118</v>
      </c>
      <c r="C224" t="s">
        <v>125</v>
      </c>
      <c r="E224">
        <v>1</v>
      </c>
      <c r="I224" s="12"/>
      <c r="J224" s="12">
        <v>1</v>
      </c>
      <c r="K224" s="12"/>
      <c r="L224" s="12"/>
      <c r="M224" s="12"/>
      <c r="N224">
        <f t="shared" si="15"/>
        <v>0</v>
      </c>
      <c r="O224">
        <f t="shared" si="16"/>
        <v>1</v>
      </c>
      <c r="P224">
        <f t="shared" si="17"/>
        <v>0</v>
      </c>
      <c r="Q224">
        <f t="shared" si="18"/>
        <v>0</v>
      </c>
      <c r="R224">
        <f t="shared" si="19"/>
        <v>0</v>
      </c>
    </row>
    <row r="225" spans="1:18" ht="51" x14ac:dyDescent="0.2">
      <c r="A225">
        <v>224</v>
      </c>
      <c r="B225" s="1" t="s">
        <v>1122</v>
      </c>
      <c r="C225" t="s">
        <v>105</v>
      </c>
      <c r="E225">
        <v>1</v>
      </c>
      <c r="I225" s="12"/>
      <c r="J225" s="12">
        <v>1</v>
      </c>
      <c r="K225" s="12">
        <v>1</v>
      </c>
      <c r="L225" s="12"/>
      <c r="M225" s="12"/>
      <c r="N225">
        <f t="shared" si="15"/>
        <v>0</v>
      </c>
      <c r="O225">
        <f t="shared" si="16"/>
        <v>1</v>
      </c>
      <c r="P225" t="str">
        <f t="shared" si="17"/>
        <v>Disagree</v>
      </c>
      <c r="Q225">
        <f t="shared" si="18"/>
        <v>0</v>
      </c>
      <c r="R225">
        <f t="shared" si="19"/>
        <v>0</v>
      </c>
    </row>
    <row r="226" spans="1:18" ht="51" x14ac:dyDescent="0.2">
      <c r="A226">
        <v>225</v>
      </c>
      <c r="B226" s="1" t="s">
        <v>1126</v>
      </c>
      <c r="C226" t="s">
        <v>97</v>
      </c>
      <c r="G226">
        <v>1</v>
      </c>
      <c r="I226" s="12"/>
      <c r="J226" s="12"/>
      <c r="K226" s="12"/>
      <c r="L226" s="12">
        <v>1</v>
      </c>
      <c r="M226" s="12"/>
      <c r="N226">
        <f t="shared" si="15"/>
        <v>0</v>
      </c>
      <c r="O226">
        <f t="shared" si="16"/>
        <v>0</v>
      </c>
      <c r="P226">
        <f t="shared" si="17"/>
        <v>0</v>
      </c>
      <c r="Q226">
        <f t="shared" si="18"/>
        <v>1</v>
      </c>
      <c r="R226">
        <f t="shared" si="19"/>
        <v>0</v>
      </c>
    </row>
    <row r="227" spans="1:18" ht="51" x14ac:dyDescent="0.2">
      <c r="A227">
        <v>226</v>
      </c>
      <c r="B227" s="1" t="s">
        <v>1130</v>
      </c>
      <c r="C227" t="s">
        <v>97</v>
      </c>
      <c r="D227">
        <v>1</v>
      </c>
      <c r="I227" s="12">
        <v>1</v>
      </c>
      <c r="J227" s="12"/>
      <c r="K227" s="12"/>
      <c r="L227" s="12"/>
      <c r="M227" s="12"/>
      <c r="N227">
        <f t="shared" si="15"/>
        <v>1</v>
      </c>
      <c r="O227">
        <f t="shared" si="16"/>
        <v>0</v>
      </c>
      <c r="P227">
        <f t="shared" si="17"/>
        <v>0</v>
      </c>
      <c r="Q227">
        <f t="shared" si="18"/>
        <v>0</v>
      </c>
      <c r="R227">
        <f t="shared" si="19"/>
        <v>0</v>
      </c>
    </row>
    <row r="228" spans="1:18" ht="34" x14ac:dyDescent="0.2">
      <c r="A228">
        <v>227</v>
      </c>
      <c r="B228" s="1" t="s">
        <v>1135</v>
      </c>
      <c r="C228" t="s">
        <v>111</v>
      </c>
      <c r="E228">
        <v>1</v>
      </c>
      <c r="I228" s="12"/>
      <c r="J228" s="12">
        <v>1</v>
      </c>
      <c r="K228" s="12"/>
      <c r="L228" s="12"/>
      <c r="M228" s="12"/>
      <c r="N228">
        <f t="shared" si="15"/>
        <v>0</v>
      </c>
      <c r="O228">
        <f t="shared" si="16"/>
        <v>1</v>
      </c>
      <c r="P228">
        <f t="shared" si="17"/>
        <v>0</v>
      </c>
      <c r="Q228">
        <f t="shared" si="18"/>
        <v>0</v>
      </c>
      <c r="R228">
        <f t="shared" si="19"/>
        <v>0</v>
      </c>
    </row>
    <row r="229" spans="1:18" ht="17" x14ac:dyDescent="0.2">
      <c r="A229">
        <v>228</v>
      </c>
      <c r="B229" s="1" t="s">
        <v>1139</v>
      </c>
      <c r="C229" t="s">
        <v>125</v>
      </c>
      <c r="E229">
        <v>1</v>
      </c>
      <c r="I229" s="12"/>
      <c r="J229" s="12">
        <v>1</v>
      </c>
      <c r="K229" s="12"/>
      <c r="L229" s="12"/>
      <c r="M229" s="12"/>
      <c r="N229">
        <f t="shared" si="15"/>
        <v>0</v>
      </c>
      <c r="O229">
        <f t="shared" si="16"/>
        <v>1</v>
      </c>
      <c r="P229">
        <f t="shared" si="17"/>
        <v>0</v>
      </c>
      <c r="Q229">
        <f t="shared" si="18"/>
        <v>0</v>
      </c>
      <c r="R229">
        <f t="shared" si="19"/>
        <v>0</v>
      </c>
    </row>
    <row r="230" spans="1:18" ht="51" x14ac:dyDescent="0.2">
      <c r="A230">
        <v>229</v>
      </c>
      <c r="B230" s="1" t="s">
        <v>1143</v>
      </c>
      <c r="C230" t="s">
        <v>97</v>
      </c>
      <c r="D230">
        <v>1</v>
      </c>
      <c r="I230" s="12">
        <v>1</v>
      </c>
      <c r="J230" s="12"/>
      <c r="K230" s="12"/>
      <c r="L230" s="12"/>
      <c r="M230" s="12"/>
      <c r="N230">
        <f t="shared" si="15"/>
        <v>1</v>
      </c>
      <c r="O230">
        <f t="shared" si="16"/>
        <v>0</v>
      </c>
      <c r="P230">
        <f t="shared" si="17"/>
        <v>0</v>
      </c>
      <c r="Q230">
        <f t="shared" si="18"/>
        <v>0</v>
      </c>
      <c r="R230">
        <f t="shared" si="19"/>
        <v>0</v>
      </c>
    </row>
    <row r="231" spans="1:18" ht="51" x14ac:dyDescent="0.2">
      <c r="A231">
        <v>230</v>
      </c>
      <c r="B231" s="1" t="s">
        <v>1147</v>
      </c>
      <c r="C231" t="s">
        <v>97</v>
      </c>
      <c r="D231">
        <v>1</v>
      </c>
      <c r="I231" s="12">
        <v>1</v>
      </c>
      <c r="J231" s="12"/>
      <c r="K231" s="12"/>
      <c r="L231" s="12"/>
      <c r="M231" s="12"/>
      <c r="N231">
        <f t="shared" si="15"/>
        <v>1</v>
      </c>
      <c r="O231">
        <f t="shared" si="16"/>
        <v>0</v>
      </c>
      <c r="P231">
        <f t="shared" si="17"/>
        <v>0</v>
      </c>
      <c r="Q231">
        <f t="shared" si="18"/>
        <v>0</v>
      </c>
      <c r="R231">
        <f t="shared" si="19"/>
        <v>0</v>
      </c>
    </row>
    <row r="232" spans="1:18" ht="17" x14ac:dyDescent="0.2">
      <c r="A232">
        <v>231</v>
      </c>
      <c r="B232" s="1" t="s">
        <v>1153</v>
      </c>
      <c r="C232" t="s">
        <v>97</v>
      </c>
      <c r="I232" s="12"/>
      <c r="J232" s="12"/>
      <c r="K232" s="12"/>
      <c r="L232" s="12"/>
      <c r="M232" s="12"/>
      <c r="N232">
        <f t="shared" si="15"/>
        <v>0</v>
      </c>
      <c r="O232">
        <f t="shared" si="16"/>
        <v>0</v>
      </c>
      <c r="P232">
        <f t="shared" si="17"/>
        <v>0</v>
      </c>
      <c r="Q232">
        <f t="shared" si="18"/>
        <v>0</v>
      </c>
      <c r="R232">
        <f t="shared" si="19"/>
        <v>0</v>
      </c>
    </row>
    <row r="233" spans="1:18" ht="34" x14ac:dyDescent="0.2">
      <c r="A233">
        <v>232</v>
      </c>
      <c r="B233" s="1" t="s">
        <v>1159</v>
      </c>
      <c r="C233" t="s">
        <v>111</v>
      </c>
      <c r="E233">
        <v>1</v>
      </c>
      <c r="F233">
        <v>1</v>
      </c>
      <c r="I233" s="12"/>
      <c r="J233" s="12">
        <v>1</v>
      </c>
      <c r="K233" s="12">
        <v>1</v>
      </c>
      <c r="L233" s="12"/>
      <c r="M233" s="12"/>
      <c r="N233">
        <f t="shared" si="15"/>
        <v>0</v>
      </c>
      <c r="O233">
        <f t="shared" si="16"/>
        <v>1</v>
      </c>
      <c r="P233">
        <f t="shared" si="17"/>
        <v>1</v>
      </c>
      <c r="Q233">
        <f t="shared" si="18"/>
        <v>0</v>
      </c>
      <c r="R233">
        <f t="shared" si="19"/>
        <v>0</v>
      </c>
    </row>
    <row r="234" spans="1:18" ht="17" x14ac:dyDescent="0.2">
      <c r="A234">
        <v>233</v>
      </c>
      <c r="B234" s="1" t="s">
        <v>1163</v>
      </c>
      <c r="C234" t="s">
        <v>105</v>
      </c>
      <c r="D234">
        <v>1</v>
      </c>
      <c r="I234" s="12">
        <v>1</v>
      </c>
      <c r="J234" s="12"/>
      <c r="K234" s="12"/>
      <c r="L234" s="12"/>
      <c r="M234" s="12"/>
      <c r="N234">
        <f t="shared" si="15"/>
        <v>1</v>
      </c>
      <c r="O234">
        <f t="shared" si="16"/>
        <v>0</v>
      </c>
      <c r="P234">
        <f t="shared" si="17"/>
        <v>0</v>
      </c>
      <c r="Q234">
        <f t="shared" si="18"/>
        <v>0</v>
      </c>
      <c r="R234">
        <f t="shared" si="19"/>
        <v>0</v>
      </c>
    </row>
    <row r="235" spans="1:18" ht="34" x14ac:dyDescent="0.2">
      <c r="A235">
        <v>234</v>
      </c>
      <c r="B235" s="1" t="s">
        <v>1167</v>
      </c>
      <c r="C235" t="s">
        <v>125</v>
      </c>
      <c r="D235">
        <v>1</v>
      </c>
      <c r="I235" s="12">
        <v>1</v>
      </c>
      <c r="J235" s="12"/>
      <c r="K235" s="12"/>
      <c r="L235" s="12"/>
      <c r="M235" s="12"/>
      <c r="N235">
        <f t="shared" si="15"/>
        <v>1</v>
      </c>
      <c r="O235">
        <f t="shared" si="16"/>
        <v>0</v>
      </c>
      <c r="P235">
        <f t="shared" si="17"/>
        <v>0</v>
      </c>
      <c r="Q235">
        <f t="shared" si="18"/>
        <v>0</v>
      </c>
      <c r="R235">
        <f t="shared" si="19"/>
        <v>0</v>
      </c>
    </row>
    <row r="236" spans="1:18" ht="17" x14ac:dyDescent="0.2">
      <c r="A236">
        <v>235</v>
      </c>
      <c r="B236" s="1" t="s">
        <v>1171</v>
      </c>
      <c r="C236" t="s">
        <v>105</v>
      </c>
      <c r="I236" s="12"/>
      <c r="J236" s="12"/>
      <c r="K236" s="12"/>
      <c r="L236" s="12"/>
      <c r="M236" s="12"/>
      <c r="N236">
        <f t="shared" si="15"/>
        <v>0</v>
      </c>
      <c r="O236">
        <f t="shared" si="16"/>
        <v>0</v>
      </c>
      <c r="P236">
        <f t="shared" si="17"/>
        <v>0</v>
      </c>
      <c r="Q236">
        <f t="shared" si="18"/>
        <v>0</v>
      </c>
      <c r="R236">
        <f t="shared" si="19"/>
        <v>0</v>
      </c>
    </row>
    <row r="237" spans="1:18" ht="68" x14ac:dyDescent="0.2">
      <c r="A237">
        <v>236</v>
      </c>
      <c r="B237" s="1" t="s">
        <v>1176</v>
      </c>
      <c r="C237" t="s">
        <v>125</v>
      </c>
      <c r="E237">
        <v>1</v>
      </c>
      <c r="I237" s="12"/>
      <c r="J237" s="12">
        <v>1</v>
      </c>
      <c r="K237" s="12"/>
      <c r="L237" s="12"/>
      <c r="M237" s="12">
        <v>1</v>
      </c>
      <c r="N237">
        <f t="shared" si="15"/>
        <v>0</v>
      </c>
      <c r="O237">
        <f t="shared" si="16"/>
        <v>1</v>
      </c>
      <c r="P237">
        <f t="shared" si="17"/>
        <v>0</v>
      </c>
      <c r="Q237">
        <f t="shared" si="18"/>
        <v>0</v>
      </c>
      <c r="R237" t="str">
        <f t="shared" si="19"/>
        <v>Disagree</v>
      </c>
    </row>
    <row r="238" spans="1:18" ht="17" x14ac:dyDescent="0.2">
      <c r="A238">
        <v>237</v>
      </c>
      <c r="B238" s="1" t="s">
        <v>1180</v>
      </c>
      <c r="C238" t="s">
        <v>105</v>
      </c>
      <c r="D238">
        <v>1</v>
      </c>
      <c r="I238" s="12"/>
      <c r="J238" s="12">
        <v>1</v>
      </c>
      <c r="K238" s="12"/>
      <c r="L238" s="12"/>
      <c r="M238" s="12"/>
      <c r="N238" t="str">
        <f t="shared" si="15"/>
        <v>Disagree</v>
      </c>
      <c r="O238" t="str">
        <f t="shared" si="16"/>
        <v>Disagree</v>
      </c>
      <c r="P238">
        <f t="shared" si="17"/>
        <v>0</v>
      </c>
      <c r="Q238">
        <f t="shared" si="18"/>
        <v>0</v>
      </c>
      <c r="R238">
        <f t="shared" si="19"/>
        <v>0</v>
      </c>
    </row>
    <row r="239" spans="1:18" ht="34" x14ac:dyDescent="0.2">
      <c r="A239">
        <v>238</v>
      </c>
      <c r="B239" s="1" t="s">
        <v>1185</v>
      </c>
      <c r="C239" t="s">
        <v>97</v>
      </c>
      <c r="D239">
        <v>1</v>
      </c>
      <c r="I239" s="12">
        <v>1</v>
      </c>
      <c r="J239" s="12"/>
      <c r="K239" s="12"/>
      <c r="L239" s="12"/>
      <c r="M239" s="12"/>
      <c r="N239">
        <f t="shared" si="15"/>
        <v>1</v>
      </c>
      <c r="O239">
        <f t="shared" si="16"/>
        <v>0</v>
      </c>
      <c r="P239">
        <f t="shared" si="17"/>
        <v>0</v>
      </c>
      <c r="Q239">
        <f t="shared" si="18"/>
        <v>0</v>
      </c>
      <c r="R239">
        <f t="shared" si="19"/>
        <v>0</v>
      </c>
    </row>
    <row r="240" spans="1:18" ht="68" x14ac:dyDescent="0.2">
      <c r="A240">
        <v>239</v>
      </c>
      <c r="B240" s="1" t="s">
        <v>1189</v>
      </c>
      <c r="C240" t="s">
        <v>105</v>
      </c>
      <c r="D240">
        <v>1</v>
      </c>
      <c r="I240" s="12">
        <v>1</v>
      </c>
      <c r="J240" s="12"/>
      <c r="K240" s="12">
        <v>1</v>
      </c>
      <c r="L240" s="12"/>
      <c r="M240" s="12"/>
      <c r="N240">
        <f t="shared" si="15"/>
        <v>1</v>
      </c>
      <c r="O240">
        <f t="shared" si="16"/>
        <v>0</v>
      </c>
      <c r="P240" t="str">
        <f t="shared" si="17"/>
        <v>Disagree</v>
      </c>
      <c r="Q240">
        <f t="shared" si="18"/>
        <v>0</v>
      </c>
      <c r="R240">
        <f t="shared" si="19"/>
        <v>0</v>
      </c>
    </row>
    <row r="241" spans="1:18" ht="68" x14ac:dyDescent="0.2">
      <c r="A241">
        <v>240</v>
      </c>
      <c r="B241" s="1" t="s">
        <v>1194</v>
      </c>
      <c r="C241" t="s">
        <v>97</v>
      </c>
      <c r="H241">
        <v>1</v>
      </c>
      <c r="I241" s="12"/>
      <c r="J241" s="12"/>
      <c r="K241" s="12"/>
      <c r="L241" s="12"/>
      <c r="M241" s="12">
        <v>1</v>
      </c>
      <c r="N241">
        <f t="shared" si="15"/>
        <v>0</v>
      </c>
      <c r="O241">
        <f t="shared" si="16"/>
        <v>0</v>
      </c>
      <c r="P241">
        <f t="shared" si="17"/>
        <v>0</v>
      </c>
      <c r="Q241">
        <f t="shared" si="18"/>
        <v>0</v>
      </c>
      <c r="R241">
        <f t="shared" si="19"/>
        <v>1</v>
      </c>
    </row>
    <row r="242" spans="1:18" ht="17" x14ac:dyDescent="0.2">
      <c r="A242">
        <v>241</v>
      </c>
      <c r="B242" s="1" t="s">
        <v>1198</v>
      </c>
      <c r="C242" t="s">
        <v>97</v>
      </c>
      <c r="D242">
        <v>1</v>
      </c>
      <c r="I242" s="12">
        <v>1</v>
      </c>
      <c r="J242" s="12"/>
      <c r="K242" s="12"/>
      <c r="L242" s="12"/>
      <c r="M242" s="12"/>
      <c r="N242">
        <f t="shared" si="15"/>
        <v>1</v>
      </c>
      <c r="O242">
        <f t="shared" si="16"/>
        <v>0</v>
      </c>
      <c r="P242">
        <f t="shared" si="17"/>
        <v>0</v>
      </c>
      <c r="Q242">
        <f t="shared" si="18"/>
        <v>0</v>
      </c>
      <c r="R242">
        <f t="shared" si="19"/>
        <v>0</v>
      </c>
    </row>
    <row r="243" spans="1:18" ht="34" x14ac:dyDescent="0.2">
      <c r="A243">
        <v>242</v>
      </c>
      <c r="B243" s="1" t="s">
        <v>1202</v>
      </c>
      <c r="C243" t="s">
        <v>111</v>
      </c>
      <c r="E243">
        <v>1</v>
      </c>
      <c r="F243">
        <v>1</v>
      </c>
      <c r="I243" s="12"/>
      <c r="J243" s="12">
        <v>1</v>
      </c>
      <c r="K243" s="12">
        <v>1</v>
      </c>
      <c r="L243" s="12"/>
      <c r="M243" s="12"/>
      <c r="N243">
        <f t="shared" si="15"/>
        <v>0</v>
      </c>
      <c r="O243">
        <f t="shared" si="16"/>
        <v>1</v>
      </c>
      <c r="P243">
        <f t="shared" si="17"/>
        <v>1</v>
      </c>
      <c r="Q243">
        <f t="shared" si="18"/>
        <v>0</v>
      </c>
      <c r="R243">
        <f t="shared" si="19"/>
        <v>0</v>
      </c>
    </row>
    <row r="244" spans="1:18" ht="34" x14ac:dyDescent="0.2">
      <c r="A244">
        <v>243</v>
      </c>
      <c r="B244" s="1" t="s">
        <v>1206</v>
      </c>
      <c r="C244" t="s">
        <v>97</v>
      </c>
      <c r="D244">
        <v>1</v>
      </c>
      <c r="I244" s="12"/>
      <c r="J244" s="12"/>
      <c r="K244" s="12"/>
      <c r="L244" s="12"/>
      <c r="M244" s="12"/>
      <c r="N244" t="str">
        <f t="shared" si="15"/>
        <v>Disagree</v>
      </c>
      <c r="O244">
        <f t="shared" si="16"/>
        <v>0</v>
      </c>
      <c r="P244">
        <f t="shared" si="17"/>
        <v>0</v>
      </c>
      <c r="Q244">
        <f t="shared" si="18"/>
        <v>0</v>
      </c>
      <c r="R244">
        <f t="shared" si="19"/>
        <v>0</v>
      </c>
    </row>
    <row r="245" spans="1:18" ht="51" x14ac:dyDescent="0.2">
      <c r="A245">
        <v>244</v>
      </c>
      <c r="B245" s="1" t="s">
        <v>1210</v>
      </c>
      <c r="C245" t="s">
        <v>97</v>
      </c>
      <c r="I245" s="12">
        <v>1</v>
      </c>
      <c r="J245" s="12"/>
      <c r="K245" s="12"/>
      <c r="L245" s="12"/>
      <c r="M245" s="12"/>
      <c r="N245" t="str">
        <f t="shared" si="15"/>
        <v>Disagree</v>
      </c>
      <c r="O245">
        <f t="shared" si="16"/>
        <v>0</v>
      </c>
      <c r="P245">
        <f t="shared" si="17"/>
        <v>0</v>
      </c>
      <c r="Q245">
        <f t="shared" si="18"/>
        <v>0</v>
      </c>
      <c r="R245">
        <f t="shared" si="19"/>
        <v>0</v>
      </c>
    </row>
    <row r="246" spans="1:18" ht="51" x14ac:dyDescent="0.2">
      <c r="A246">
        <v>245</v>
      </c>
      <c r="B246" s="1" t="s">
        <v>1214</v>
      </c>
      <c r="C246" t="s">
        <v>97</v>
      </c>
      <c r="D246">
        <v>1</v>
      </c>
      <c r="I246" s="12">
        <v>1</v>
      </c>
      <c r="J246" s="12"/>
      <c r="K246" s="12"/>
      <c r="L246" s="12"/>
      <c r="M246" s="12"/>
      <c r="N246">
        <f t="shared" si="15"/>
        <v>1</v>
      </c>
      <c r="O246">
        <f t="shared" si="16"/>
        <v>0</v>
      </c>
      <c r="P246">
        <f t="shared" si="17"/>
        <v>0</v>
      </c>
      <c r="Q246">
        <f t="shared" si="18"/>
        <v>0</v>
      </c>
      <c r="R246">
        <f t="shared" si="19"/>
        <v>0</v>
      </c>
    </row>
    <row r="247" spans="1:18" ht="34" x14ac:dyDescent="0.2">
      <c r="A247">
        <v>246</v>
      </c>
      <c r="B247" s="1" t="s">
        <v>1218</v>
      </c>
      <c r="C247" t="s">
        <v>111</v>
      </c>
      <c r="E247">
        <v>1</v>
      </c>
      <c r="F247">
        <v>1</v>
      </c>
      <c r="I247" s="12"/>
      <c r="J247" s="12">
        <v>1</v>
      </c>
      <c r="K247" s="12">
        <v>1</v>
      </c>
      <c r="L247" s="12"/>
      <c r="M247" s="12"/>
      <c r="N247">
        <f t="shared" si="15"/>
        <v>0</v>
      </c>
      <c r="O247">
        <f t="shared" si="16"/>
        <v>1</v>
      </c>
      <c r="P247">
        <f t="shared" si="17"/>
        <v>1</v>
      </c>
      <c r="Q247">
        <f t="shared" si="18"/>
        <v>0</v>
      </c>
      <c r="R247">
        <f t="shared" si="19"/>
        <v>0</v>
      </c>
    </row>
    <row r="248" spans="1:18" ht="34" x14ac:dyDescent="0.2">
      <c r="A248">
        <v>247</v>
      </c>
      <c r="B248" s="1" t="s">
        <v>1223</v>
      </c>
      <c r="C248" t="s">
        <v>105</v>
      </c>
      <c r="I248" s="12"/>
      <c r="J248" s="12"/>
      <c r="K248" s="12"/>
      <c r="L248" s="12"/>
      <c r="M248" s="12"/>
      <c r="N248">
        <f t="shared" si="15"/>
        <v>0</v>
      </c>
      <c r="O248">
        <f t="shared" si="16"/>
        <v>0</v>
      </c>
      <c r="P248">
        <f t="shared" si="17"/>
        <v>0</v>
      </c>
      <c r="Q248">
        <f t="shared" si="18"/>
        <v>0</v>
      </c>
      <c r="R248">
        <f t="shared" si="19"/>
        <v>0</v>
      </c>
    </row>
    <row r="249" spans="1:18" ht="51" x14ac:dyDescent="0.2">
      <c r="A249">
        <v>248</v>
      </c>
      <c r="B249" s="1" t="s">
        <v>1227</v>
      </c>
      <c r="C249" t="s">
        <v>97</v>
      </c>
      <c r="I249" s="12">
        <v>1</v>
      </c>
      <c r="J249" s="12"/>
      <c r="K249" s="12"/>
      <c r="L249" s="12"/>
      <c r="M249" s="12"/>
      <c r="N249" t="str">
        <f t="shared" si="15"/>
        <v>Disagree</v>
      </c>
      <c r="O249">
        <f t="shared" si="16"/>
        <v>0</v>
      </c>
      <c r="P249">
        <f t="shared" si="17"/>
        <v>0</v>
      </c>
      <c r="Q249">
        <f t="shared" si="18"/>
        <v>0</v>
      </c>
      <c r="R249">
        <f t="shared" si="19"/>
        <v>0</v>
      </c>
    </row>
    <row r="250" spans="1:18" ht="51" x14ac:dyDescent="0.2">
      <c r="A250">
        <v>249</v>
      </c>
      <c r="B250" s="1" t="s">
        <v>1232</v>
      </c>
      <c r="C250" t="s">
        <v>111</v>
      </c>
      <c r="I250" s="12">
        <v>1</v>
      </c>
      <c r="J250" s="12"/>
      <c r="K250" s="12"/>
      <c r="L250" s="12"/>
      <c r="M250" s="12"/>
      <c r="N250" t="str">
        <f t="shared" si="15"/>
        <v>Disagree</v>
      </c>
      <c r="O250">
        <f t="shared" si="16"/>
        <v>0</v>
      </c>
      <c r="P250">
        <f t="shared" si="17"/>
        <v>0</v>
      </c>
      <c r="Q250">
        <f t="shared" si="18"/>
        <v>0</v>
      </c>
      <c r="R250">
        <f t="shared" si="19"/>
        <v>0</v>
      </c>
    </row>
    <row r="251" spans="1:18" ht="51" x14ac:dyDescent="0.2">
      <c r="A251">
        <v>250</v>
      </c>
      <c r="B251" s="1" t="s">
        <v>1236</v>
      </c>
      <c r="C251" t="s">
        <v>111</v>
      </c>
      <c r="E251">
        <v>1</v>
      </c>
      <c r="F251">
        <v>1</v>
      </c>
      <c r="I251" s="12"/>
      <c r="J251" s="12">
        <v>1</v>
      </c>
      <c r="K251" s="12">
        <v>1</v>
      </c>
      <c r="L251" s="12"/>
      <c r="M251" s="12"/>
      <c r="N251">
        <f t="shared" si="15"/>
        <v>0</v>
      </c>
      <c r="O251">
        <f t="shared" si="16"/>
        <v>1</v>
      </c>
      <c r="P251">
        <f t="shared" si="17"/>
        <v>1</v>
      </c>
      <c r="Q251">
        <f t="shared" si="18"/>
        <v>0</v>
      </c>
      <c r="R251">
        <f t="shared" si="19"/>
        <v>0</v>
      </c>
    </row>
    <row r="252" spans="1:18" ht="34" x14ac:dyDescent="0.2">
      <c r="A252">
        <v>251</v>
      </c>
      <c r="B252" s="1" t="s">
        <v>1240</v>
      </c>
      <c r="C252" t="s">
        <v>105</v>
      </c>
      <c r="I252" s="12"/>
      <c r="J252" s="12"/>
      <c r="K252" s="12"/>
      <c r="L252" s="12"/>
      <c r="M252" s="12"/>
      <c r="N252">
        <f t="shared" si="15"/>
        <v>0</v>
      </c>
      <c r="O252">
        <f t="shared" si="16"/>
        <v>0</v>
      </c>
      <c r="P252">
        <f t="shared" si="17"/>
        <v>0</v>
      </c>
      <c r="Q252">
        <f t="shared" si="18"/>
        <v>0</v>
      </c>
      <c r="R252">
        <f t="shared" si="19"/>
        <v>0</v>
      </c>
    </row>
    <row r="253" spans="1:18" ht="34" x14ac:dyDescent="0.2">
      <c r="A253">
        <v>252</v>
      </c>
      <c r="B253" s="1" t="s">
        <v>1244</v>
      </c>
      <c r="C253" t="s">
        <v>97</v>
      </c>
      <c r="D253">
        <v>1</v>
      </c>
      <c r="I253" s="12">
        <v>1</v>
      </c>
      <c r="J253" s="12"/>
      <c r="K253" s="12"/>
      <c r="L253" s="12"/>
      <c r="M253" s="12"/>
      <c r="N253">
        <f t="shared" si="15"/>
        <v>1</v>
      </c>
      <c r="O253">
        <f t="shared" si="16"/>
        <v>0</v>
      </c>
      <c r="P253">
        <f t="shared" si="17"/>
        <v>0</v>
      </c>
      <c r="Q253">
        <f t="shared" si="18"/>
        <v>0</v>
      </c>
      <c r="R253">
        <f t="shared" si="19"/>
        <v>0</v>
      </c>
    </row>
    <row r="254" spans="1:18" ht="51" x14ac:dyDescent="0.2">
      <c r="A254">
        <v>253</v>
      </c>
      <c r="B254" s="1" t="s">
        <v>1248</v>
      </c>
      <c r="C254" t="s">
        <v>125</v>
      </c>
      <c r="E254">
        <v>1</v>
      </c>
      <c r="I254" s="12"/>
      <c r="J254" s="12">
        <v>1</v>
      </c>
      <c r="K254" s="12"/>
      <c r="L254" s="12"/>
      <c r="M254" s="12"/>
      <c r="N254">
        <f t="shared" si="15"/>
        <v>0</v>
      </c>
      <c r="O254">
        <f t="shared" si="16"/>
        <v>1</v>
      </c>
      <c r="P254">
        <f t="shared" si="17"/>
        <v>0</v>
      </c>
      <c r="Q254">
        <f t="shared" si="18"/>
        <v>0</v>
      </c>
      <c r="R254">
        <f t="shared" si="19"/>
        <v>0</v>
      </c>
    </row>
    <row r="255" spans="1:18" ht="34" x14ac:dyDescent="0.2">
      <c r="A255">
        <v>254</v>
      </c>
      <c r="B255" s="1" t="s">
        <v>1252</v>
      </c>
      <c r="C255" t="s">
        <v>125</v>
      </c>
      <c r="E255">
        <v>1</v>
      </c>
      <c r="F255">
        <v>1</v>
      </c>
      <c r="I255" s="12"/>
      <c r="J255" s="12">
        <v>1</v>
      </c>
      <c r="K255" s="12">
        <v>1</v>
      </c>
      <c r="L255" s="12"/>
      <c r="M255" s="12"/>
      <c r="N255">
        <f t="shared" si="15"/>
        <v>0</v>
      </c>
      <c r="O255">
        <f t="shared" si="16"/>
        <v>1</v>
      </c>
      <c r="P255">
        <f t="shared" si="17"/>
        <v>1</v>
      </c>
      <c r="Q255">
        <f t="shared" si="18"/>
        <v>0</v>
      </c>
      <c r="R255">
        <f t="shared" si="19"/>
        <v>0</v>
      </c>
    </row>
    <row r="256" spans="1:18" ht="34" x14ac:dyDescent="0.2">
      <c r="A256">
        <v>255</v>
      </c>
      <c r="B256" s="1" t="s">
        <v>1256</v>
      </c>
      <c r="C256" t="s">
        <v>111</v>
      </c>
      <c r="D256">
        <v>1</v>
      </c>
      <c r="I256" s="12">
        <v>1</v>
      </c>
      <c r="J256" s="12"/>
      <c r="K256" s="12"/>
      <c r="L256" s="12"/>
      <c r="M256" s="12"/>
      <c r="N256">
        <f t="shared" si="15"/>
        <v>1</v>
      </c>
      <c r="O256">
        <f t="shared" si="16"/>
        <v>0</v>
      </c>
      <c r="P256">
        <f t="shared" si="17"/>
        <v>0</v>
      </c>
      <c r="Q256">
        <f t="shared" si="18"/>
        <v>0</v>
      </c>
      <c r="R256">
        <f t="shared" si="19"/>
        <v>0</v>
      </c>
    </row>
    <row r="257" spans="1:18" ht="34" x14ac:dyDescent="0.2">
      <c r="A257">
        <v>256</v>
      </c>
      <c r="B257" s="1" t="s">
        <v>1260</v>
      </c>
      <c r="C257" t="s">
        <v>97</v>
      </c>
      <c r="D257">
        <v>1</v>
      </c>
      <c r="I257" s="12">
        <v>1</v>
      </c>
      <c r="J257" s="12"/>
      <c r="K257" s="12"/>
      <c r="L257" s="12"/>
      <c r="M257" s="12"/>
      <c r="N257">
        <f t="shared" si="15"/>
        <v>1</v>
      </c>
      <c r="O257">
        <f t="shared" si="16"/>
        <v>0</v>
      </c>
      <c r="P257">
        <f t="shared" si="17"/>
        <v>0</v>
      </c>
      <c r="Q257">
        <f t="shared" si="18"/>
        <v>0</v>
      </c>
      <c r="R257">
        <f t="shared" si="19"/>
        <v>0</v>
      </c>
    </row>
    <row r="258" spans="1:18" ht="51" x14ac:dyDescent="0.2">
      <c r="A258">
        <v>257</v>
      </c>
      <c r="B258" s="1" t="s">
        <v>1264</v>
      </c>
      <c r="C258" t="s">
        <v>111</v>
      </c>
      <c r="D258">
        <v>1</v>
      </c>
      <c r="I258" s="12">
        <v>1</v>
      </c>
      <c r="J258" s="12"/>
      <c r="K258" s="12"/>
      <c r="L258" s="12"/>
      <c r="M258" s="12"/>
      <c r="N258">
        <f t="shared" si="15"/>
        <v>1</v>
      </c>
      <c r="O258">
        <f t="shared" si="16"/>
        <v>0</v>
      </c>
      <c r="P258">
        <f t="shared" si="17"/>
        <v>0</v>
      </c>
      <c r="Q258">
        <f t="shared" si="18"/>
        <v>0</v>
      </c>
      <c r="R258">
        <f t="shared" si="19"/>
        <v>0</v>
      </c>
    </row>
    <row r="259" spans="1:18" ht="68" x14ac:dyDescent="0.2">
      <c r="A259">
        <v>258</v>
      </c>
      <c r="B259" s="1" t="s">
        <v>1268</v>
      </c>
      <c r="C259" t="s">
        <v>125</v>
      </c>
      <c r="E259">
        <v>1</v>
      </c>
      <c r="F259">
        <v>1</v>
      </c>
      <c r="I259" s="12"/>
      <c r="J259" s="12">
        <v>1</v>
      </c>
      <c r="K259" s="12">
        <v>1</v>
      </c>
      <c r="L259" s="12"/>
      <c r="M259" s="12"/>
      <c r="N259">
        <f t="shared" ref="N259:N322" si="20">IF(D259=I259,D259,"Disagree")</f>
        <v>0</v>
      </c>
      <c r="O259">
        <f t="shared" ref="O259:O322" si="21">IF(E259=J259,E259,"Disagree")</f>
        <v>1</v>
      </c>
      <c r="P259">
        <f t="shared" ref="P259:P322" si="22">IF(F259=K259,F259,"Disagree")</f>
        <v>1</v>
      </c>
      <c r="Q259">
        <f t="shared" ref="Q259:Q322" si="23">IF(G259=L259,G259,"Disagree")</f>
        <v>0</v>
      </c>
      <c r="R259">
        <f t="shared" ref="R259:R322" si="24">IF(H259=M259,H259,"Disagree")</f>
        <v>0</v>
      </c>
    </row>
    <row r="260" spans="1:18" ht="34" x14ac:dyDescent="0.2">
      <c r="A260">
        <v>259</v>
      </c>
      <c r="B260" s="1" t="s">
        <v>1272</v>
      </c>
      <c r="C260" t="s">
        <v>111</v>
      </c>
      <c r="D260">
        <v>1</v>
      </c>
      <c r="F260">
        <v>1</v>
      </c>
      <c r="I260" s="12">
        <v>1</v>
      </c>
      <c r="J260" s="12"/>
      <c r="K260" s="12">
        <v>1</v>
      </c>
      <c r="L260" s="12"/>
      <c r="M260" s="12"/>
      <c r="N260">
        <f t="shared" si="20"/>
        <v>1</v>
      </c>
      <c r="O260">
        <f t="shared" si="21"/>
        <v>0</v>
      </c>
      <c r="P260">
        <f t="shared" si="22"/>
        <v>1</v>
      </c>
      <c r="Q260">
        <f t="shared" si="23"/>
        <v>0</v>
      </c>
      <c r="R260">
        <f t="shared" si="24"/>
        <v>0</v>
      </c>
    </row>
    <row r="261" spans="1:18" ht="51" x14ac:dyDescent="0.2">
      <c r="A261">
        <v>260</v>
      </c>
      <c r="B261" s="1" t="s">
        <v>1276</v>
      </c>
      <c r="C261" t="s">
        <v>125</v>
      </c>
      <c r="I261" s="12"/>
      <c r="J261" s="12"/>
      <c r="K261" s="12"/>
      <c r="L261" s="12"/>
      <c r="M261" s="12"/>
      <c r="N261">
        <f t="shared" si="20"/>
        <v>0</v>
      </c>
      <c r="O261">
        <f t="shared" si="21"/>
        <v>0</v>
      </c>
      <c r="P261">
        <f t="shared" si="22"/>
        <v>0</v>
      </c>
      <c r="Q261">
        <f t="shared" si="23"/>
        <v>0</v>
      </c>
      <c r="R261">
        <f t="shared" si="24"/>
        <v>0</v>
      </c>
    </row>
    <row r="262" spans="1:18" ht="34" x14ac:dyDescent="0.2">
      <c r="A262">
        <v>261</v>
      </c>
      <c r="B262" s="1" t="s">
        <v>1280</v>
      </c>
      <c r="C262" t="s">
        <v>105</v>
      </c>
      <c r="D262">
        <v>1</v>
      </c>
      <c r="I262" s="12">
        <v>1</v>
      </c>
      <c r="J262" s="12"/>
      <c r="K262" s="12"/>
      <c r="L262" s="12"/>
      <c r="M262" s="12"/>
      <c r="N262">
        <f t="shared" si="20"/>
        <v>1</v>
      </c>
      <c r="O262">
        <f t="shared" si="21"/>
        <v>0</v>
      </c>
      <c r="P262">
        <f t="shared" si="22"/>
        <v>0</v>
      </c>
      <c r="Q262">
        <f t="shared" si="23"/>
        <v>0</v>
      </c>
      <c r="R262">
        <f t="shared" si="24"/>
        <v>0</v>
      </c>
    </row>
    <row r="263" spans="1:18" ht="102" x14ac:dyDescent="0.2">
      <c r="A263">
        <v>262</v>
      </c>
      <c r="B263" s="1" t="s">
        <v>1284</v>
      </c>
      <c r="C263" t="s">
        <v>105</v>
      </c>
      <c r="D263">
        <v>1</v>
      </c>
      <c r="H263">
        <v>1</v>
      </c>
      <c r="I263" s="12">
        <v>1</v>
      </c>
      <c r="J263" s="12"/>
      <c r="K263" s="12">
        <v>1</v>
      </c>
      <c r="L263" s="12"/>
      <c r="M263" s="12"/>
      <c r="N263">
        <f t="shared" si="20"/>
        <v>1</v>
      </c>
      <c r="O263">
        <f t="shared" si="21"/>
        <v>0</v>
      </c>
      <c r="P263" t="str">
        <f t="shared" si="22"/>
        <v>Disagree</v>
      </c>
      <c r="Q263">
        <f t="shared" si="23"/>
        <v>0</v>
      </c>
      <c r="R263" t="str">
        <f t="shared" si="24"/>
        <v>Disagree</v>
      </c>
    </row>
    <row r="264" spans="1:18" ht="34" x14ac:dyDescent="0.2">
      <c r="A264">
        <v>263</v>
      </c>
      <c r="B264" s="1" t="s">
        <v>1288</v>
      </c>
      <c r="C264" t="s">
        <v>105</v>
      </c>
      <c r="D264">
        <v>1</v>
      </c>
      <c r="I264" s="12">
        <v>1</v>
      </c>
      <c r="J264" s="12"/>
      <c r="K264" s="12"/>
      <c r="L264" s="12"/>
      <c r="M264" s="12"/>
      <c r="N264">
        <f t="shared" si="20"/>
        <v>1</v>
      </c>
      <c r="O264">
        <f t="shared" si="21"/>
        <v>0</v>
      </c>
      <c r="P264">
        <f t="shared" si="22"/>
        <v>0</v>
      </c>
      <c r="Q264">
        <f t="shared" si="23"/>
        <v>0</v>
      </c>
      <c r="R264">
        <f t="shared" si="24"/>
        <v>0</v>
      </c>
    </row>
    <row r="265" spans="1:18" ht="51" x14ac:dyDescent="0.2">
      <c r="A265">
        <v>264</v>
      </c>
      <c r="B265" s="1" t="s">
        <v>1292</v>
      </c>
      <c r="C265" t="s">
        <v>105</v>
      </c>
      <c r="D265">
        <v>1</v>
      </c>
      <c r="I265" s="12">
        <v>1</v>
      </c>
      <c r="J265" s="12"/>
      <c r="K265" s="12"/>
      <c r="L265" s="12"/>
      <c r="M265" s="12"/>
      <c r="N265">
        <f t="shared" si="20"/>
        <v>1</v>
      </c>
      <c r="O265">
        <f t="shared" si="21"/>
        <v>0</v>
      </c>
      <c r="P265">
        <f t="shared" si="22"/>
        <v>0</v>
      </c>
      <c r="Q265">
        <f t="shared" si="23"/>
        <v>0</v>
      </c>
      <c r="R265">
        <f t="shared" si="24"/>
        <v>0</v>
      </c>
    </row>
    <row r="266" spans="1:18" ht="17" x14ac:dyDescent="0.2">
      <c r="A266">
        <v>265</v>
      </c>
      <c r="B266" s="1" t="s">
        <v>1296</v>
      </c>
      <c r="C266" t="s">
        <v>97</v>
      </c>
      <c r="D266">
        <v>1</v>
      </c>
      <c r="I266" s="12">
        <v>1</v>
      </c>
      <c r="J266" s="12"/>
      <c r="K266" s="12"/>
      <c r="L266" s="12"/>
      <c r="M266" s="12"/>
      <c r="N266">
        <f t="shared" si="20"/>
        <v>1</v>
      </c>
      <c r="O266">
        <f t="shared" si="21"/>
        <v>0</v>
      </c>
      <c r="P266">
        <f t="shared" si="22"/>
        <v>0</v>
      </c>
      <c r="Q266">
        <f t="shared" si="23"/>
        <v>0</v>
      </c>
      <c r="R266">
        <f t="shared" si="24"/>
        <v>0</v>
      </c>
    </row>
    <row r="267" spans="1:18" ht="17" x14ac:dyDescent="0.2">
      <c r="A267">
        <v>266</v>
      </c>
      <c r="B267" s="1" t="s">
        <v>1300</v>
      </c>
      <c r="C267" t="s">
        <v>97</v>
      </c>
      <c r="E267">
        <v>1</v>
      </c>
      <c r="I267" s="12"/>
      <c r="J267" s="12">
        <v>1</v>
      </c>
      <c r="K267" s="12"/>
      <c r="L267" s="12"/>
      <c r="M267" s="12"/>
      <c r="N267">
        <f t="shared" si="20"/>
        <v>0</v>
      </c>
      <c r="O267">
        <f t="shared" si="21"/>
        <v>1</v>
      </c>
      <c r="P267">
        <f t="shared" si="22"/>
        <v>0</v>
      </c>
      <c r="Q267">
        <f t="shared" si="23"/>
        <v>0</v>
      </c>
      <c r="R267">
        <f t="shared" si="24"/>
        <v>0</v>
      </c>
    </row>
    <row r="268" spans="1:18" ht="85" x14ac:dyDescent="0.2">
      <c r="A268">
        <v>267</v>
      </c>
      <c r="B268" s="1" t="s">
        <v>1306</v>
      </c>
      <c r="C268" t="s">
        <v>97</v>
      </c>
      <c r="H268">
        <v>1</v>
      </c>
      <c r="I268" s="12">
        <v>1</v>
      </c>
      <c r="J268" s="12"/>
      <c r="K268" s="12"/>
      <c r="L268" s="12"/>
      <c r="M268" s="12">
        <v>1</v>
      </c>
      <c r="N268" t="str">
        <f t="shared" si="20"/>
        <v>Disagree</v>
      </c>
      <c r="O268">
        <f t="shared" si="21"/>
        <v>0</v>
      </c>
      <c r="P268">
        <f t="shared" si="22"/>
        <v>0</v>
      </c>
      <c r="Q268">
        <f t="shared" si="23"/>
        <v>0</v>
      </c>
      <c r="R268">
        <f t="shared" si="24"/>
        <v>1</v>
      </c>
    </row>
    <row r="269" spans="1:18" ht="17" x14ac:dyDescent="0.2">
      <c r="A269">
        <v>268</v>
      </c>
      <c r="B269" s="1" t="s">
        <v>1310</v>
      </c>
      <c r="C269" t="s">
        <v>105</v>
      </c>
      <c r="I269" s="12"/>
      <c r="J269" s="12"/>
      <c r="K269" s="12"/>
      <c r="L269" s="12"/>
      <c r="M269" s="12"/>
      <c r="N269">
        <f t="shared" si="20"/>
        <v>0</v>
      </c>
      <c r="O269">
        <f t="shared" si="21"/>
        <v>0</v>
      </c>
      <c r="P269">
        <f t="shared" si="22"/>
        <v>0</v>
      </c>
      <c r="Q269">
        <f t="shared" si="23"/>
        <v>0</v>
      </c>
      <c r="R269">
        <f t="shared" si="24"/>
        <v>0</v>
      </c>
    </row>
    <row r="270" spans="1:18" ht="34" x14ac:dyDescent="0.2">
      <c r="A270">
        <v>269</v>
      </c>
      <c r="B270" s="1" t="s">
        <v>1314</v>
      </c>
      <c r="C270" t="s">
        <v>105</v>
      </c>
      <c r="D270">
        <v>1</v>
      </c>
      <c r="I270" s="12">
        <v>1</v>
      </c>
      <c r="J270" s="12"/>
      <c r="K270" s="12"/>
      <c r="L270" s="12"/>
      <c r="M270" s="12"/>
      <c r="N270">
        <f t="shared" si="20"/>
        <v>1</v>
      </c>
      <c r="O270">
        <f t="shared" si="21"/>
        <v>0</v>
      </c>
      <c r="P270">
        <f t="shared" si="22"/>
        <v>0</v>
      </c>
      <c r="Q270">
        <f t="shared" si="23"/>
        <v>0</v>
      </c>
      <c r="R270">
        <f t="shared" si="24"/>
        <v>0</v>
      </c>
    </row>
    <row r="271" spans="1:18" ht="34" x14ac:dyDescent="0.2">
      <c r="A271">
        <v>270</v>
      </c>
      <c r="B271" s="1" t="s">
        <v>1318</v>
      </c>
      <c r="C271" t="s">
        <v>111</v>
      </c>
      <c r="D271">
        <v>1</v>
      </c>
      <c r="I271" s="12">
        <v>1</v>
      </c>
      <c r="J271" s="12"/>
      <c r="K271" s="12"/>
      <c r="L271" s="12"/>
      <c r="M271" s="12"/>
      <c r="N271">
        <f t="shared" si="20"/>
        <v>1</v>
      </c>
      <c r="O271">
        <f t="shared" si="21"/>
        <v>0</v>
      </c>
      <c r="P271">
        <f t="shared" si="22"/>
        <v>0</v>
      </c>
      <c r="Q271">
        <f t="shared" si="23"/>
        <v>0</v>
      </c>
      <c r="R271">
        <f t="shared" si="24"/>
        <v>0</v>
      </c>
    </row>
    <row r="272" spans="1:18" ht="34" x14ac:dyDescent="0.2">
      <c r="A272">
        <v>271</v>
      </c>
      <c r="B272" s="1" t="s">
        <v>1322</v>
      </c>
      <c r="C272" t="s">
        <v>97</v>
      </c>
      <c r="D272">
        <v>1</v>
      </c>
      <c r="I272" s="12">
        <v>1</v>
      </c>
      <c r="J272" s="12"/>
      <c r="K272" s="12"/>
      <c r="L272" s="12"/>
      <c r="M272" s="12"/>
      <c r="N272">
        <f t="shared" si="20"/>
        <v>1</v>
      </c>
      <c r="O272">
        <f t="shared" si="21"/>
        <v>0</v>
      </c>
      <c r="P272">
        <f t="shared" si="22"/>
        <v>0</v>
      </c>
      <c r="Q272">
        <f t="shared" si="23"/>
        <v>0</v>
      </c>
      <c r="R272">
        <f t="shared" si="24"/>
        <v>0</v>
      </c>
    </row>
    <row r="273" spans="1:18" ht="68" x14ac:dyDescent="0.2">
      <c r="A273">
        <v>272</v>
      </c>
      <c r="B273" s="1" t="s">
        <v>1326</v>
      </c>
      <c r="C273" t="s">
        <v>97</v>
      </c>
      <c r="D273">
        <v>1</v>
      </c>
      <c r="G273">
        <v>1</v>
      </c>
      <c r="I273" s="12"/>
      <c r="J273" s="12"/>
      <c r="K273" s="12"/>
      <c r="L273" s="12">
        <v>1</v>
      </c>
      <c r="M273" s="12"/>
      <c r="N273" t="str">
        <f t="shared" si="20"/>
        <v>Disagree</v>
      </c>
      <c r="O273">
        <f t="shared" si="21"/>
        <v>0</v>
      </c>
      <c r="P273">
        <f t="shared" si="22"/>
        <v>0</v>
      </c>
      <c r="Q273">
        <f t="shared" si="23"/>
        <v>1</v>
      </c>
      <c r="R273">
        <f t="shared" si="24"/>
        <v>0</v>
      </c>
    </row>
    <row r="274" spans="1:18" ht="51" x14ac:dyDescent="0.2">
      <c r="A274">
        <v>273</v>
      </c>
      <c r="B274" s="1" t="s">
        <v>1332</v>
      </c>
      <c r="C274" t="s">
        <v>105</v>
      </c>
      <c r="D274">
        <v>1</v>
      </c>
      <c r="I274" s="12">
        <v>1</v>
      </c>
      <c r="J274" s="12"/>
      <c r="K274" s="12"/>
      <c r="L274" s="12"/>
      <c r="M274" s="12"/>
      <c r="N274">
        <f t="shared" si="20"/>
        <v>1</v>
      </c>
      <c r="O274">
        <f t="shared" si="21"/>
        <v>0</v>
      </c>
      <c r="P274">
        <f t="shared" si="22"/>
        <v>0</v>
      </c>
      <c r="Q274">
        <f t="shared" si="23"/>
        <v>0</v>
      </c>
      <c r="R274">
        <f t="shared" si="24"/>
        <v>0</v>
      </c>
    </row>
    <row r="275" spans="1:18" ht="136" x14ac:dyDescent="0.2">
      <c r="A275">
        <v>274</v>
      </c>
      <c r="B275" s="1" t="s">
        <v>1336</v>
      </c>
      <c r="C275" t="s">
        <v>97</v>
      </c>
      <c r="G275">
        <v>1</v>
      </c>
      <c r="I275" s="12"/>
      <c r="J275" s="12"/>
      <c r="K275" s="12"/>
      <c r="L275" s="12">
        <v>1</v>
      </c>
      <c r="M275" s="12"/>
      <c r="N275">
        <f t="shared" si="20"/>
        <v>0</v>
      </c>
      <c r="O275">
        <f t="shared" si="21"/>
        <v>0</v>
      </c>
      <c r="P275">
        <f t="shared" si="22"/>
        <v>0</v>
      </c>
      <c r="Q275">
        <f t="shared" si="23"/>
        <v>1</v>
      </c>
      <c r="R275">
        <f t="shared" si="24"/>
        <v>0</v>
      </c>
    </row>
    <row r="276" spans="1:18" ht="51" x14ac:dyDescent="0.2">
      <c r="A276">
        <v>275</v>
      </c>
      <c r="B276" s="1" t="s">
        <v>1340</v>
      </c>
      <c r="C276" t="s">
        <v>97</v>
      </c>
      <c r="D276">
        <v>1</v>
      </c>
      <c r="I276" s="12">
        <v>1</v>
      </c>
      <c r="J276" s="12"/>
      <c r="K276" s="12"/>
      <c r="L276" s="12"/>
      <c r="M276" s="12"/>
      <c r="N276">
        <f t="shared" si="20"/>
        <v>1</v>
      </c>
      <c r="O276">
        <f t="shared" si="21"/>
        <v>0</v>
      </c>
      <c r="P276">
        <f t="shared" si="22"/>
        <v>0</v>
      </c>
      <c r="Q276">
        <f t="shared" si="23"/>
        <v>0</v>
      </c>
      <c r="R276">
        <f t="shared" si="24"/>
        <v>0</v>
      </c>
    </row>
    <row r="277" spans="1:18" ht="68" x14ac:dyDescent="0.2">
      <c r="A277">
        <v>276</v>
      </c>
      <c r="B277" s="1" t="s">
        <v>1344</v>
      </c>
      <c r="C277" t="s">
        <v>105</v>
      </c>
      <c r="E277">
        <v>1</v>
      </c>
      <c r="F277">
        <v>1</v>
      </c>
      <c r="I277" s="12"/>
      <c r="J277" s="12">
        <v>1</v>
      </c>
      <c r="K277" s="12"/>
      <c r="L277" s="12"/>
      <c r="M277" s="12"/>
      <c r="N277">
        <f t="shared" si="20"/>
        <v>0</v>
      </c>
      <c r="O277">
        <f t="shared" si="21"/>
        <v>1</v>
      </c>
      <c r="P277" t="str">
        <f t="shared" si="22"/>
        <v>Disagree</v>
      </c>
      <c r="Q277">
        <f t="shared" si="23"/>
        <v>0</v>
      </c>
      <c r="R277">
        <f t="shared" si="24"/>
        <v>0</v>
      </c>
    </row>
    <row r="278" spans="1:18" ht="34" x14ac:dyDescent="0.2">
      <c r="A278">
        <v>277</v>
      </c>
      <c r="B278" s="1" t="s">
        <v>1348</v>
      </c>
      <c r="C278" t="s">
        <v>111</v>
      </c>
      <c r="E278">
        <v>1</v>
      </c>
      <c r="F278">
        <v>1</v>
      </c>
      <c r="I278" s="12"/>
      <c r="J278" s="12">
        <v>1</v>
      </c>
      <c r="K278" s="12"/>
      <c r="L278" s="12"/>
      <c r="M278" s="12"/>
      <c r="N278">
        <f t="shared" si="20"/>
        <v>0</v>
      </c>
      <c r="O278">
        <f t="shared" si="21"/>
        <v>1</v>
      </c>
      <c r="P278" t="str">
        <f t="shared" si="22"/>
        <v>Disagree</v>
      </c>
      <c r="Q278">
        <f t="shared" si="23"/>
        <v>0</v>
      </c>
      <c r="R278">
        <f t="shared" si="24"/>
        <v>0</v>
      </c>
    </row>
    <row r="279" spans="1:18" ht="34" x14ac:dyDescent="0.2">
      <c r="A279">
        <v>278</v>
      </c>
      <c r="B279" s="1" t="s">
        <v>1352</v>
      </c>
      <c r="C279" t="s">
        <v>125</v>
      </c>
      <c r="E279">
        <v>1</v>
      </c>
      <c r="F279">
        <v>1</v>
      </c>
      <c r="I279" s="12"/>
      <c r="J279" s="12">
        <v>1</v>
      </c>
      <c r="K279" s="12"/>
      <c r="L279" s="12"/>
      <c r="M279" s="12"/>
      <c r="N279">
        <f t="shared" si="20"/>
        <v>0</v>
      </c>
      <c r="O279">
        <f t="shared" si="21"/>
        <v>1</v>
      </c>
      <c r="P279" t="str">
        <f t="shared" si="22"/>
        <v>Disagree</v>
      </c>
      <c r="Q279">
        <f t="shared" si="23"/>
        <v>0</v>
      </c>
      <c r="R279">
        <f t="shared" si="24"/>
        <v>0</v>
      </c>
    </row>
    <row r="280" spans="1:18" ht="51" x14ac:dyDescent="0.2">
      <c r="A280">
        <v>279</v>
      </c>
      <c r="B280" s="1" t="s">
        <v>1356</v>
      </c>
      <c r="C280" t="s">
        <v>111</v>
      </c>
      <c r="D280">
        <v>1</v>
      </c>
      <c r="I280" s="12">
        <v>1</v>
      </c>
      <c r="J280" s="12"/>
      <c r="K280" s="12"/>
      <c r="L280" s="12"/>
      <c r="M280" s="12"/>
      <c r="N280">
        <f t="shared" si="20"/>
        <v>1</v>
      </c>
      <c r="O280">
        <f t="shared" si="21"/>
        <v>0</v>
      </c>
      <c r="P280">
        <f t="shared" si="22"/>
        <v>0</v>
      </c>
      <c r="Q280">
        <f t="shared" si="23"/>
        <v>0</v>
      </c>
      <c r="R280">
        <f t="shared" si="24"/>
        <v>0</v>
      </c>
    </row>
    <row r="281" spans="1:18" ht="34" x14ac:dyDescent="0.2">
      <c r="A281">
        <v>280</v>
      </c>
      <c r="B281" s="1" t="s">
        <v>1360</v>
      </c>
      <c r="C281" t="s">
        <v>125</v>
      </c>
      <c r="E281">
        <v>1</v>
      </c>
      <c r="F281">
        <v>1</v>
      </c>
      <c r="I281" s="12"/>
      <c r="J281" s="12">
        <v>1</v>
      </c>
      <c r="K281" s="12">
        <v>1</v>
      </c>
      <c r="L281" s="12"/>
      <c r="M281" s="12"/>
      <c r="N281">
        <f t="shared" si="20"/>
        <v>0</v>
      </c>
      <c r="O281">
        <f t="shared" si="21"/>
        <v>1</v>
      </c>
      <c r="P281">
        <f t="shared" si="22"/>
        <v>1</v>
      </c>
      <c r="Q281">
        <f t="shared" si="23"/>
        <v>0</v>
      </c>
      <c r="R281">
        <f t="shared" si="24"/>
        <v>0</v>
      </c>
    </row>
    <row r="282" spans="1:18" ht="85" x14ac:dyDescent="0.2">
      <c r="A282">
        <v>281</v>
      </c>
      <c r="B282" s="1" t="s">
        <v>1364</v>
      </c>
      <c r="C282" t="s">
        <v>111</v>
      </c>
      <c r="D282">
        <v>1</v>
      </c>
      <c r="I282" s="12">
        <v>1</v>
      </c>
      <c r="J282" s="12"/>
      <c r="K282" s="12"/>
      <c r="L282" s="12"/>
      <c r="M282" s="12"/>
      <c r="N282">
        <f t="shared" si="20"/>
        <v>1</v>
      </c>
      <c r="O282">
        <f t="shared" si="21"/>
        <v>0</v>
      </c>
      <c r="P282">
        <f t="shared" si="22"/>
        <v>0</v>
      </c>
      <c r="Q282">
        <f t="shared" si="23"/>
        <v>0</v>
      </c>
      <c r="R282">
        <f t="shared" si="24"/>
        <v>0</v>
      </c>
    </row>
    <row r="283" spans="1:18" ht="68" x14ac:dyDescent="0.2">
      <c r="A283">
        <v>282</v>
      </c>
      <c r="B283" s="1" t="s">
        <v>1370</v>
      </c>
      <c r="C283" t="s">
        <v>125</v>
      </c>
      <c r="E283">
        <v>1</v>
      </c>
      <c r="F283">
        <v>1</v>
      </c>
      <c r="H283">
        <v>1</v>
      </c>
      <c r="I283" s="12"/>
      <c r="J283" s="12">
        <v>1</v>
      </c>
      <c r="K283" s="12">
        <v>1</v>
      </c>
      <c r="L283" s="12"/>
      <c r="M283" s="12">
        <v>1</v>
      </c>
      <c r="N283">
        <f t="shared" si="20"/>
        <v>0</v>
      </c>
      <c r="O283">
        <f t="shared" si="21"/>
        <v>1</v>
      </c>
      <c r="P283">
        <f t="shared" si="22"/>
        <v>1</v>
      </c>
      <c r="Q283">
        <f t="shared" si="23"/>
        <v>0</v>
      </c>
      <c r="R283">
        <f t="shared" si="24"/>
        <v>1</v>
      </c>
    </row>
    <row r="284" spans="1:18" ht="68" x14ac:dyDescent="0.2">
      <c r="A284">
        <v>283</v>
      </c>
      <c r="B284" s="1" t="s">
        <v>1379</v>
      </c>
      <c r="C284" t="s">
        <v>111</v>
      </c>
      <c r="E284">
        <v>1</v>
      </c>
      <c r="F284">
        <v>1</v>
      </c>
      <c r="I284" s="12"/>
      <c r="J284" s="12">
        <v>1</v>
      </c>
      <c r="K284" s="12"/>
      <c r="L284" s="12"/>
      <c r="M284" s="12"/>
      <c r="N284">
        <f t="shared" si="20"/>
        <v>0</v>
      </c>
      <c r="O284">
        <f t="shared" si="21"/>
        <v>1</v>
      </c>
      <c r="P284" t="str">
        <f t="shared" si="22"/>
        <v>Disagree</v>
      </c>
      <c r="Q284">
        <f t="shared" si="23"/>
        <v>0</v>
      </c>
      <c r="R284">
        <f t="shared" si="24"/>
        <v>0</v>
      </c>
    </row>
    <row r="285" spans="1:18" ht="85" x14ac:dyDescent="0.2">
      <c r="A285">
        <v>284</v>
      </c>
      <c r="B285" s="1" t="s">
        <v>1383</v>
      </c>
      <c r="C285" t="s">
        <v>97</v>
      </c>
      <c r="I285" s="12"/>
      <c r="J285" s="12"/>
      <c r="K285" s="12"/>
      <c r="L285" s="12"/>
      <c r="M285" s="12"/>
      <c r="N285">
        <f t="shared" si="20"/>
        <v>0</v>
      </c>
      <c r="O285">
        <f t="shared" si="21"/>
        <v>0</v>
      </c>
      <c r="P285">
        <f t="shared" si="22"/>
        <v>0</v>
      </c>
      <c r="Q285">
        <f t="shared" si="23"/>
        <v>0</v>
      </c>
      <c r="R285">
        <f t="shared" si="24"/>
        <v>0</v>
      </c>
    </row>
    <row r="286" spans="1:18" ht="85" x14ac:dyDescent="0.2">
      <c r="A286">
        <v>285</v>
      </c>
      <c r="B286" s="1" t="s">
        <v>1388</v>
      </c>
      <c r="C286" t="s">
        <v>97</v>
      </c>
      <c r="D286">
        <v>1</v>
      </c>
      <c r="I286" s="12">
        <v>1</v>
      </c>
      <c r="J286" s="12"/>
      <c r="K286" s="12"/>
      <c r="L286" s="12"/>
      <c r="M286" s="12"/>
      <c r="N286">
        <f t="shared" si="20"/>
        <v>1</v>
      </c>
      <c r="O286">
        <f t="shared" si="21"/>
        <v>0</v>
      </c>
      <c r="P286">
        <f t="shared" si="22"/>
        <v>0</v>
      </c>
      <c r="Q286">
        <f t="shared" si="23"/>
        <v>0</v>
      </c>
      <c r="R286">
        <f t="shared" si="24"/>
        <v>0</v>
      </c>
    </row>
    <row r="287" spans="1:18" ht="51" x14ac:dyDescent="0.2">
      <c r="A287">
        <v>286</v>
      </c>
      <c r="B287" s="1" t="s">
        <v>1392</v>
      </c>
      <c r="C287" t="s">
        <v>125</v>
      </c>
      <c r="E287">
        <v>1</v>
      </c>
      <c r="F287">
        <v>1</v>
      </c>
      <c r="I287" s="12"/>
      <c r="J287" s="12">
        <v>1</v>
      </c>
      <c r="K287" s="12">
        <v>1</v>
      </c>
      <c r="L287" s="12"/>
      <c r="M287" s="12"/>
      <c r="N287">
        <f t="shared" si="20"/>
        <v>0</v>
      </c>
      <c r="O287">
        <f t="shared" si="21"/>
        <v>1</v>
      </c>
      <c r="P287">
        <f t="shared" si="22"/>
        <v>1</v>
      </c>
      <c r="Q287">
        <f t="shared" si="23"/>
        <v>0</v>
      </c>
      <c r="R287">
        <f t="shared" si="24"/>
        <v>0</v>
      </c>
    </row>
    <row r="288" spans="1:18" ht="17" x14ac:dyDescent="0.2">
      <c r="A288">
        <v>287</v>
      </c>
      <c r="B288" s="1" t="s">
        <v>1400</v>
      </c>
      <c r="C288" t="s">
        <v>111</v>
      </c>
      <c r="I288" s="12">
        <v>1</v>
      </c>
      <c r="J288" s="12"/>
      <c r="K288" s="12"/>
      <c r="L288" s="12"/>
      <c r="M288" s="12"/>
      <c r="N288" t="str">
        <f t="shared" si="20"/>
        <v>Disagree</v>
      </c>
      <c r="O288">
        <f t="shared" si="21"/>
        <v>0</v>
      </c>
      <c r="P288">
        <f t="shared" si="22"/>
        <v>0</v>
      </c>
      <c r="Q288">
        <f t="shared" si="23"/>
        <v>0</v>
      </c>
      <c r="R288">
        <f t="shared" si="24"/>
        <v>0</v>
      </c>
    </row>
    <row r="289" spans="1:18" ht="68" x14ac:dyDescent="0.2">
      <c r="A289">
        <v>288</v>
      </c>
      <c r="B289" s="1" t="s">
        <v>1405</v>
      </c>
      <c r="C289" t="s">
        <v>125</v>
      </c>
      <c r="D289">
        <v>1</v>
      </c>
      <c r="I289" s="12">
        <v>1</v>
      </c>
      <c r="J289" s="12"/>
      <c r="K289" s="12"/>
      <c r="L289" s="12"/>
      <c r="M289" s="12"/>
      <c r="N289">
        <f t="shared" si="20"/>
        <v>1</v>
      </c>
      <c r="O289">
        <f t="shared" si="21"/>
        <v>0</v>
      </c>
      <c r="P289">
        <f t="shared" si="22"/>
        <v>0</v>
      </c>
      <c r="Q289">
        <f t="shared" si="23"/>
        <v>0</v>
      </c>
      <c r="R289">
        <f t="shared" si="24"/>
        <v>0</v>
      </c>
    </row>
    <row r="290" spans="1:18" ht="17" x14ac:dyDescent="0.2">
      <c r="A290">
        <v>289</v>
      </c>
      <c r="B290" s="1" t="s">
        <v>1409</v>
      </c>
      <c r="C290" t="s">
        <v>97</v>
      </c>
      <c r="D290">
        <v>1</v>
      </c>
      <c r="I290" s="12">
        <v>1</v>
      </c>
      <c r="J290" s="12"/>
      <c r="K290" s="12"/>
      <c r="L290" s="12"/>
      <c r="M290" s="12"/>
      <c r="N290">
        <f t="shared" si="20"/>
        <v>1</v>
      </c>
      <c r="O290">
        <f t="shared" si="21"/>
        <v>0</v>
      </c>
      <c r="P290">
        <f t="shared" si="22"/>
        <v>0</v>
      </c>
      <c r="Q290">
        <f t="shared" si="23"/>
        <v>0</v>
      </c>
      <c r="R290">
        <f t="shared" si="24"/>
        <v>0</v>
      </c>
    </row>
    <row r="291" spans="1:18" ht="34" x14ac:dyDescent="0.2">
      <c r="A291">
        <v>290</v>
      </c>
      <c r="B291" s="1" t="s">
        <v>1413</v>
      </c>
      <c r="C291" t="s">
        <v>111</v>
      </c>
      <c r="E291">
        <v>1</v>
      </c>
      <c r="I291" s="12"/>
      <c r="J291" s="12">
        <v>1</v>
      </c>
      <c r="K291" s="12"/>
      <c r="L291" s="12"/>
      <c r="M291" s="12"/>
      <c r="N291">
        <f t="shared" si="20"/>
        <v>0</v>
      </c>
      <c r="O291">
        <f t="shared" si="21"/>
        <v>1</v>
      </c>
      <c r="P291">
        <f t="shared" si="22"/>
        <v>0</v>
      </c>
      <c r="Q291">
        <f t="shared" si="23"/>
        <v>0</v>
      </c>
      <c r="R291">
        <f t="shared" si="24"/>
        <v>0</v>
      </c>
    </row>
    <row r="292" spans="1:18" ht="51" x14ac:dyDescent="0.2">
      <c r="A292">
        <v>291</v>
      </c>
      <c r="B292" s="1" t="s">
        <v>1417</v>
      </c>
      <c r="C292" t="s">
        <v>105</v>
      </c>
      <c r="E292">
        <v>1</v>
      </c>
      <c r="F292">
        <v>1</v>
      </c>
      <c r="I292" s="12"/>
      <c r="J292" s="12">
        <v>1</v>
      </c>
      <c r="K292" s="12">
        <v>1</v>
      </c>
      <c r="L292" s="12"/>
      <c r="M292" s="12"/>
      <c r="N292">
        <f t="shared" si="20"/>
        <v>0</v>
      </c>
      <c r="O292">
        <f t="shared" si="21"/>
        <v>1</v>
      </c>
      <c r="P292">
        <f t="shared" si="22"/>
        <v>1</v>
      </c>
      <c r="Q292">
        <f t="shared" si="23"/>
        <v>0</v>
      </c>
      <c r="R292">
        <f t="shared" si="24"/>
        <v>0</v>
      </c>
    </row>
    <row r="293" spans="1:18" ht="51" x14ac:dyDescent="0.2">
      <c r="A293">
        <v>292</v>
      </c>
      <c r="B293" s="1" t="s">
        <v>1421</v>
      </c>
      <c r="C293" t="s">
        <v>111</v>
      </c>
      <c r="E293">
        <v>1</v>
      </c>
      <c r="F293">
        <v>1</v>
      </c>
      <c r="I293" s="12"/>
      <c r="J293" s="12">
        <v>1</v>
      </c>
      <c r="K293" s="12">
        <v>1</v>
      </c>
      <c r="L293" s="12"/>
      <c r="M293" s="12"/>
      <c r="N293">
        <f t="shared" si="20"/>
        <v>0</v>
      </c>
      <c r="O293">
        <f t="shared" si="21"/>
        <v>1</v>
      </c>
      <c r="P293">
        <f t="shared" si="22"/>
        <v>1</v>
      </c>
      <c r="Q293">
        <f t="shared" si="23"/>
        <v>0</v>
      </c>
      <c r="R293">
        <f t="shared" si="24"/>
        <v>0</v>
      </c>
    </row>
    <row r="294" spans="1:18" ht="51" x14ac:dyDescent="0.2">
      <c r="A294">
        <v>293</v>
      </c>
      <c r="B294" s="1" t="s">
        <v>1426</v>
      </c>
      <c r="C294" t="s">
        <v>97</v>
      </c>
      <c r="D294">
        <v>1</v>
      </c>
      <c r="I294" s="12">
        <v>1</v>
      </c>
      <c r="J294" s="12"/>
      <c r="K294" s="12"/>
      <c r="L294" s="12"/>
      <c r="M294" s="12"/>
      <c r="N294">
        <f t="shared" si="20"/>
        <v>1</v>
      </c>
      <c r="O294">
        <f t="shared" si="21"/>
        <v>0</v>
      </c>
      <c r="P294">
        <f t="shared" si="22"/>
        <v>0</v>
      </c>
      <c r="Q294">
        <f t="shared" si="23"/>
        <v>0</v>
      </c>
      <c r="R294">
        <f t="shared" si="24"/>
        <v>0</v>
      </c>
    </row>
    <row r="295" spans="1:18" ht="51" x14ac:dyDescent="0.2">
      <c r="A295">
        <v>294</v>
      </c>
      <c r="B295" s="1" t="s">
        <v>1430</v>
      </c>
      <c r="C295" t="s">
        <v>111</v>
      </c>
      <c r="E295">
        <v>1</v>
      </c>
      <c r="F295">
        <v>1</v>
      </c>
      <c r="I295" s="12"/>
      <c r="J295" s="12">
        <v>1</v>
      </c>
      <c r="K295" s="12">
        <v>1</v>
      </c>
      <c r="L295" s="12"/>
      <c r="M295" s="12"/>
      <c r="N295">
        <f t="shared" si="20"/>
        <v>0</v>
      </c>
      <c r="O295">
        <f t="shared" si="21"/>
        <v>1</v>
      </c>
      <c r="P295">
        <f t="shared" si="22"/>
        <v>1</v>
      </c>
      <c r="Q295">
        <f t="shared" si="23"/>
        <v>0</v>
      </c>
      <c r="R295">
        <f t="shared" si="24"/>
        <v>0</v>
      </c>
    </row>
    <row r="296" spans="1:18" ht="51" x14ac:dyDescent="0.2">
      <c r="A296">
        <v>295</v>
      </c>
      <c r="B296" s="1" t="s">
        <v>1440</v>
      </c>
      <c r="C296" t="s">
        <v>97</v>
      </c>
      <c r="D296">
        <v>1</v>
      </c>
      <c r="I296" s="12">
        <v>1</v>
      </c>
      <c r="J296" s="12"/>
      <c r="K296" s="12"/>
      <c r="L296" s="12"/>
      <c r="M296" s="12"/>
      <c r="N296">
        <f t="shared" si="20"/>
        <v>1</v>
      </c>
      <c r="O296">
        <f t="shared" si="21"/>
        <v>0</v>
      </c>
      <c r="P296">
        <f t="shared" si="22"/>
        <v>0</v>
      </c>
      <c r="Q296">
        <f t="shared" si="23"/>
        <v>0</v>
      </c>
      <c r="R296">
        <f t="shared" si="24"/>
        <v>0</v>
      </c>
    </row>
    <row r="297" spans="1:18" ht="34" x14ac:dyDescent="0.2">
      <c r="A297">
        <v>296</v>
      </c>
      <c r="B297" s="1" t="s">
        <v>1444</v>
      </c>
      <c r="C297" t="s">
        <v>105</v>
      </c>
      <c r="E297">
        <v>1</v>
      </c>
      <c r="I297" s="12"/>
      <c r="J297" s="12">
        <v>1</v>
      </c>
      <c r="K297" s="12">
        <v>1</v>
      </c>
      <c r="L297" s="12"/>
      <c r="M297" s="12"/>
      <c r="N297">
        <f t="shared" si="20"/>
        <v>0</v>
      </c>
      <c r="O297">
        <f t="shared" si="21"/>
        <v>1</v>
      </c>
      <c r="P297" t="str">
        <f t="shared" si="22"/>
        <v>Disagree</v>
      </c>
      <c r="Q297">
        <f t="shared" si="23"/>
        <v>0</v>
      </c>
      <c r="R297">
        <f t="shared" si="24"/>
        <v>0</v>
      </c>
    </row>
    <row r="298" spans="1:18" ht="34" x14ac:dyDescent="0.2">
      <c r="A298">
        <v>297</v>
      </c>
      <c r="B298" s="1" t="s">
        <v>1448</v>
      </c>
      <c r="C298" t="s">
        <v>111</v>
      </c>
      <c r="D298">
        <v>1</v>
      </c>
      <c r="I298" s="12">
        <v>1</v>
      </c>
      <c r="J298" s="12"/>
      <c r="K298" s="12"/>
      <c r="L298" s="12"/>
      <c r="M298" s="12"/>
      <c r="N298">
        <f t="shared" si="20"/>
        <v>1</v>
      </c>
      <c r="O298">
        <f t="shared" si="21"/>
        <v>0</v>
      </c>
      <c r="P298">
        <f t="shared" si="22"/>
        <v>0</v>
      </c>
      <c r="Q298">
        <f t="shared" si="23"/>
        <v>0</v>
      </c>
      <c r="R298">
        <f t="shared" si="24"/>
        <v>0</v>
      </c>
    </row>
    <row r="299" spans="1:18" ht="17" x14ac:dyDescent="0.2">
      <c r="A299">
        <v>298</v>
      </c>
      <c r="B299" s="1" t="s">
        <v>1452</v>
      </c>
      <c r="C299" t="s">
        <v>111</v>
      </c>
      <c r="E299">
        <v>1</v>
      </c>
      <c r="F299">
        <v>1</v>
      </c>
      <c r="I299" s="12"/>
      <c r="J299" s="12">
        <v>1</v>
      </c>
      <c r="K299" s="12">
        <v>1</v>
      </c>
      <c r="L299" s="12"/>
      <c r="M299" s="12"/>
      <c r="N299">
        <f t="shared" si="20"/>
        <v>0</v>
      </c>
      <c r="O299">
        <f t="shared" si="21"/>
        <v>1</v>
      </c>
      <c r="P299">
        <f t="shared" si="22"/>
        <v>1</v>
      </c>
      <c r="Q299">
        <f t="shared" si="23"/>
        <v>0</v>
      </c>
      <c r="R299">
        <f t="shared" si="24"/>
        <v>0</v>
      </c>
    </row>
    <row r="300" spans="1:18" ht="17" x14ac:dyDescent="0.2">
      <c r="A300">
        <v>299</v>
      </c>
      <c r="B300" s="1" t="s">
        <v>1456</v>
      </c>
      <c r="C300" t="s">
        <v>125</v>
      </c>
      <c r="E300">
        <v>1</v>
      </c>
      <c r="F300">
        <v>1</v>
      </c>
      <c r="I300" s="12"/>
      <c r="J300" s="12">
        <v>1</v>
      </c>
      <c r="K300" s="12">
        <v>1</v>
      </c>
      <c r="L300" s="12"/>
      <c r="M300" s="12"/>
      <c r="N300">
        <f t="shared" si="20"/>
        <v>0</v>
      </c>
      <c r="O300">
        <f t="shared" si="21"/>
        <v>1</v>
      </c>
      <c r="P300">
        <f t="shared" si="22"/>
        <v>1</v>
      </c>
      <c r="Q300">
        <f t="shared" si="23"/>
        <v>0</v>
      </c>
      <c r="R300">
        <f t="shared" si="24"/>
        <v>0</v>
      </c>
    </row>
    <row r="301" spans="1:18" ht="34" x14ac:dyDescent="0.2">
      <c r="A301">
        <v>300</v>
      </c>
      <c r="B301" s="1" t="s">
        <v>1460</v>
      </c>
      <c r="C301" t="s">
        <v>111</v>
      </c>
      <c r="E301">
        <v>1</v>
      </c>
      <c r="F301">
        <v>1</v>
      </c>
      <c r="I301" s="12"/>
      <c r="J301" s="12">
        <v>1</v>
      </c>
      <c r="K301" s="12">
        <v>1</v>
      </c>
      <c r="L301" s="12"/>
      <c r="M301" s="12"/>
      <c r="N301">
        <f t="shared" si="20"/>
        <v>0</v>
      </c>
      <c r="O301">
        <f t="shared" si="21"/>
        <v>1</v>
      </c>
      <c r="P301">
        <f t="shared" si="22"/>
        <v>1</v>
      </c>
      <c r="Q301">
        <f t="shared" si="23"/>
        <v>0</v>
      </c>
      <c r="R301">
        <f t="shared" si="24"/>
        <v>0</v>
      </c>
    </row>
    <row r="302" spans="1:18" ht="51" x14ac:dyDescent="0.2">
      <c r="A302">
        <v>301</v>
      </c>
      <c r="B302" s="1" t="s">
        <v>1464</v>
      </c>
      <c r="C302" t="s">
        <v>125</v>
      </c>
      <c r="D302">
        <v>1</v>
      </c>
      <c r="I302" s="12">
        <v>1</v>
      </c>
      <c r="J302" s="12"/>
      <c r="K302" s="12"/>
      <c r="L302" s="12"/>
      <c r="M302" s="12"/>
      <c r="N302">
        <f t="shared" si="20"/>
        <v>1</v>
      </c>
      <c r="O302">
        <f t="shared" si="21"/>
        <v>0</v>
      </c>
      <c r="P302">
        <f t="shared" si="22"/>
        <v>0</v>
      </c>
      <c r="Q302">
        <f t="shared" si="23"/>
        <v>0</v>
      </c>
      <c r="R302">
        <f t="shared" si="24"/>
        <v>0</v>
      </c>
    </row>
    <row r="303" spans="1:18" ht="34" x14ac:dyDescent="0.2">
      <c r="A303">
        <v>302</v>
      </c>
      <c r="B303" s="1" t="s">
        <v>1468</v>
      </c>
      <c r="C303" t="s">
        <v>125</v>
      </c>
      <c r="D303">
        <v>1</v>
      </c>
      <c r="I303" s="12">
        <v>1</v>
      </c>
      <c r="J303" s="12"/>
      <c r="K303" s="12"/>
      <c r="L303" s="12"/>
      <c r="M303" s="12"/>
      <c r="N303">
        <f t="shared" si="20"/>
        <v>1</v>
      </c>
      <c r="O303">
        <f t="shared" si="21"/>
        <v>0</v>
      </c>
      <c r="P303">
        <f t="shared" si="22"/>
        <v>0</v>
      </c>
      <c r="Q303">
        <f t="shared" si="23"/>
        <v>0</v>
      </c>
      <c r="R303">
        <f t="shared" si="24"/>
        <v>0</v>
      </c>
    </row>
    <row r="304" spans="1:18" ht="17" x14ac:dyDescent="0.2">
      <c r="A304">
        <v>303</v>
      </c>
      <c r="B304" s="1" t="s">
        <v>1472</v>
      </c>
      <c r="C304" t="s">
        <v>105</v>
      </c>
      <c r="D304">
        <v>1</v>
      </c>
      <c r="I304" s="12">
        <v>1</v>
      </c>
      <c r="J304" s="12"/>
      <c r="K304" s="12"/>
      <c r="L304" s="12"/>
      <c r="M304" s="12"/>
      <c r="N304">
        <f t="shared" si="20"/>
        <v>1</v>
      </c>
      <c r="O304">
        <f t="shared" si="21"/>
        <v>0</v>
      </c>
      <c r="P304">
        <f t="shared" si="22"/>
        <v>0</v>
      </c>
      <c r="Q304">
        <f t="shared" si="23"/>
        <v>0</v>
      </c>
      <c r="R304">
        <f t="shared" si="24"/>
        <v>0</v>
      </c>
    </row>
    <row r="305" spans="1:18" ht="34" x14ac:dyDescent="0.2">
      <c r="A305">
        <v>304</v>
      </c>
      <c r="B305" s="1" t="s">
        <v>1477</v>
      </c>
      <c r="C305" t="s">
        <v>105</v>
      </c>
      <c r="E305">
        <v>1</v>
      </c>
      <c r="I305" s="12"/>
      <c r="J305" s="12">
        <v>1</v>
      </c>
      <c r="K305" s="12"/>
      <c r="L305" s="12"/>
      <c r="M305" s="12"/>
      <c r="N305">
        <f t="shared" si="20"/>
        <v>0</v>
      </c>
      <c r="O305">
        <f t="shared" si="21"/>
        <v>1</v>
      </c>
      <c r="P305">
        <f t="shared" si="22"/>
        <v>0</v>
      </c>
      <c r="Q305">
        <f t="shared" si="23"/>
        <v>0</v>
      </c>
      <c r="R305">
        <f t="shared" si="24"/>
        <v>0</v>
      </c>
    </row>
    <row r="306" spans="1:18" ht="17" x14ac:dyDescent="0.2">
      <c r="A306">
        <v>305</v>
      </c>
      <c r="B306" s="1" t="s">
        <v>1481</v>
      </c>
      <c r="C306" t="s">
        <v>97</v>
      </c>
      <c r="I306" s="12">
        <v>1</v>
      </c>
      <c r="J306" s="12"/>
      <c r="K306" s="12"/>
      <c r="L306" s="12"/>
      <c r="M306" s="12"/>
      <c r="N306" t="str">
        <f t="shared" si="20"/>
        <v>Disagree</v>
      </c>
      <c r="O306">
        <f t="shared" si="21"/>
        <v>0</v>
      </c>
      <c r="P306">
        <f t="shared" si="22"/>
        <v>0</v>
      </c>
      <c r="Q306">
        <f t="shared" si="23"/>
        <v>0</v>
      </c>
      <c r="R306">
        <f t="shared" si="24"/>
        <v>0</v>
      </c>
    </row>
    <row r="307" spans="1:18" ht="85" x14ac:dyDescent="0.2">
      <c r="A307">
        <v>306</v>
      </c>
      <c r="B307" s="1" t="s">
        <v>1485</v>
      </c>
      <c r="C307" t="s">
        <v>125</v>
      </c>
      <c r="E307">
        <v>1</v>
      </c>
      <c r="I307" s="12"/>
      <c r="J307" s="12">
        <v>1</v>
      </c>
      <c r="K307" s="12"/>
      <c r="L307" s="12"/>
      <c r="M307" s="12">
        <v>1</v>
      </c>
      <c r="N307">
        <f t="shared" si="20"/>
        <v>0</v>
      </c>
      <c r="O307">
        <f t="shared" si="21"/>
        <v>1</v>
      </c>
      <c r="P307">
        <f t="shared" si="22"/>
        <v>0</v>
      </c>
      <c r="Q307">
        <f t="shared" si="23"/>
        <v>0</v>
      </c>
      <c r="R307" t="str">
        <f t="shared" si="24"/>
        <v>Disagree</v>
      </c>
    </row>
    <row r="308" spans="1:18" ht="34" x14ac:dyDescent="0.2">
      <c r="A308">
        <v>307</v>
      </c>
      <c r="B308" s="1" t="s">
        <v>1490</v>
      </c>
      <c r="C308" t="s">
        <v>125</v>
      </c>
      <c r="D308">
        <v>1</v>
      </c>
      <c r="I308" s="12">
        <v>1</v>
      </c>
      <c r="J308" s="12"/>
      <c r="K308" s="12"/>
      <c r="L308" s="12"/>
      <c r="M308" s="12"/>
      <c r="N308">
        <f t="shared" si="20"/>
        <v>1</v>
      </c>
      <c r="O308">
        <f t="shared" si="21"/>
        <v>0</v>
      </c>
      <c r="P308">
        <f t="shared" si="22"/>
        <v>0</v>
      </c>
      <c r="Q308">
        <f t="shared" si="23"/>
        <v>0</v>
      </c>
      <c r="R308">
        <f t="shared" si="24"/>
        <v>0</v>
      </c>
    </row>
    <row r="309" spans="1:18" ht="68" x14ac:dyDescent="0.2">
      <c r="A309">
        <v>308</v>
      </c>
      <c r="B309" s="1" t="s">
        <v>1494</v>
      </c>
      <c r="C309" t="s">
        <v>111</v>
      </c>
      <c r="D309">
        <v>1</v>
      </c>
      <c r="I309" s="12"/>
      <c r="J309" s="12">
        <v>1</v>
      </c>
      <c r="K309" s="12">
        <v>1</v>
      </c>
      <c r="L309" s="12"/>
      <c r="M309" s="12"/>
      <c r="N309" t="str">
        <f t="shared" si="20"/>
        <v>Disagree</v>
      </c>
      <c r="O309" t="str">
        <f t="shared" si="21"/>
        <v>Disagree</v>
      </c>
      <c r="P309" t="str">
        <f t="shared" si="22"/>
        <v>Disagree</v>
      </c>
      <c r="Q309">
        <f t="shared" si="23"/>
        <v>0</v>
      </c>
      <c r="R309">
        <f t="shared" si="24"/>
        <v>0</v>
      </c>
    </row>
    <row r="310" spans="1:18" ht="119" x14ac:dyDescent="0.2">
      <c r="A310">
        <v>309</v>
      </c>
      <c r="B310" s="1" t="s">
        <v>1499</v>
      </c>
      <c r="C310" t="s">
        <v>125</v>
      </c>
      <c r="E310">
        <v>1</v>
      </c>
      <c r="H310">
        <v>1</v>
      </c>
      <c r="I310" s="12"/>
      <c r="J310" s="12">
        <v>1</v>
      </c>
      <c r="K310" s="12">
        <v>1</v>
      </c>
      <c r="L310" s="12"/>
      <c r="M310" s="12">
        <v>1</v>
      </c>
      <c r="N310">
        <f t="shared" si="20"/>
        <v>0</v>
      </c>
      <c r="O310">
        <f t="shared" si="21"/>
        <v>1</v>
      </c>
      <c r="P310" t="str">
        <f t="shared" si="22"/>
        <v>Disagree</v>
      </c>
      <c r="Q310">
        <f t="shared" si="23"/>
        <v>0</v>
      </c>
      <c r="R310">
        <f t="shared" si="24"/>
        <v>1</v>
      </c>
    </row>
    <row r="311" spans="1:18" ht="68" x14ac:dyDescent="0.2">
      <c r="A311">
        <v>310</v>
      </c>
      <c r="B311" s="1" t="s">
        <v>1503</v>
      </c>
      <c r="C311" t="s">
        <v>97</v>
      </c>
      <c r="I311" s="12"/>
      <c r="J311" s="12"/>
      <c r="K311" s="12"/>
      <c r="L311" s="12"/>
      <c r="M311" s="12"/>
      <c r="N311">
        <f t="shared" si="20"/>
        <v>0</v>
      </c>
      <c r="O311">
        <f t="shared" si="21"/>
        <v>0</v>
      </c>
      <c r="P311">
        <f t="shared" si="22"/>
        <v>0</v>
      </c>
      <c r="Q311">
        <f t="shared" si="23"/>
        <v>0</v>
      </c>
      <c r="R311">
        <f t="shared" si="24"/>
        <v>0</v>
      </c>
    </row>
    <row r="312" spans="1:18" ht="68" x14ac:dyDescent="0.2">
      <c r="A312">
        <v>311</v>
      </c>
      <c r="B312" s="1" t="s">
        <v>1507</v>
      </c>
      <c r="C312" t="s">
        <v>105</v>
      </c>
      <c r="E312">
        <v>1</v>
      </c>
      <c r="I312" s="12"/>
      <c r="J312" s="12">
        <v>1</v>
      </c>
      <c r="K312" s="12"/>
      <c r="L312" s="12"/>
      <c r="M312" s="12"/>
      <c r="N312">
        <f t="shared" si="20"/>
        <v>0</v>
      </c>
      <c r="O312">
        <f t="shared" si="21"/>
        <v>1</v>
      </c>
      <c r="P312">
        <f t="shared" si="22"/>
        <v>0</v>
      </c>
      <c r="Q312">
        <f t="shared" si="23"/>
        <v>0</v>
      </c>
      <c r="R312">
        <f t="shared" si="24"/>
        <v>0</v>
      </c>
    </row>
    <row r="313" spans="1:18" ht="17" x14ac:dyDescent="0.2">
      <c r="A313">
        <v>312</v>
      </c>
      <c r="B313" s="1" t="s">
        <v>1511</v>
      </c>
      <c r="C313" t="s">
        <v>111</v>
      </c>
      <c r="E313">
        <v>1</v>
      </c>
      <c r="I313" s="12"/>
      <c r="J313" s="12">
        <v>1</v>
      </c>
      <c r="K313" s="12"/>
      <c r="L313" s="12"/>
      <c r="M313" s="12"/>
      <c r="N313">
        <f t="shared" si="20"/>
        <v>0</v>
      </c>
      <c r="O313">
        <f t="shared" si="21"/>
        <v>1</v>
      </c>
      <c r="P313">
        <f t="shared" si="22"/>
        <v>0</v>
      </c>
      <c r="Q313">
        <f t="shared" si="23"/>
        <v>0</v>
      </c>
      <c r="R313">
        <f t="shared" si="24"/>
        <v>0</v>
      </c>
    </row>
    <row r="314" spans="1:18" ht="102" x14ac:dyDescent="0.2">
      <c r="A314">
        <v>313</v>
      </c>
      <c r="B314" s="1" t="s">
        <v>1517</v>
      </c>
      <c r="C314" t="s">
        <v>125</v>
      </c>
      <c r="E314">
        <v>1</v>
      </c>
      <c r="I314" s="12"/>
      <c r="J314" s="12">
        <v>1</v>
      </c>
      <c r="K314" s="12"/>
      <c r="L314" s="12"/>
      <c r="M314" s="12"/>
      <c r="N314">
        <f t="shared" si="20"/>
        <v>0</v>
      </c>
      <c r="O314">
        <f t="shared" si="21"/>
        <v>1</v>
      </c>
      <c r="P314">
        <f t="shared" si="22"/>
        <v>0</v>
      </c>
      <c r="Q314">
        <f t="shared" si="23"/>
        <v>0</v>
      </c>
      <c r="R314">
        <f t="shared" si="24"/>
        <v>0</v>
      </c>
    </row>
    <row r="315" spans="1:18" ht="51" x14ac:dyDescent="0.2">
      <c r="A315">
        <v>314</v>
      </c>
      <c r="B315" s="1" t="s">
        <v>1522</v>
      </c>
      <c r="C315" t="s">
        <v>111</v>
      </c>
      <c r="E315">
        <v>1</v>
      </c>
      <c r="F315">
        <v>1</v>
      </c>
      <c r="I315" s="12"/>
      <c r="J315" s="12">
        <v>1</v>
      </c>
      <c r="K315" s="12">
        <v>1</v>
      </c>
      <c r="L315" s="12"/>
      <c r="M315" s="12"/>
      <c r="N315">
        <f t="shared" si="20"/>
        <v>0</v>
      </c>
      <c r="O315">
        <f t="shared" si="21"/>
        <v>1</v>
      </c>
      <c r="P315">
        <f t="shared" si="22"/>
        <v>1</v>
      </c>
      <c r="Q315">
        <f t="shared" si="23"/>
        <v>0</v>
      </c>
      <c r="R315">
        <f t="shared" si="24"/>
        <v>0</v>
      </c>
    </row>
    <row r="316" spans="1:18" ht="68" x14ac:dyDescent="0.2">
      <c r="A316">
        <v>315</v>
      </c>
      <c r="B316" s="1" t="s">
        <v>1526</v>
      </c>
      <c r="C316" t="s">
        <v>111</v>
      </c>
      <c r="I316" s="12">
        <v>1</v>
      </c>
      <c r="J316" s="12"/>
      <c r="K316" s="12"/>
      <c r="L316" s="12"/>
      <c r="M316" s="12"/>
      <c r="N316" t="str">
        <f t="shared" si="20"/>
        <v>Disagree</v>
      </c>
      <c r="O316">
        <f t="shared" si="21"/>
        <v>0</v>
      </c>
      <c r="P316">
        <f t="shared" si="22"/>
        <v>0</v>
      </c>
      <c r="Q316">
        <f t="shared" si="23"/>
        <v>0</v>
      </c>
      <c r="R316">
        <f t="shared" si="24"/>
        <v>0</v>
      </c>
    </row>
    <row r="317" spans="1:18" ht="34" x14ac:dyDescent="0.2">
      <c r="A317">
        <v>316</v>
      </c>
      <c r="B317" s="1" t="s">
        <v>1530</v>
      </c>
      <c r="C317" t="s">
        <v>105</v>
      </c>
      <c r="D317">
        <v>1</v>
      </c>
      <c r="I317" s="12">
        <v>1</v>
      </c>
      <c r="J317" s="12"/>
      <c r="K317" s="12"/>
      <c r="L317" s="12"/>
      <c r="M317" s="12"/>
      <c r="N317">
        <f t="shared" si="20"/>
        <v>1</v>
      </c>
      <c r="O317">
        <f t="shared" si="21"/>
        <v>0</v>
      </c>
      <c r="P317">
        <f t="shared" si="22"/>
        <v>0</v>
      </c>
      <c r="Q317">
        <f t="shared" si="23"/>
        <v>0</v>
      </c>
      <c r="R317">
        <f t="shared" si="24"/>
        <v>0</v>
      </c>
    </row>
    <row r="318" spans="1:18" ht="34" x14ac:dyDescent="0.2">
      <c r="A318">
        <v>317</v>
      </c>
      <c r="B318" s="1" t="s">
        <v>1534</v>
      </c>
      <c r="C318" t="s">
        <v>111</v>
      </c>
      <c r="E318">
        <v>1</v>
      </c>
      <c r="F318">
        <v>1</v>
      </c>
      <c r="I318" s="12"/>
      <c r="J318" s="12">
        <v>1</v>
      </c>
      <c r="K318" s="12">
        <v>1</v>
      </c>
      <c r="L318" s="12"/>
      <c r="M318" s="12"/>
      <c r="N318">
        <f t="shared" si="20"/>
        <v>0</v>
      </c>
      <c r="O318">
        <f t="shared" si="21"/>
        <v>1</v>
      </c>
      <c r="P318">
        <f t="shared" si="22"/>
        <v>1</v>
      </c>
      <c r="Q318">
        <f t="shared" si="23"/>
        <v>0</v>
      </c>
      <c r="R318">
        <f t="shared" si="24"/>
        <v>0</v>
      </c>
    </row>
    <row r="319" spans="1:18" ht="85" x14ac:dyDescent="0.2">
      <c r="A319">
        <v>318</v>
      </c>
      <c r="B319" s="1" t="s">
        <v>1539</v>
      </c>
      <c r="C319" t="s">
        <v>111</v>
      </c>
      <c r="D319">
        <v>1</v>
      </c>
      <c r="I319" s="12">
        <v>1</v>
      </c>
      <c r="J319" s="12"/>
      <c r="K319" s="12"/>
      <c r="L319" s="12"/>
      <c r="M319" s="12"/>
      <c r="N319">
        <f t="shared" si="20"/>
        <v>1</v>
      </c>
      <c r="O319">
        <f t="shared" si="21"/>
        <v>0</v>
      </c>
      <c r="P319">
        <f t="shared" si="22"/>
        <v>0</v>
      </c>
      <c r="Q319">
        <f t="shared" si="23"/>
        <v>0</v>
      </c>
      <c r="R319">
        <f t="shared" si="24"/>
        <v>0</v>
      </c>
    </row>
    <row r="320" spans="1:18" ht="34" x14ac:dyDescent="0.2">
      <c r="A320">
        <v>319</v>
      </c>
      <c r="B320" s="1" t="s">
        <v>1545</v>
      </c>
      <c r="C320" t="s">
        <v>111</v>
      </c>
      <c r="E320">
        <v>1</v>
      </c>
      <c r="I320" s="12"/>
      <c r="J320" s="12">
        <v>1</v>
      </c>
      <c r="K320" s="12"/>
      <c r="L320" s="12"/>
      <c r="M320" s="12"/>
      <c r="N320">
        <f t="shared" si="20"/>
        <v>0</v>
      </c>
      <c r="O320">
        <f t="shared" si="21"/>
        <v>1</v>
      </c>
      <c r="P320">
        <f t="shared" si="22"/>
        <v>0</v>
      </c>
      <c r="Q320">
        <f t="shared" si="23"/>
        <v>0</v>
      </c>
      <c r="R320">
        <f t="shared" si="24"/>
        <v>0</v>
      </c>
    </row>
    <row r="321" spans="1:18" ht="17" x14ac:dyDescent="0.2">
      <c r="A321">
        <v>320</v>
      </c>
      <c r="B321" s="1" t="s">
        <v>1550</v>
      </c>
      <c r="C321" t="s">
        <v>105</v>
      </c>
      <c r="D321">
        <v>1</v>
      </c>
      <c r="I321" s="12">
        <v>1</v>
      </c>
      <c r="J321" s="12"/>
      <c r="K321" s="12"/>
      <c r="L321" s="12"/>
      <c r="M321" s="12"/>
      <c r="N321">
        <f t="shared" si="20"/>
        <v>1</v>
      </c>
      <c r="O321">
        <f t="shared" si="21"/>
        <v>0</v>
      </c>
      <c r="P321">
        <f t="shared" si="22"/>
        <v>0</v>
      </c>
      <c r="Q321">
        <f t="shared" si="23"/>
        <v>0</v>
      </c>
      <c r="R321">
        <f t="shared" si="24"/>
        <v>0</v>
      </c>
    </row>
    <row r="322" spans="1:18" ht="85" x14ac:dyDescent="0.2">
      <c r="A322">
        <v>321</v>
      </c>
      <c r="B322" s="1" t="s">
        <v>1554</v>
      </c>
      <c r="C322" t="s">
        <v>97</v>
      </c>
      <c r="I322" s="12"/>
      <c r="J322" s="12"/>
      <c r="K322" s="12"/>
      <c r="L322" s="12"/>
      <c r="M322" s="12">
        <v>1</v>
      </c>
      <c r="N322">
        <f t="shared" si="20"/>
        <v>0</v>
      </c>
      <c r="O322">
        <f t="shared" si="21"/>
        <v>0</v>
      </c>
      <c r="P322">
        <f t="shared" si="22"/>
        <v>0</v>
      </c>
      <c r="Q322">
        <f t="shared" si="23"/>
        <v>0</v>
      </c>
      <c r="R322" t="str">
        <f t="shared" si="24"/>
        <v>Disagree</v>
      </c>
    </row>
    <row r="323" spans="1:18" ht="17" x14ac:dyDescent="0.2">
      <c r="A323">
        <v>322</v>
      </c>
      <c r="B323" s="1" t="s">
        <v>1558</v>
      </c>
      <c r="C323" t="s">
        <v>105</v>
      </c>
      <c r="D323">
        <v>1</v>
      </c>
      <c r="I323" s="12">
        <v>1</v>
      </c>
      <c r="J323" s="12"/>
      <c r="K323" s="12"/>
      <c r="L323" s="12"/>
      <c r="M323" s="12"/>
      <c r="N323">
        <f t="shared" ref="N323:N386" si="25">IF(D323=I323,D323,"Disagree")</f>
        <v>1</v>
      </c>
      <c r="O323">
        <f t="shared" ref="O323:O386" si="26">IF(E323=J323,E323,"Disagree")</f>
        <v>0</v>
      </c>
      <c r="P323">
        <f t="shared" ref="P323:P386" si="27">IF(F323=K323,F323,"Disagree")</f>
        <v>0</v>
      </c>
      <c r="Q323">
        <f t="shared" ref="Q323:Q386" si="28">IF(G323=L323,G323,"Disagree")</f>
        <v>0</v>
      </c>
      <c r="R323">
        <f t="shared" ref="R323:R386" si="29">IF(H323=M323,H323,"Disagree")</f>
        <v>0</v>
      </c>
    </row>
    <row r="324" spans="1:18" ht="102" x14ac:dyDescent="0.2">
      <c r="A324">
        <v>323</v>
      </c>
      <c r="B324" s="1" t="s">
        <v>1562</v>
      </c>
      <c r="C324" t="s">
        <v>105</v>
      </c>
      <c r="D324">
        <v>1</v>
      </c>
      <c r="I324" s="12">
        <v>1</v>
      </c>
      <c r="J324" s="12"/>
      <c r="K324" s="12"/>
      <c r="L324" s="12"/>
      <c r="M324" s="12"/>
      <c r="N324">
        <f t="shared" si="25"/>
        <v>1</v>
      </c>
      <c r="O324">
        <f t="shared" si="26"/>
        <v>0</v>
      </c>
      <c r="P324">
        <f t="shared" si="27"/>
        <v>0</v>
      </c>
      <c r="Q324">
        <f t="shared" si="28"/>
        <v>0</v>
      </c>
      <c r="R324">
        <f t="shared" si="29"/>
        <v>0</v>
      </c>
    </row>
    <row r="325" spans="1:18" ht="68" x14ac:dyDescent="0.2">
      <c r="A325">
        <v>324</v>
      </c>
      <c r="B325" s="1" t="s">
        <v>1566</v>
      </c>
      <c r="C325" t="s">
        <v>125</v>
      </c>
      <c r="D325">
        <v>1</v>
      </c>
      <c r="I325" s="12">
        <v>1</v>
      </c>
      <c r="J325" s="12"/>
      <c r="K325" s="12"/>
      <c r="L325" s="12"/>
      <c r="M325" s="12"/>
      <c r="N325">
        <f t="shared" si="25"/>
        <v>1</v>
      </c>
      <c r="O325">
        <f t="shared" si="26"/>
        <v>0</v>
      </c>
      <c r="P325">
        <f t="shared" si="27"/>
        <v>0</v>
      </c>
      <c r="Q325">
        <f t="shared" si="28"/>
        <v>0</v>
      </c>
      <c r="R325">
        <f t="shared" si="29"/>
        <v>0</v>
      </c>
    </row>
    <row r="326" spans="1:18" ht="34" x14ac:dyDescent="0.2">
      <c r="A326">
        <v>325</v>
      </c>
      <c r="B326" s="1" t="s">
        <v>1570</v>
      </c>
      <c r="C326" t="s">
        <v>125</v>
      </c>
      <c r="E326">
        <v>1</v>
      </c>
      <c r="I326" s="12"/>
      <c r="J326" s="12">
        <v>1</v>
      </c>
      <c r="K326" s="12"/>
      <c r="L326" s="12"/>
      <c r="M326" s="12"/>
      <c r="N326">
        <f t="shared" si="25"/>
        <v>0</v>
      </c>
      <c r="O326">
        <f t="shared" si="26"/>
        <v>1</v>
      </c>
      <c r="P326">
        <f t="shared" si="27"/>
        <v>0</v>
      </c>
      <c r="Q326">
        <f t="shared" si="28"/>
        <v>0</v>
      </c>
      <c r="R326">
        <f t="shared" si="29"/>
        <v>0</v>
      </c>
    </row>
    <row r="327" spans="1:18" ht="34" x14ac:dyDescent="0.2">
      <c r="A327">
        <v>326</v>
      </c>
      <c r="B327" s="1" t="s">
        <v>1576</v>
      </c>
      <c r="C327" t="s">
        <v>125</v>
      </c>
      <c r="E327">
        <v>1</v>
      </c>
      <c r="F327">
        <v>1</v>
      </c>
      <c r="I327" s="12"/>
      <c r="J327" s="12">
        <v>1</v>
      </c>
      <c r="K327" s="12">
        <v>1</v>
      </c>
      <c r="L327" s="12"/>
      <c r="M327" s="12"/>
      <c r="N327">
        <f t="shared" si="25"/>
        <v>0</v>
      </c>
      <c r="O327">
        <f t="shared" si="26"/>
        <v>1</v>
      </c>
      <c r="P327">
        <f t="shared" si="27"/>
        <v>1</v>
      </c>
      <c r="Q327">
        <f t="shared" si="28"/>
        <v>0</v>
      </c>
      <c r="R327">
        <f t="shared" si="29"/>
        <v>0</v>
      </c>
    </row>
    <row r="328" spans="1:18" ht="68" x14ac:dyDescent="0.2">
      <c r="A328">
        <v>327</v>
      </c>
      <c r="B328" s="1" t="s">
        <v>1580</v>
      </c>
      <c r="C328" t="s">
        <v>97</v>
      </c>
      <c r="D328">
        <v>1</v>
      </c>
      <c r="I328" s="12">
        <v>1</v>
      </c>
      <c r="J328" s="12"/>
      <c r="K328" s="12"/>
      <c r="L328" s="12"/>
      <c r="M328" s="12"/>
      <c r="N328">
        <f t="shared" si="25"/>
        <v>1</v>
      </c>
      <c r="O328">
        <f t="shared" si="26"/>
        <v>0</v>
      </c>
      <c r="P328">
        <f t="shared" si="27"/>
        <v>0</v>
      </c>
      <c r="Q328">
        <f t="shared" si="28"/>
        <v>0</v>
      </c>
      <c r="R328">
        <f t="shared" si="29"/>
        <v>0</v>
      </c>
    </row>
    <row r="329" spans="1:18" ht="17" x14ac:dyDescent="0.2">
      <c r="A329">
        <v>328</v>
      </c>
      <c r="B329" s="1" t="s">
        <v>1584</v>
      </c>
      <c r="C329" t="s">
        <v>97</v>
      </c>
      <c r="D329">
        <v>1</v>
      </c>
      <c r="I329" s="12">
        <v>1</v>
      </c>
      <c r="J329" s="12"/>
      <c r="K329" s="12"/>
      <c r="L329" s="12"/>
      <c r="M329" s="12"/>
      <c r="N329">
        <f t="shared" si="25"/>
        <v>1</v>
      </c>
      <c r="O329">
        <f t="shared" si="26"/>
        <v>0</v>
      </c>
      <c r="P329">
        <f t="shared" si="27"/>
        <v>0</v>
      </c>
      <c r="Q329">
        <f t="shared" si="28"/>
        <v>0</v>
      </c>
      <c r="R329">
        <f t="shared" si="29"/>
        <v>0</v>
      </c>
    </row>
    <row r="330" spans="1:18" ht="68" x14ac:dyDescent="0.2">
      <c r="A330">
        <v>329</v>
      </c>
      <c r="B330" s="1" t="s">
        <v>1588</v>
      </c>
      <c r="C330" t="s">
        <v>97</v>
      </c>
      <c r="D330">
        <v>1</v>
      </c>
      <c r="I330" s="12">
        <v>1</v>
      </c>
      <c r="J330" s="12"/>
      <c r="K330" s="12"/>
      <c r="L330" s="12"/>
      <c r="M330" s="12"/>
      <c r="N330">
        <f t="shared" si="25"/>
        <v>1</v>
      </c>
      <c r="O330">
        <f t="shared" si="26"/>
        <v>0</v>
      </c>
      <c r="P330">
        <f t="shared" si="27"/>
        <v>0</v>
      </c>
      <c r="Q330">
        <f t="shared" si="28"/>
        <v>0</v>
      </c>
      <c r="R330">
        <f t="shared" si="29"/>
        <v>0</v>
      </c>
    </row>
    <row r="331" spans="1:18" ht="153" x14ac:dyDescent="0.2">
      <c r="A331">
        <v>330</v>
      </c>
      <c r="B331" s="1" t="s">
        <v>1592</v>
      </c>
      <c r="C331" t="s">
        <v>111</v>
      </c>
      <c r="E331">
        <v>1</v>
      </c>
      <c r="F331">
        <v>1</v>
      </c>
      <c r="I331" s="12"/>
      <c r="J331" s="12">
        <v>1</v>
      </c>
      <c r="K331" s="12">
        <v>1</v>
      </c>
      <c r="L331" s="12"/>
      <c r="M331" s="12"/>
      <c r="N331">
        <f t="shared" si="25"/>
        <v>0</v>
      </c>
      <c r="O331">
        <f t="shared" si="26"/>
        <v>1</v>
      </c>
      <c r="P331">
        <f t="shared" si="27"/>
        <v>1</v>
      </c>
      <c r="Q331">
        <f t="shared" si="28"/>
        <v>0</v>
      </c>
      <c r="R331">
        <f t="shared" si="29"/>
        <v>0</v>
      </c>
    </row>
    <row r="332" spans="1:18" ht="102" x14ac:dyDescent="0.2">
      <c r="A332">
        <v>331</v>
      </c>
      <c r="B332" s="1" t="s">
        <v>1596</v>
      </c>
      <c r="C332" t="s">
        <v>97</v>
      </c>
      <c r="G332">
        <v>1</v>
      </c>
      <c r="I332" s="12"/>
      <c r="J332" s="12"/>
      <c r="K332" s="12"/>
      <c r="L332" s="12">
        <v>1</v>
      </c>
      <c r="M332" s="12"/>
      <c r="N332">
        <f t="shared" si="25"/>
        <v>0</v>
      </c>
      <c r="O332">
        <f t="shared" si="26"/>
        <v>0</v>
      </c>
      <c r="P332">
        <f t="shared" si="27"/>
        <v>0</v>
      </c>
      <c r="Q332">
        <f t="shared" si="28"/>
        <v>1</v>
      </c>
      <c r="R332">
        <f t="shared" si="29"/>
        <v>0</v>
      </c>
    </row>
    <row r="333" spans="1:18" ht="68" x14ac:dyDescent="0.2">
      <c r="A333">
        <v>332</v>
      </c>
      <c r="B333" s="1" t="s">
        <v>1600</v>
      </c>
      <c r="C333" t="s">
        <v>125</v>
      </c>
      <c r="E333">
        <v>1</v>
      </c>
      <c r="F333">
        <v>1</v>
      </c>
      <c r="I333" s="12"/>
      <c r="J333" s="12">
        <v>1</v>
      </c>
      <c r="K333" s="12">
        <v>1</v>
      </c>
      <c r="L333" s="12"/>
      <c r="M333" s="12"/>
      <c r="N333">
        <f t="shared" si="25"/>
        <v>0</v>
      </c>
      <c r="O333">
        <f t="shared" si="26"/>
        <v>1</v>
      </c>
      <c r="P333">
        <f t="shared" si="27"/>
        <v>1</v>
      </c>
      <c r="Q333">
        <f t="shared" si="28"/>
        <v>0</v>
      </c>
      <c r="R333">
        <f t="shared" si="29"/>
        <v>0</v>
      </c>
    </row>
    <row r="334" spans="1:18" ht="34" x14ac:dyDescent="0.2">
      <c r="A334">
        <v>333</v>
      </c>
      <c r="B334" s="1" t="s">
        <v>1604</v>
      </c>
      <c r="C334" t="s">
        <v>125</v>
      </c>
      <c r="D334">
        <v>1</v>
      </c>
      <c r="I334" s="12">
        <v>1</v>
      </c>
      <c r="J334" s="12"/>
      <c r="K334" s="12"/>
      <c r="L334" s="12"/>
      <c r="M334" s="12"/>
      <c r="N334">
        <f t="shared" si="25"/>
        <v>1</v>
      </c>
      <c r="O334">
        <f t="shared" si="26"/>
        <v>0</v>
      </c>
      <c r="P334">
        <f t="shared" si="27"/>
        <v>0</v>
      </c>
      <c r="Q334">
        <f t="shared" si="28"/>
        <v>0</v>
      </c>
      <c r="R334">
        <f t="shared" si="29"/>
        <v>0</v>
      </c>
    </row>
    <row r="335" spans="1:18" ht="51" x14ac:dyDescent="0.2">
      <c r="A335">
        <v>334</v>
      </c>
      <c r="B335" s="1" t="s">
        <v>1608</v>
      </c>
      <c r="C335" t="s">
        <v>97</v>
      </c>
      <c r="D335">
        <v>1</v>
      </c>
      <c r="I335" s="12"/>
      <c r="J335" s="12">
        <v>1</v>
      </c>
      <c r="K335" s="12">
        <v>1</v>
      </c>
      <c r="L335" s="12"/>
      <c r="M335" s="12"/>
      <c r="N335" t="str">
        <f t="shared" si="25"/>
        <v>Disagree</v>
      </c>
      <c r="O335" t="str">
        <f t="shared" si="26"/>
        <v>Disagree</v>
      </c>
      <c r="P335" t="str">
        <f t="shared" si="27"/>
        <v>Disagree</v>
      </c>
      <c r="Q335">
        <f t="shared" si="28"/>
        <v>0</v>
      </c>
      <c r="R335">
        <f t="shared" si="29"/>
        <v>0</v>
      </c>
    </row>
    <row r="336" spans="1:18" ht="85" x14ac:dyDescent="0.2">
      <c r="A336">
        <v>335</v>
      </c>
      <c r="B336" s="1" t="s">
        <v>1612</v>
      </c>
      <c r="C336" t="s">
        <v>105</v>
      </c>
      <c r="D336">
        <v>1</v>
      </c>
      <c r="H336">
        <v>1</v>
      </c>
      <c r="I336" s="12">
        <v>1</v>
      </c>
      <c r="J336" s="12"/>
      <c r="K336" s="12">
        <v>1</v>
      </c>
      <c r="L336" s="12"/>
      <c r="M336" s="12"/>
      <c r="N336">
        <f t="shared" si="25"/>
        <v>1</v>
      </c>
      <c r="O336">
        <f t="shared" si="26"/>
        <v>0</v>
      </c>
      <c r="P336" t="str">
        <f t="shared" si="27"/>
        <v>Disagree</v>
      </c>
      <c r="Q336">
        <f t="shared" si="28"/>
        <v>0</v>
      </c>
      <c r="R336" t="str">
        <f t="shared" si="29"/>
        <v>Disagree</v>
      </c>
    </row>
    <row r="337" spans="1:18" ht="17" x14ac:dyDescent="0.2">
      <c r="A337">
        <v>336</v>
      </c>
      <c r="B337" s="1" t="s">
        <v>1616</v>
      </c>
      <c r="C337" t="s">
        <v>105</v>
      </c>
      <c r="I337" s="12">
        <v>1</v>
      </c>
      <c r="J337" s="12"/>
      <c r="K337" s="12"/>
      <c r="L337" s="12"/>
      <c r="M337" s="12"/>
      <c r="N337" t="str">
        <f t="shared" si="25"/>
        <v>Disagree</v>
      </c>
      <c r="O337">
        <f t="shared" si="26"/>
        <v>0</v>
      </c>
      <c r="P337">
        <f t="shared" si="27"/>
        <v>0</v>
      </c>
      <c r="Q337">
        <f t="shared" si="28"/>
        <v>0</v>
      </c>
      <c r="R337">
        <f t="shared" si="29"/>
        <v>0</v>
      </c>
    </row>
    <row r="338" spans="1:18" ht="136" x14ac:dyDescent="0.2">
      <c r="A338">
        <v>337</v>
      </c>
      <c r="B338" s="1" t="s">
        <v>1620</v>
      </c>
      <c r="C338" t="s">
        <v>111</v>
      </c>
      <c r="E338">
        <v>1</v>
      </c>
      <c r="F338">
        <v>1</v>
      </c>
      <c r="I338" s="12"/>
      <c r="J338" s="12">
        <v>1</v>
      </c>
      <c r="K338" s="12">
        <v>1</v>
      </c>
      <c r="L338" s="12"/>
      <c r="M338" s="12"/>
      <c r="N338">
        <f t="shared" si="25"/>
        <v>0</v>
      </c>
      <c r="O338">
        <f t="shared" si="26"/>
        <v>1</v>
      </c>
      <c r="P338">
        <f t="shared" si="27"/>
        <v>1</v>
      </c>
      <c r="Q338">
        <f t="shared" si="28"/>
        <v>0</v>
      </c>
      <c r="R338">
        <f t="shared" si="29"/>
        <v>0</v>
      </c>
    </row>
    <row r="339" spans="1:18" ht="17" x14ac:dyDescent="0.2">
      <c r="A339">
        <v>338</v>
      </c>
      <c r="B339" s="1" t="s">
        <v>1624</v>
      </c>
      <c r="C339" t="s">
        <v>105</v>
      </c>
      <c r="I339" s="12">
        <v>1</v>
      </c>
      <c r="J339" s="12"/>
      <c r="K339" s="12"/>
      <c r="L339" s="12"/>
      <c r="M339" s="12"/>
      <c r="N339" t="str">
        <f t="shared" si="25"/>
        <v>Disagree</v>
      </c>
      <c r="O339">
        <f t="shared" si="26"/>
        <v>0</v>
      </c>
      <c r="P339">
        <f t="shared" si="27"/>
        <v>0</v>
      </c>
      <c r="Q339">
        <f t="shared" si="28"/>
        <v>0</v>
      </c>
      <c r="R339">
        <f t="shared" si="29"/>
        <v>0</v>
      </c>
    </row>
    <row r="340" spans="1:18" ht="85" x14ac:dyDescent="0.2">
      <c r="A340">
        <v>339</v>
      </c>
      <c r="B340" s="1" t="s">
        <v>1628</v>
      </c>
      <c r="C340" t="s">
        <v>97</v>
      </c>
      <c r="D340">
        <v>1</v>
      </c>
      <c r="I340" s="12">
        <v>1</v>
      </c>
      <c r="J340" s="12"/>
      <c r="K340" s="12"/>
      <c r="L340" s="12"/>
      <c r="M340" s="12"/>
      <c r="N340">
        <f t="shared" si="25"/>
        <v>1</v>
      </c>
      <c r="O340">
        <f t="shared" si="26"/>
        <v>0</v>
      </c>
      <c r="P340">
        <f t="shared" si="27"/>
        <v>0</v>
      </c>
      <c r="Q340">
        <f t="shared" si="28"/>
        <v>0</v>
      </c>
      <c r="R340">
        <f t="shared" si="29"/>
        <v>0</v>
      </c>
    </row>
    <row r="341" spans="1:18" ht="34" x14ac:dyDescent="0.2">
      <c r="A341">
        <v>342</v>
      </c>
      <c r="B341" s="1" t="s">
        <v>1639</v>
      </c>
      <c r="C341" t="s">
        <v>125</v>
      </c>
      <c r="I341" s="12">
        <v>1</v>
      </c>
      <c r="J341" s="12"/>
      <c r="K341" s="12"/>
      <c r="L341" s="12"/>
      <c r="M341" s="12"/>
      <c r="N341" t="str">
        <f t="shared" si="25"/>
        <v>Disagree</v>
      </c>
      <c r="O341">
        <f t="shared" si="26"/>
        <v>0</v>
      </c>
      <c r="P341">
        <f t="shared" si="27"/>
        <v>0</v>
      </c>
      <c r="Q341">
        <f t="shared" si="28"/>
        <v>0</v>
      </c>
      <c r="R341">
        <f t="shared" si="29"/>
        <v>0</v>
      </c>
    </row>
    <row r="342" spans="1:18" ht="85" x14ac:dyDescent="0.2">
      <c r="A342">
        <v>343</v>
      </c>
      <c r="B342" s="1" t="s">
        <v>1643</v>
      </c>
      <c r="C342" t="s">
        <v>111</v>
      </c>
      <c r="D342">
        <v>1</v>
      </c>
      <c r="I342" s="12">
        <v>1</v>
      </c>
      <c r="J342" s="12"/>
      <c r="K342" s="12"/>
      <c r="L342" s="12"/>
      <c r="M342" s="12"/>
      <c r="N342">
        <f t="shared" si="25"/>
        <v>1</v>
      </c>
      <c r="O342">
        <f t="shared" si="26"/>
        <v>0</v>
      </c>
      <c r="P342">
        <f t="shared" si="27"/>
        <v>0</v>
      </c>
      <c r="Q342">
        <f t="shared" si="28"/>
        <v>0</v>
      </c>
      <c r="R342">
        <f t="shared" si="29"/>
        <v>0</v>
      </c>
    </row>
    <row r="343" spans="1:18" ht="51" x14ac:dyDescent="0.2">
      <c r="A343">
        <v>344</v>
      </c>
      <c r="B343" s="1" t="s">
        <v>1648</v>
      </c>
      <c r="C343" t="s">
        <v>125</v>
      </c>
      <c r="E343">
        <v>1</v>
      </c>
      <c r="F343">
        <v>1</v>
      </c>
      <c r="I343" s="12"/>
      <c r="J343" s="12">
        <v>1</v>
      </c>
      <c r="K343" s="12">
        <v>1</v>
      </c>
      <c r="L343" s="12"/>
      <c r="M343" s="12"/>
      <c r="N343">
        <f t="shared" si="25"/>
        <v>0</v>
      </c>
      <c r="O343">
        <f t="shared" si="26"/>
        <v>1</v>
      </c>
      <c r="P343">
        <f t="shared" si="27"/>
        <v>1</v>
      </c>
      <c r="Q343">
        <f t="shared" si="28"/>
        <v>0</v>
      </c>
      <c r="R343">
        <f t="shared" si="29"/>
        <v>0</v>
      </c>
    </row>
    <row r="344" spans="1:18" ht="119" x14ac:dyDescent="0.2">
      <c r="A344">
        <v>345</v>
      </c>
      <c r="B344" s="1" t="s">
        <v>1652</v>
      </c>
      <c r="C344" t="s">
        <v>105</v>
      </c>
      <c r="D344">
        <v>1</v>
      </c>
      <c r="H344">
        <v>1</v>
      </c>
      <c r="I344" s="12">
        <v>1</v>
      </c>
      <c r="J344" s="12"/>
      <c r="K344" s="12">
        <v>1</v>
      </c>
      <c r="L344" s="12"/>
      <c r="M344" s="12">
        <v>1</v>
      </c>
      <c r="N344">
        <f t="shared" si="25"/>
        <v>1</v>
      </c>
      <c r="O344">
        <f t="shared" si="26"/>
        <v>0</v>
      </c>
      <c r="P344" t="str">
        <f t="shared" si="27"/>
        <v>Disagree</v>
      </c>
      <c r="Q344">
        <f t="shared" si="28"/>
        <v>0</v>
      </c>
      <c r="R344">
        <f t="shared" si="29"/>
        <v>1</v>
      </c>
    </row>
    <row r="345" spans="1:18" ht="34" x14ac:dyDescent="0.2">
      <c r="A345">
        <v>346</v>
      </c>
      <c r="B345" s="1" t="s">
        <v>1656</v>
      </c>
      <c r="C345" t="s">
        <v>111</v>
      </c>
      <c r="E345">
        <v>1</v>
      </c>
      <c r="F345">
        <v>1</v>
      </c>
      <c r="I345" s="12"/>
      <c r="J345" s="12">
        <v>1</v>
      </c>
      <c r="K345" s="12">
        <v>1</v>
      </c>
      <c r="L345" s="12"/>
      <c r="M345" s="12"/>
      <c r="N345">
        <f t="shared" si="25"/>
        <v>0</v>
      </c>
      <c r="O345">
        <f t="shared" si="26"/>
        <v>1</v>
      </c>
      <c r="P345">
        <f t="shared" si="27"/>
        <v>1</v>
      </c>
      <c r="Q345">
        <f t="shared" si="28"/>
        <v>0</v>
      </c>
      <c r="R345">
        <f t="shared" si="29"/>
        <v>0</v>
      </c>
    </row>
    <row r="346" spans="1:18" ht="34" x14ac:dyDescent="0.2">
      <c r="A346">
        <v>347</v>
      </c>
      <c r="B346" s="1" t="s">
        <v>1660</v>
      </c>
      <c r="C346" t="s">
        <v>111</v>
      </c>
      <c r="E346">
        <v>1</v>
      </c>
      <c r="F346">
        <v>1</v>
      </c>
      <c r="I346" s="12"/>
      <c r="J346" s="12">
        <v>1</v>
      </c>
      <c r="K346" s="12">
        <v>1</v>
      </c>
      <c r="L346" s="12"/>
      <c r="M346" s="12"/>
      <c r="N346">
        <f t="shared" si="25"/>
        <v>0</v>
      </c>
      <c r="O346">
        <f t="shared" si="26"/>
        <v>1</v>
      </c>
      <c r="P346">
        <f t="shared" si="27"/>
        <v>1</v>
      </c>
      <c r="Q346">
        <f t="shared" si="28"/>
        <v>0</v>
      </c>
      <c r="R346">
        <f t="shared" si="29"/>
        <v>0</v>
      </c>
    </row>
    <row r="347" spans="1:18" ht="51" x14ac:dyDescent="0.2">
      <c r="A347">
        <v>348</v>
      </c>
      <c r="B347" s="1" t="s">
        <v>1664</v>
      </c>
      <c r="C347" t="s">
        <v>125</v>
      </c>
      <c r="E347">
        <v>1</v>
      </c>
      <c r="F347">
        <v>1</v>
      </c>
      <c r="I347" s="12"/>
      <c r="J347" s="12">
        <v>1</v>
      </c>
      <c r="K347" s="12">
        <v>1</v>
      </c>
      <c r="L347" s="12"/>
      <c r="M347" s="12"/>
      <c r="N347">
        <f t="shared" si="25"/>
        <v>0</v>
      </c>
      <c r="O347">
        <f t="shared" si="26"/>
        <v>1</v>
      </c>
      <c r="P347">
        <f t="shared" si="27"/>
        <v>1</v>
      </c>
      <c r="Q347">
        <f t="shared" si="28"/>
        <v>0</v>
      </c>
      <c r="R347">
        <f t="shared" si="29"/>
        <v>0</v>
      </c>
    </row>
    <row r="348" spans="1:18" ht="17" x14ac:dyDescent="0.2">
      <c r="A348">
        <v>349</v>
      </c>
      <c r="B348" s="1" t="s">
        <v>1668</v>
      </c>
      <c r="C348" t="s">
        <v>125</v>
      </c>
      <c r="D348">
        <v>1</v>
      </c>
      <c r="I348" s="12">
        <v>1</v>
      </c>
      <c r="J348" s="12"/>
      <c r="K348" s="12"/>
      <c r="L348" s="12"/>
      <c r="M348" s="12"/>
      <c r="N348">
        <f t="shared" si="25"/>
        <v>1</v>
      </c>
      <c r="O348">
        <f t="shared" si="26"/>
        <v>0</v>
      </c>
      <c r="P348">
        <f t="shared" si="27"/>
        <v>0</v>
      </c>
      <c r="Q348">
        <f t="shared" si="28"/>
        <v>0</v>
      </c>
      <c r="R348">
        <f t="shared" si="29"/>
        <v>0</v>
      </c>
    </row>
    <row r="349" spans="1:18" ht="17" x14ac:dyDescent="0.2">
      <c r="A349">
        <v>350</v>
      </c>
      <c r="B349" s="1" t="s">
        <v>1672</v>
      </c>
      <c r="C349" t="s">
        <v>125</v>
      </c>
      <c r="D349">
        <v>1</v>
      </c>
      <c r="I349" s="12"/>
      <c r="J349" s="12"/>
      <c r="K349" s="12"/>
      <c r="L349" s="12"/>
      <c r="M349" s="12"/>
      <c r="N349" t="str">
        <f t="shared" si="25"/>
        <v>Disagree</v>
      </c>
      <c r="O349">
        <f t="shared" si="26"/>
        <v>0</v>
      </c>
      <c r="P349">
        <f t="shared" si="27"/>
        <v>0</v>
      </c>
      <c r="Q349">
        <f t="shared" si="28"/>
        <v>0</v>
      </c>
      <c r="R349">
        <f t="shared" si="29"/>
        <v>0</v>
      </c>
    </row>
    <row r="350" spans="1:18" ht="34" x14ac:dyDescent="0.2">
      <c r="A350">
        <v>351</v>
      </c>
      <c r="B350" s="1" t="s">
        <v>1676</v>
      </c>
      <c r="C350" t="s">
        <v>97</v>
      </c>
      <c r="I350" s="12">
        <v>1</v>
      </c>
      <c r="J350" s="12"/>
      <c r="K350" s="12"/>
      <c r="L350" s="12"/>
      <c r="M350" s="12"/>
      <c r="N350" t="str">
        <f t="shared" si="25"/>
        <v>Disagree</v>
      </c>
      <c r="O350">
        <f t="shared" si="26"/>
        <v>0</v>
      </c>
      <c r="P350">
        <f t="shared" si="27"/>
        <v>0</v>
      </c>
      <c r="Q350">
        <f t="shared" si="28"/>
        <v>0</v>
      </c>
      <c r="R350">
        <f t="shared" si="29"/>
        <v>0</v>
      </c>
    </row>
    <row r="351" spans="1:18" ht="51" x14ac:dyDescent="0.2">
      <c r="A351">
        <v>352</v>
      </c>
      <c r="B351" s="1" t="s">
        <v>1680</v>
      </c>
      <c r="C351" t="s">
        <v>105</v>
      </c>
      <c r="D351">
        <v>1</v>
      </c>
      <c r="I351" s="12">
        <v>1</v>
      </c>
      <c r="J351" s="12"/>
      <c r="K351" s="12"/>
      <c r="L351" s="12"/>
      <c r="M351" s="12"/>
      <c r="N351">
        <f t="shared" si="25"/>
        <v>1</v>
      </c>
      <c r="O351">
        <f t="shared" si="26"/>
        <v>0</v>
      </c>
      <c r="P351">
        <f t="shared" si="27"/>
        <v>0</v>
      </c>
      <c r="Q351">
        <f t="shared" si="28"/>
        <v>0</v>
      </c>
      <c r="R351">
        <f t="shared" si="29"/>
        <v>0</v>
      </c>
    </row>
    <row r="352" spans="1:18" ht="68" x14ac:dyDescent="0.2">
      <c r="A352">
        <v>353</v>
      </c>
      <c r="B352" s="1" t="s">
        <v>1685</v>
      </c>
      <c r="C352" t="s">
        <v>97</v>
      </c>
      <c r="D352">
        <v>1</v>
      </c>
      <c r="G352">
        <v>1</v>
      </c>
      <c r="H352">
        <v>1</v>
      </c>
      <c r="I352" s="12"/>
      <c r="J352" s="12"/>
      <c r="K352" s="12"/>
      <c r="L352" s="12">
        <v>1</v>
      </c>
      <c r="M352" s="12"/>
      <c r="N352" t="str">
        <f t="shared" si="25"/>
        <v>Disagree</v>
      </c>
      <c r="O352">
        <f t="shared" si="26"/>
        <v>0</v>
      </c>
      <c r="P352">
        <f t="shared" si="27"/>
        <v>0</v>
      </c>
      <c r="Q352">
        <f t="shared" si="28"/>
        <v>1</v>
      </c>
      <c r="R352" t="str">
        <f t="shared" si="29"/>
        <v>Disagree</v>
      </c>
    </row>
    <row r="353" spans="1:18" ht="85" x14ac:dyDescent="0.2">
      <c r="A353">
        <v>354</v>
      </c>
      <c r="B353" s="1" t="s">
        <v>1689</v>
      </c>
      <c r="C353" t="s">
        <v>105</v>
      </c>
      <c r="D353">
        <v>1</v>
      </c>
      <c r="I353" s="12">
        <v>1</v>
      </c>
      <c r="J353" s="12"/>
      <c r="K353" s="12"/>
      <c r="L353" s="12"/>
      <c r="M353" s="12"/>
      <c r="N353">
        <f t="shared" si="25"/>
        <v>1</v>
      </c>
      <c r="O353">
        <f t="shared" si="26"/>
        <v>0</v>
      </c>
      <c r="P353">
        <f t="shared" si="27"/>
        <v>0</v>
      </c>
      <c r="Q353">
        <f t="shared" si="28"/>
        <v>0</v>
      </c>
      <c r="R353">
        <f t="shared" si="29"/>
        <v>0</v>
      </c>
    </row>
    <row r="354" spans="1:18" ht="34" x14ac:dyDescent="0.2">
      <c r="A354">
        <v>355</v>
      </c>
      <c r="B354" s="1" t="s">
        <v>1693</v>
      </c>
      <c r="C354" t="s">
        <v>97</v>
      </c>
      <c r="D354">
        <v>1</v>
      </c>
      <c r="I354" s="12">
        <v>1</v>
      </c>
      <c r="J354" s="12"/>
      <c r="K354" s="12"/>
      <c r="L354" s="12"/>
      <c r="M354" s="12"/>
      <c r="N354">
        <f t="shared" si="25"/>
        <v>1</v>
      </c>
      <c r="O354">
        <f t="shared" si="26"/>
        <v>0</v>
      </c>
      <c r="P354">
        <f t="shared" si="27"/>
        <v>0</v>
      </c>
      <c r="Q354">
        <f t="shared" si="28"/>
        <v>0</v>
      </c>
      <c r="R354">
        <f t="shared" si="29"/>
        <v>0</v>
      </c>
    </row>
    <row r="355" spans="1:18" ht="85" x14ac:dyDescent="0.2">
      <c r="A355">
        <v>356</v>
      </c>
      <c r="B355" s="1" t="s">
        <v>1697</v>
      </c>
      <c r="C355" t="s">
        <v>97</v>
      </c>
      <c r="G355">
        <v>1</v>
      </c>
      <c r="I355" s="12"/>
      <c r="J355" s="12"/>
      <c r="K355" s="12"/>
      <c r="L355" s="12">
        <v>1</v>
      </c>
      <c r="M355" s="12"/>
      <c r="N355">
        <f t="shared" si="25"/>
        <v>0</v>
      </c>
      <c r="O355">
        <f t="shared" si="26"/>
        <v>0</v>
      </c>
      <c r="P355">
        <f t="shared" si="27"/>
        <v>0</v>
      </c>
      <c r="Q355">
        <f t="shared" si="28"/>
        <v>1</v>
      </c>
      <c r="R355">
        <f t="shared" si="29"/>
        <v>0</v>
      </c>
    </row>
    <row r="356" spans="1:18" ht="51" x14ac:dyDescent="0.2">
      <c r="A356">
        <v>357</v>
      </c>
      <c r="B356" s="1" t="s">
        <v>1701</v>
      </c>
      <c r="C356" t="s">
        <v>97</v>
      </c>
      <c r="D356">
        <v>1</v>
      </c>
      <c r="H356">
        <v>1</v>
      </c>
      <c r="I356" s="12">
        <v>1</v>
      </c>
      <c r="J356" s="12"/>
      <c r="K356" s="12"/>
      <c r="L356" s="12"/>
      <c r="M356" s="12"/>
      <c r="N356">
        <f t="shared" si="25"/>
        <v>1</v>
      </c>
      <c r="O356">
        <f t="shared" si="26"/>
        <v>0</v>
      </c>
      <c r="P356">
        <f t="shared" si="27"/>
        <v>0</v>
      </c>
      <c r="Q356">
        <f t="shared" si="28"/>
        <v>0</v>
      </c>
      <c r="R356" t="str">
        <f t="shared" si="29"/>
        <v>Disagree</v>
      </c>
    </row>
    <row r="357" spans="1:18" ht="51" x14ac:dyDescent="0.2">
      <c r="A357">
        <v>358</v>
      </c>
      <c r="B357" s="1" t="s">
        <v>1707</v>
      </c>
      <c r="C357" t="s">
        <v>125</v>
      </c>
      <c r="D357">
        <v>1</v>
      </c>
      <c r="I357" s="12">
        <v>1</v>
      </c>
      <c r="J357" s="12"/>
      <c r="K357" s="12"/>
      <c r="L357" s="12"/>
      <c r="M357" s="12"/>
      <c r="N357">
        <f t="shared" si="25"/>
        <v>1</v>
      </c>
      <c r="O357">
        <f t="shared" si="26"/>
        <v>0</v>
      </c>
      <c r="P357">
        <f t="shared" si="27"/>
        <v>0</v>
      </c>
      <c r="Q357">
        <f t="shared" si="28"/>
        <v>0</v>
      </c>
      <c r="R357">
        <f t="shared" si="29"/>
        <v>0</v>
      </c>
    </row>
    <row r="358" spans="1:18" ht="34" x14ac:dyDescent="0.2">
      <c r="A358">
        <v>359</v>
      </c>
      <c r="B358" s="1" t="s">
        <v>1711</v>
      </c>
      <c r="C358" t="s">
        <v>111</v>
      </c>
      <c r="E358">
        <v>1</v>
      </c>
      <c r="F358">
        <v>1</v>
      </c>
      <c r="I358" s="12"/>
      <c r="J358" s="12">
        <v>1</v>
      </c>
      <c r="K358" s="12">
        <v>1</v>
      </c>
      <c r="L358" s="12"/>
      <c r="M358" s="12"/>
      <c r="N358">
        <f t="shared" si="25"/>
        <v>0</v>
      </c>
      <c r="O358">
        <f t="shared" si="26"/>
        <v>1</v>
      </c>
      <c r="P358">
        <f t="shared" si="27"/>
        <v>1</v>
      </c>
      <c r="Q358">
        <f t="shared" si="28"/>
        <v>0</v>
      </c>
      <c r="R358">
        <f t="shared" si="29"/>
        <v>0</v>
      </c>
    </row>
    <row r="359" spans="1:18" ht="17" x14ac:dyDescent="0.2">
      <c r="A359">
        <v>360</v>
      </c>
      <c r="B359" s="1" t="s">
        <v>1715</v>
      </c>
      <c r="C359" t="s">
        <v>125</v>
      </c>
      <c r="D359">
        <v>1</v>
      </c>
      <c r="I359" s="12">
        <v>1</v>
      </c>
      <c r="J359" s="12"/>
      <c r="K359" s="12"/>
      <c r="L359" s="12"/>
      <c r="M359" s="12"/>
      <c r="N359">
        <f t="shared" si="25"/>
        <v>1</v>
      </c>
      <c r="O359">
        <f t="shared" si="26"/>
        <v>0</v>
      </c>
      <c r="P359">
        <f t="shared" si="27"/>
        <v>0</v>
      </c>
      <c r="Q359">
        <f t="shared" si="28"/>
        <v>0</v>
      </c>
      <c r="R359">
        <f t="shared" si="29"/>
        <v>0</v>
      </c>
    </row>
    <row r="360" spans="1:18" ht="68" x14ac:dyDescent="0.2">
      <c r="A360">
        <v>361</v>
      </c>
      <c r="B360" s="1" t="s">
        <v>1719</v>
      </c>
      <c r="C360" t="s">
        <v>105</v>
      </c>
      <c r="D360">
        <v>1</v>
      </c>
      <c r="H360">
        <v>1</v>
      </c>
      <c r="I360" s="12">
        <v>1</v>
      </c>
      <c r="J360" s="12"/>
      <c r="K360" s="12"/>
      <c r="L360" s="12"/>
      <c r="M360" s="12">
        <v>1</v>
      </c>
      <c r="N360">
        <f t="shared" si="25"/>
        <v>1</v>
      </c>
      <c r="O360">
        <f t="shared" si="26"/>
        <v>0</v>
      </c>
      <c r="P360">
        <f t="shared" si="27"/>
        <v>0</v>
      </c>
      <c r="Q360">
        <f t="shared" si="28"/>
        <v>0</v>
      </c>
      <c r="R360">
        <f t="shared" si="29"/>
        <v>1</v>
      </c>
    </row>
    <row r="361" spans="1:18" ht="153" x14ac:dyDescent="0.2">
      <c r="A361">
        <v>362</v>
      </c>
      <c r="B361" s="1" t="s">
        <v>1723</v>
      </c>
      <c r="C361" t="s">
        <v>111</v>
      </c>
      <c r="E361">
        <v>1</v>
      </c>
      <c r="F361">
        <v>1</v>
      </c>
      <c r="I361" s="12"/>
      <c r="J361" s="12">
        <v>1</v>
      </c>
      <c r="K361" s="12">
        <v>1</v>
      </c>
      <c r="L361" s="12"/>
      <c r="M361" s="12"/>
      <c r="N361">
        <f t="shared" si="25"/>
        <v>0</v>
      </c>
      <c r="O361">
        <f t="shared" si="26"/>
        <v>1</v>
      </c>
      <c r="P361">
        <f t="shared" si="27"/>
        <v>1</v>
      </c>
      <c r="Q361">
        <f t="shared" si="28"/>
        <v>0</v>
      </c>
      <c r="R361">
        <f t="shared" si="29"/>
        <v>0</v>
      </c>
    </row>
    <row r="362" spans="1:18" ht="17" x14ac:dyDescent="0.2">
      <c r="A362">
        <v>363</v>
      </c>
      <c r="B362" s="1" t="s">
        <v>1727</v>
      </c>
      <c r="C362" t="s">
        <v>105</v>
      </c>
      <c r="D362">
        <v>1</v>
      </c>
      <c r="I362" s="12">
        <v>1</v>
      </c>
      <c r="J362" s="12"/>
      <c r="K362" s="12"/>
      <c r="L362" s="12"/>
      <c r="M362" s="12"/>
      <c r="N362">
        <f t="shared" si="25"/>
        <v>1</v>
      </c>
      <c r="O362">
        <f t="shared" si="26"/>
        <v>0</v>
      </c>
      <c r="P362">
        <f t="shared" si="27"/>
        <v>0</v>
      </c>
      <c r="Q362">
        <f t="shared" si="28"/>
        <v>0</v>
      </c>
      <c r="R362">
        <f t="shared" si="29"/>
        <v>0</v>
      </c>
    </row>
    <row r="363" spans="1:18" ht="51" x14ac:dyDescent="0.2">
      <c r="A363">
        <v>364</v>
      </c>
      <c r="B363" s="1" t="s">
        <v>1732</v>
      </c>
      <c r="C363" t="s">
        <v>125</v>
      </c>
      <c r="D363">
        <v>1</v>
      </c>
      <c r="I363" s="12">
        <v>1</v>
      </c>
      <c r="J363" s="12"/>
      <c r="K363" s="12"/>
      <c r="L363" s="12"/>
      <c r="M363" s="12"/>
      <c r="N363">
        <f t="shared" si="25"/>
        <v>1</v>
      </c>
      <c r="O363">
        <f t="shared" si="26"/>
        <v>0</v>
      </c>
      <c r="P363">
        <f t="shared" si="27"/>
        <v>0</v>
      </c>
      <c r="Q363">
        <f t="shared" si="28"/>
        <v>0</v>
      </c>
      <c r="R363">
        <f t="shared" si="29"/>
        <v>0</v>
      </c>
    </row>
    <row r="364" spans="1:18" ht="85" x14ac:dyDescent="0.2">
      <c r="A364">
        <v>365</v>
      </c>
      <c r="B364" s="1" t="s">
        <v>1736</v>
      </c>
      <c r="C364" t="s">
        <v>111</v>
      </c>
      <c r="D364">
        <v>1</v>
      </c>
      <c r="I364" s="12">
        <v>1</v>
      </c>
      <c r="J364" s="12"/>
      <c r="K364" s="12"/>
      <c r="L364" s="12"/>
      <c r="M364" s="12"/>
      <c r="N364">
        <f t="shared" si="25"/>
        <v>1</v>
      </c>
      <c r="O364">
        <f t="shared" si="26"/>
        <v>0</v>
      </c>
      <c r="P364">
        <f t="shared" si="27"/>
        <v>0</v>
      </c>
      <c r="Q364">
        <f t="shared" si="28"/>
        <v>0</v>
      </c>
      <c r="R364">
        <f t="shared" si="29"/>
        <v>0</v>
      </c>
    </row>
    <row r="365" spans="1:18" ht="68" x14ac:dyDescent="0.2">
      <c r="A365">
        <v>366</v>
      </c>
      <c r="B365" s="1" t="s">
        <v>1740</v>
      </c>
      <c r="C365" t="s">
        <v>105</v>
      </c>
      <c r="D365">
        <v>1</v>
      </c>
      <c r="I365" s="12">
        <v>1</v>
      </c>
      <c r="J365" s="12"/>
      <c r="K365" s="12"/>
      <c r="L365" s="12"/>
      <c r="M365" s="12"/>
      <c r="N365">
        <f t="shared" si="25"/>
        <v>1</v>
      </c>
      <c r="O365">
        <f t="shared" si="26"/>
        <v>0</v>
      </c>
      <c r="P365">
        <f t="shared" si="27"/>
        <v>0</v>
      </c>
      <c r="Q365">
        <f t="shared" si="28"/>
        <v>0</v>
      </c>
      <c r="R365">
        <f t="shared" si="29"/>
        <v>0</v>
      </c>
    </row>
    <row r="366" spans="1:18" ht="68" x14ac:dyDescent="0.2">
      <c r="A366">
        <v>367</v>
      </c>
      <c r="B366" s="1" t="s">
        <v>1749</v>
      </c>
      <c r="C366" t="s">
        <v>105</v>
      </c>
      <c r="E366">
        <v>1</v>
      </c>
      <c r="I366" s="12">
        <v>1</v>
      </c>
      <c r="J366" s="12"/>
      <c r="K366" s="12"/>
      <c r="L366" s="12"/>
      <c r="M366" s="12"/>
      <c r="N366" t="str">
        <f t="shared" si="25"/>
        <v>Disagree</v>
      </c>
      <c r="O366" t="str">
        <f t="shared" si="26"/>
        <v>Disagree</v>
      </c>
      <c r="P366">
        <f t="shared" si="27"/>
        <v>0</v>
      </c>
      <c r="Q366">
        <f t="shared" si="28"/>
        <v>0</v>
      </c>
      <c r="R366">
        <f t="shared" si="29"/>
        <v>0</v>
      </c>
    </row>
    <row r="367" spans="1:18" ht="34" x14ac:dyDescent="0.2">
      <c r="A367">
        <v>368</v>
      </c>
      <c r="B367" s="1" t="s">
        <v>1754</v>
      </c>
      <c r="C367" t="s">
        <v>125</v>
      </c>
      <c r="E367">
        <v>1</v>
      </c>
      <c r="I367" s="12"/>
      <c r="J367" s="12">
        <v>1</v>
      </c>
      <c r="K367" s="12"/>
      <c r="L367" s="12"/>
      <c r="M367" s="12"/>
      <c r="N367">
        <f t="shared" si="25"/>
        <v>0</v>
      </c>
      <c r="O367">
        <f t="shared" si="26"/>
        <v>1</v>
      </c>
      <c r="P367">
        <f t="shared" si="27"/>
        <v>0</v>
      </c>
      <c r="Q367">
        <f t="shared" si="28"/>
        <v>0</v>
      </c>
      <c r="R367">
        <f t="shared" si="29"/>
        <v>0</v>
      </c>
    </row>
    <row r="368" spans="1:18" ht="68" x14ac:dyDescent="0.2">
      <c r="A368">
        <v>369</v>
      </c>
      <c r="B368" s="1" t="s">
        <v>1758</v>
      </c>
      <c r="C368" t="s">
        <v>111</v>
      </c>
      <c r="E368">
        <v>1</v>
      </c>
      <c r="I368" s="12"/>
      <c r="J368" s="12">
        <v>1</v>
      </c>
      <c r="K368" s="12"/>
      <c r="L368" s="12"/>
      <c r="M368" s="12"/>
      <c r="N368">
        <f t="shared" si="25"/>
        <v>0</v>
      </c>
      <c r="O368">
        <f t="shared" si="26"/>
        <v>1</v>
      </c>
      <c r="P368">
        <f t="shared" si="27"/>
        <v>0</v>
      </c>
      <c r="Q368">
        <f t="shared" si="28"/>
        <v>0</v>
      </c>
      <c r="R368">
        <f t="shared" si="29"/>
        <v>0</v>
      </c>
    </row>
    <row r="369" spans="1:18" ht="34" x14ac:dyDescent="0.2">
      <c r="A369">
        <v>370</v>
      </c>
      <c r="B369" s="1" t="s">
        <v>1762</v>
      </c>
      <c r="C369" t="s">
        <v>105</v>
      </c>
      <c r="D369">
        <v>1</v>
      </c>
      <c r="I369" s="12">
        <v>1</v>
      </c>
      <c r="J369" s="12"/>
      <c r="K369" s="12"/>
      <c r="L369" s="12"/>
      <c r="M369" s="12"/>
      <c r="N369">
        <f t="shared" si="25"/>
        <v>1</v>
      </c>
      <c r="O369">
        <f t="shared" si="26"/>
        <v>0</v>
      </c>
      <c r="P369">
        <f t="shared" si="27"/>
        <v>0</v>
      </c>
      <c r="Q369">
        <f t="shared" si="28"/>
        <v>0</v>
      </c>
      <c r="R369">
        <f t="shared" si="29"/>
        <v>0</v>
      </c>
    </row>
    <row r="370" spans="1:18" ht="51" x14ac:dyDescent="0.2">
      <c r="A370">
        <v>371</v>
      </c>
      <c r="B370" s="1" t="s">
        <v>1772</v>
      </c>
      <c r="C370" t="s">
        <v>97</v>
      </c>
      <c r="E370">
        <v>1</v>
      </c>
      <c r="I370" s="12"/>
      <c r="J370" s="12">
        <v>1</v>
      </c>
      <c r="K370" s="12"/>
      <c r="L370" s="12"/>
      <c r="M370" s="12"/>
      <c r="N370">
        <f t="shared" si="25"/>
        <v>0</v>
      </c>
      <c r="O370">
        <f t="shared" si="26"/>
        <v>1</v>
      </c>
      <c r="P370">
        <f t="shared" si="27"/>
        <v>0</v>
      </c>
      <c r="Q370">
        <f t="shared" si="28"/>
        <v>0</v>
      </c>
      <c r="R370">
        <f t="shared" si="29"/>
        <v>0</v>
      </c>
    </row>
    <row r="371" spans="1:18" ht="68" x14ac:dyDescent="0.2">
      <c r="A371">
        <v>372</v>
      </c>
      <c r="B371" s="1" t="s">
        <v>1776</v>
      </c>
      <c r="C371" t="s">
        <v>125</v>
      </c>
      <c r="D371">
        <v>1</v>
      </c>
      <c r="I371" s="12">
        <v>1</v>
      </c>
      <c r="J371" s="12"/>
      <c r="K371" s="12"/>
      <c r="L371" s="12"/>
      <c r="M371" s="12"/>
      <c r="N371">
        <f t="shared" si="25"/>
        <v>1</v>
      </c>
      <c r="O371">
        <f t="shared" si="26"/>
        <v>0</v>
      </c>
      <c r="P371">
        <f t="shared" si="27"/>
        <v>0</v>
      </c>
      <c r="Q371">
        <f t="shared" si="28"/>
        <v>0</v>
      </c>
      <c r="R371">
        <f t="shared" si="29"/>
        <v>0</v>
      </c>
    </row>
    <row r="372" spans="1:18" ht="51" x14ac:dyDescent="0.2">
      <c r="A372">
        <v>373</v>
      </c>
      <c r="B372" s="1" t="s">
        <v>1783</v>
      </c>
      <c r="C372" t="s">
        <v>105</v>
      </c>
      <c r="I372" s="12"/>
      <c r="J372" s="12"/>
      <c r="K372" s="12"/>
      <c r="L372" s="12"/>
      <c r="M372" s="12"/>
      <c r="N372">
        <f t="shared" si="25"/>
        <v>0</v>
      </c>
      <c r="O372">
        <f t="shared" si="26"/>
        <v>0</v>
      </c>
      <c r="P372">
        <f t="shared" si="27"/>
        <v>0</v>
      </c>
      <c r="Q372">
        <f t="shared" si="28"/>
        <v>0</v>
      </c>
      <c r="R372">
        <f t="shared" si="29"/>
        <v>0</v>
      </c>
    </row>
    <row r="373" spans="1:18" ht="68" x14ac:dyDescent="0.2">
      <c r="A373">
        <v>374</v>
      </c>
      <c r="B373" s="1" t="s">
        <v>1787</v>
      </c>
      <c r="C373" t="s">
        <v>125</v>
      </c>
      <c r="E373">
        <v>1</v>
      </c>
      <c r="F373">
        <v>1</v>
      </c>
      <c r="I373" s="12"/>
      <c r="J373" s="12">
        <v>1</v>
      </c>
      <c r="K373" s="12">
        <v>1</v>
      </c>
      <c r="L373" s="12"/>
      <c r="M373" s="12"/>
      <c r="N373">
        <f t="shared" si="25"/>
        <v>0</v>
      </c>
      <c r="O373">
        <f t="shared" si="26"/>
        <v>1</v>
      </c>
      <c r="P373">
        <f t="shared" si="27"/>
        <v>1</v>
      </c>
      <c r="Q373">
        <f t="shared" si="28"/>
        <v>0</v>
      </c>
      <c r="R373">
        <f t="shared" si="29"/>
        <v>0</v>
      </c>
    </row>
    <row r="374" spans="1:18" ht="34" x14ac:dyDescent="0.2">
      <c r="A374">
        <v>375</v>
      </c>
      <c r="B374" s="1" t="s">
        <v>1791</v>
      </c>
      <c r="C374" t="s">
        <v>111</v>
      </c>
      <c r="I374" s="12"/>
      <c r="J374" s="12"/>
      <c r="K374" s="12"/>
      <c r="L374" s="12"/>
      <c r="M374" s="12"/>
      <c r="N374">
        <f t="shared" si="25"/>
        <v>0</v>
      </c>
      <c r="O374">
        <f t="shared" si="26"/>
        <v>0</v>
      </c>
      <c r="P374">
        <f t="shared" si="27"/>
        <v>0</v>
      </c>
      <c r="Q374">
        <f t="shared" si="28"/>
        <v>0</v>
      </c>
      <c r="R374">
        <f t="shared" si="29"/>
        <v>0</v>
      </c>
    </row>
    <row r="375" spans="1:18" ht="17" x14ac:dyDescent="0.2">
      <c r="A375">
        <v>376</v>
      </c>
      <c r="B375" s="1" t="s">
        <v>1795</v>
      </c>
      <c r="C375" t="s">
        <v>97</v>
      </c>
      <c r="D375">
        <v>1</v>
      </c>
      <c r="I375" s="12"/>
      <c r="J375" s="12"/>
      <c r="K375" s="12"/>
      <c r="L375" s="12"/>
      <c r="M375" s="12"/>
      <c r="N375" t="str">
        <f t="shared" si="25"/>
        <v>Disagree</v>
      </c>
      <c r="O375">
        <f t="shared" si="26"/>
        <v>0</v>
      </c>
      <c r="P375">
        <f t="shared" si="27"/>
        <v>0</v>
      </c>
      <c r="Q375">
        <f t="shared" si="28"/>
        <v>0</v>
      </c>
      <c r="R375">
        <f t="shared" si="29"/>
        <v>0</v>
      </c>
    </row>
    <row r="376" spans="1:18" ht="68" x14ac:dyDescent="0.2">
      <c r="A376">
        <v>377</v>
      </c>
      <c r="B376" s="1" t="s">
        <v>1800</v>
      </c>
      <c r="C376" t="s">
        <v>111</v>
      </c>
      <c r="E376">
        <v>1</v>
      </c>
      <c r="F376">
        <v>1</v>
      </c>
      <c r="I376" s="12"/>
      <c r="J376" s="12">
        <v>1</v>
      </c>
      <c r="K376" s="12">
        <v>1</v>
      </c>
      <c r="L376" s="12"/>
      <c r="M376" s="12"/>
      <c r="N376">
        <f t="shared" si="25"/>
        <v>0</v>
      </c>
      <c r="O376">
        <f t="shared" si="26"/>
        <v>1</v>
      </c>
      <c r="P376">
        <f t="shared" si="27"/>
        <v>1</v>
      </c>
      <c r="Q376">
        <f t="shared" si="28"/>
        <v>0</v>
      </c>
      <c r="R376">
        <f t="shared" si="29"/>
        <v>0</v>
      </c>
    </row>
    <row r="377" spans="1:18" ht="34" x14ac:dyDescent="0.2">
      <c r="A377">
        <v>378</v>
      </c>
      <c r="B377" s="1" t="s">
        <v>1804</v>
      </c>
      <c r="C377" t="s">
        <v>111</v>
      </c>
      <c r="E377">
        <v>1</v>
      </c>
      <c r="F377">
        <v>1</v>
      </c>
      <c r="I377" s="12"/>
      <c r="J377" s="12">
        <v>1</v>
      </c>
      <c r="K377" s="12">
        <v>1</v>
      </c>
      <c r="L377" s="12"/>
      <c r="M377" s="12"/>
      <c r="N377">
        <f t="shared" si="25"/>
        <v>0</v>
      </c>
      <c r="O377">
        <f t="shared" si="26"/>
        <v>1</v>
      </c>
      <c r="P377">
        <f t="shared" si="27"/>
        <v>1</v>
      </c>
      <c r="Q377">
        <f t="shared" si="28"/>
        <v>0</v>
      </c>
      <c r="R377">
        <f t="shared" si="29"/>
        <v>0</v>
      </c>
    </row>
    <row r="378" spans="1:18" ht="34" x14ac:dyDescent="0.2">
      <c r="A378">
        <v>379</v>
      </c>
      <c r="B378" s="1" t="s">
        <v>1808</v>
      </c>
      <c r="C378" t="s">
        <v>105</v>
      </c>
      <c r="D378">
        <v>1</v>
      </c>
      <c r="I378" s="12">
        <v>1</v>
      </c>
      <c r="J378" s="12"/>
      <c r="K378" s="12"/>
      <c r="L378" s="12"/>
      <c r="M378" s="12"/>
      <c r="N378">
        <f t="shared" si="25"/>
        <v>1</v>
      </c>
      <c r="O378">
        <f t="shared" si="26"/>
        <v>0</v>
      </c>
      <c r="P378">
        <f t="shared" si="27"/>
        <v>0</v>
      </c>
      <c r="Q378">
        <f t="shared" si="28"/>
        <v>0</v>
      </c>
      <c r="R378">
        <f t="shared" si="29"/>
        <v>0</v>
      </c>
    </row>
    <row r="379" spans="1:18" ht="51" x14ac:dyDescent="0.2">
      <c r="A379">
        <v>380</v>
      </c>
      <c r="B379" s="1" t="s">
        <v>1812</v>
      </c>
      <c r="C379" t="s">
        <v>105</v>
      </c>
      <c r="E379">
        <v>1</v>
      </c>
      <c r="I379" s="12"/>
      <c r="J379" s="12">
        <v>1</v>
      </c>
      <c r="K379" s="12"/>
      <c r="L379" s="12"/>
      <c r="M379" s="12"/>
      <c r="N379">
        <f t="shared" si="25"/>
        <v>0</v>
      </c>
      <c r="O379">
        <f t="shared" si="26"/>
        <v>1</v>
      </c>
      <c r="P379">
        <f t="shared" si="27"/>
        <v>0</v>
      </c>
      <c r="Q379">
        <f t="shared" si="28"/>
        <v>0</v>
      </c>
      <c r="R379">
        <f t="shared" si="29"/>
        <v>0</v>
      </c>
    </row>
    <row r="380" spans="1:18" ht="68" x14ac:dyDescent="0.2">
      <c r="A380">
        <v>381</v>
      </c>
      <c r="B380" s="1" t="s">
        <v>1817</v>
      </c>
      <c r="C380" t="s">
        <v>125</v>
      </c>
      <c r="E380">
        <v>1</v>
      </c>
      <c r="F380">
        <v>1</v>
      </c>
      <c r="I380" s="12"/>
      <c r="J380" s="12">
        <v>1</v>
      </c>
      <c r="K380" s="12">
        <v>1</v>
      </c>
      <c r="L380" s="12"/>
      <c r="M380" s="12">
        <v>1</v>
      </c>
      <c r="N380">
        <f t="shared" si="25"/>
        <v>0</v>
      </c>
      <c r="O380">
        <f t="shared" si="26"/>
        <v>1</v>
      </c>
      <c r="P380">
        <f t="shared" si="27"/>
        <v>1</v>
      </c>
      <c r="Q380">
        <f t="shared" si="28"/>
        <v>0</v>
      </c>
      <c r="R380" t="str">
        <f t="shared" si="29"/>
        <v>Disagree</v>
      </c>
    </row>
    <row r="381" spans="1:18" ht="17" x14ac:dyDescent="0.2">
      <c r="A381">
        <v>382</v>
      </c>
      <c r="B381" s="1" t="s">
        <v>1821</v>
      </c>
      <c r="C381" t="s">
        <v>105</v>
      </c>
      <c r="D381">
        <v>1</v>
      </c>
      <c r="I381" s="12">
        <v>1</v>
      </c>
      <c r="J381" s="12"/>
      <c r="K381" s="12"/>
      <c r="L381" s="12"/>
      <c r="M381" s="12"/>
      <c r="N381">
        <f t="shared" si="25"/>
        <v>1</v>
      </c>
      <c r="O381">
        <f t="shared" si="26"/>
        <v>0</v>
      </c>
      <c r="P381">
        <f t="shared" si="27"/>
        <v>0</v>
      </c>
      <c r="Q381">
        <f t="shared" si="28"/>
        <v>0</v>
      </c>
      <c r="R381">
        <f t="shared" si="29"/>
        <v>0</v>
      </c>
    </row>
    <row r="382" spans="1:18" ht="34" x14ac:dyDescent="0.2">
      <c r="A382">
        <v>383</v>
      </c>
      <c r="B382" s="1" t="s">
        <v>1825</v>
      </c>
      <c r="C382" t="s">
        <v>105</v>
      </c>
      <c r="D382">
        <v>1</v>
      </c>
      <c r="I382" s="12">
        <v>1</v>
      </c>
      <c r="J382" s="12"/>
      <c r="K382" s="12"/>
      <c r="L382" s="12"/>
      <c r="M382" s="12"/>
      <c r="N382">
        <f t="shared" si="25"/>
        <v>1</v>
      </c>
      <c r="O382">
        <f t="shared" si="26"/>
        <v>0</v>
      </c>
      <c r="P382">
        <f t="shared" si="27"/>
        <v>0</v>
      </c>
      <c r="Q382">
        <f t="shared" si="28"/>
        <v>0</v>
      </c>
      <c r="R382">
        <f t="shared" si="29"/>
        <v>0</v>
      </c>
    </row>
    <row r="383" spans="1:18" ht="51" x14ac:dyDescent="0.2">
      <c r="A383">
        <v>384</v>
      </c>
      <c r="B383" s="1" t="s">
        <v>1829</v>
      </c>
      <c r="C383" t="s">
        <v>111</v>
      </c>
      <c r="E383">
        <v>1</v>
      </c>
      <c r="F383">
        <v>1</v>
      </c>
      <c r="I383" s="12"/>
      <c r="J383" s="12">
        <v>1</v>
      </c>
      <c r="K383" s="12">
        <v>1</v>
      </c>
      <c r="L383" s="12"/>
      <c r="M383" s="12"/>
      <c r="N383">
        <f t="shared" si="25"/>
        <v>0</v>
      </c>
      <c r="O383">
        <f t="shared" si="26"/>
        <v>1</v>
      </c>
      <c r="P383">
        <f t="shared" si="27"/>
        <v>1</v>
      </c>
      <c r="Q383">
        <f t="shared" si="28"/>
        <v>0</v>
      </c>
      <c r="R383">
        <f t="shared" si="29"/>
        <v>0</v>
      </c>
    </row>
    <row r="384" spans="1:18" ht="51" x14ac:dyDescent="0.2">
      <c r="A384">
        <v>385</v>
      </c>
      <c r="B384" s="1" t="s">
        <v>1833</v>
      </c>
      <c r="C384" t="s">
        <v>97</v>
      </c>
      <c r="D384">
        <v>1</v>
      </c>
      <c r="I384" s="12">
        <v>1</v>
      </c>
      <c r="J384" s="12"/>
      <c r="K384" s="12"/>
      <c r="L384" s="12"/>
      <c r="M384" s="12"/>
      <c r="N384">
        <f t="shared" si="25"/>
        <v>1</v>
      </c>
      <c r="O384">
        <f t="shared" si="26"/>
        <v>0</v>
      </c>
      <c r="P384">
        <f t="shared" si="27"/>
        <v>0</v>
      </c>
      <c r="Q384">
        <f t="shared" si="28"/>
        <v>0</v>
      </c>
      <c r="R384">
        <f t="shared" si="29"/>
        <v>0</v>
      </c>
    </row>
    <row r="385" spans="1:18" ht="68" x14ac:dyDescent="0.2">
      <c r="A385">
        <v>386</v>
      </c>
      <c r="B385" s="1" t="s">
        <v>1837</v>
      </c>
      <c r="C385" t="s">
        <v>111</v>
      </c>
      <c r="D385">
        <v>1</v>
      </c>
      <c r="I385" s="12">
        <v>1</v>
      </c>
      <c r="J385" s="12"/>
      <c r="K385" s="12"/>
      <c r="L385" s="12"/>
      <c r="M385" s="12"/>
      <c r="N385">
        <f t="shared" si="25"/>
        <v>1</v>
      </c>
      <c r="O385">
        <f t="shared" si="26"/>
        <v>0</v>
      </c>
      <c r="P385">
        <f t="shared" si="27"/>
        <v>0</v>
      </c>
      <c r="Q385">
        <f t="shared" si="28"/>
        <v>0</v>
      </c>
      <c r="R385">
        <f t="shared" si="29"/>
        <v>0</v>
      </c>
    </row>
    <row r="386" spans="1:18" ht="85" x14ac:dyDescent="0.2">
      <c r="A386">
        <v>387</v>
      </c>
      <c r="B386" s="1" t="s">
        <v>1841</v>
      </c>
      <c r="C386" t="s">
        <v>97</v>
      </c>
      <c r="D386">
        <v>1</v>
      </c>
      <c r="I386" s="12">
        <v>1</v>
      </c>
      <c r="J386" s="12"/>
      <c r="K386" s="12"/>
      <c r="L386" s="12"/>
      <c r="M386" s="12"/>
      <c r="N386">
        <f t="shared" si="25"/>
        <v>1</v>
      </c>
      <c r="O386">
        <f t="shared" si="26"/>
        <v>0</v>
      </c>
      <c r="P386">
        <f t="shared" si="27"/>
        <v>0</v>
      </c>
      <c r="Q386">
        <f t="shared" si="28"/>
        <v>0</v>
      </c>
      <c r="R386">
        <f t="shared" si="29"/>
        <v>0</v>
      </c>
    </row>
    <row r="387" spans="1:18" ht="51" x14ac:dyDescent="0.2">
      <c r="A387">
        <v>388</v>
      </c>
      <c r="B387" s="1" t="s">
        <v>1848</v>
      </c>
      <c r="C387" t="s">
        <v>97</v>
      </c>
      <c r="D387">
        <v>1</v>
      </c>
      <c r="I387" s="12">
        <v>1</v>
      </c>
      <c r="J387" s="12"/>
      <c r="K387" s="12"/>
      <c r="L387" s="12"/>
      <c r="M387" s="12"/>
      <c r="N387">
        <f t="shared" ref="N387:N399" si="30">IF(D387=I387,D387,"Disagree")</f>
        <v>1</v>
      </c>
      <c r="O387">
        <f t="shared" ref="O387:O399" si="31">IF(E387=J387,E387,"Disagree")</f>
        <v>0</v>
      </c>
      <c r="P387">
        <f t="shared" ref="P387:P399" si="32">IF(F387=K387,F387,"Disagree")</f>
        <v>0</v>
      </c>
      <c r="Q387">
        <f t="shared" ref="Q387:Q399" si="33">IF(G387=L387,G387,"Disagree")</f>
        <v>0</v>
      </c>
      <c r="R387">
        <f t="shared" ref="R387:R399" si="34">IF(H387=M387,H387,"Disagree")</f>
        <v>0</v>
      </c>
    </row>
    <row r="388" spans="1:18" ht="34" x14ac:dyDescent="0.2">
      <c r="A388">
        <v>389</v>
      </c>
      <c r="B388" s="1" t="s">
        <v>1852</v>
      </c>
      <c r="C388" t="s">
        <v>105</v>
      </c>
      <c r="D388">
        <v>1</v>
      </c>
      <c r="I388" s="12">
        <v>1</v>
      </c>
      <c r="J388" s="12"/>
      <c r="K388" s="12"/>
      <c r="L388" s="12"/>
      <c r="M388" s="12"/>
      <c r="N388">
        <f t="shared" si="30"/>
        <v>1</v>
      </c>
      <c r="O388">
        <f t="shared" si="31"/>
        <v>0</v>
      </c>
      <c r="P388">
        <f t="shared" si="32"/>
        <v>0</v>
      </c>
      <c r="Q388">
        <f t="shared" si="33"/>
        <v>0</v>
      </c>
      <c r="R388">
        <f t="shared" si="34"/>
        <v>0</v>
      </c>
    </row>
    <row r="389" spans="1:18" ht="68" x14ac:dyDescent="0.2">
      <c r="A389">
        <v>390</v>
      </c>
      <c r="B389" s="1" t="s">
        <v>1863</v>
      </c>
      <c r="C389" t="s">
        <v>97</v>
      </c>
      <c r="I389" s="12">
        <v>1</v>
      </c>
      <c r="J389" s="12"/>
      <c r="K389" s="12"/>
      <c r="L389" s="12"/>
      <c r="M389" s="12"/>
      <c r="N389" t="str">
        <f t="shared" si="30"/>
        <v>Disagree</v>
      </c>
      <c r="O389">
        <f t="shared" si="31"/>
        <v>0</v>
      </c>
      <c r="P389">
        <f t="shared" si="32"/>
        <v>0</v>
      </c>
      <c r="Q389">
        <f t="shared" si="33"/>
        <v>0</v>
      </c>
      <c r="R389">
        <f t="shared" si="34"/>
        <v>0</v>
      </c>
    </row>
    <row r="390" spans="1:18" ht="85" x14ac:dyDescent="0.2">
      <c r="A390">
        <v>391</v>
      </c>
      <c r="B390" s="1" t="s">
        <v>1868</v>
      </c>
      <c r="C390" t="s">
        <v>105</v>
      </c>
      <c r="E390">
        <v>1</v>
      </c>
      <c r="F390">
        <v>1</v>
      </c>
      <c r="I390" s="12"/>
      <c r="J390" s="12">
        <v>1</v>
      </c>
      <c r="K390" s="12">
        <v>1</v>
      </c>
      <c r="L390" s="12"/>
      <c r="M390" s="12"/>
      <c r="N390">
        <f t="shared" si="30"/>
        <v>0</v>
      </c>
      <c r="O390">
        <f t="shared" si="31"/>
        <v>1</v>
      </c>
      <c r="P390">
        <f t="shared" si="32"/>
        <v>1</v>
      </c>
      <c r="Q390">
        <f t="shared" si="33"/>
        <v>0</v>
      </c>
      <c r="R390">
        <f t="shared" si="34"/>
        <v>0</v>
      </c>
    </row>
    <row r="391" spans="1:18" ht="68" x14ac:dyDescent="0.2">
      <c r="A391">
        <v>392</v>
      </c>
      <c r="B391" s="1" t="s">
        <v>1873</v>
      </c>
      <c r="C391" t="s">
        <v>125</v>
      </c>
      <c r="E391">
        <v>1</v>
      </c>
      <c r="F391">
        <v>1</v>
      </c>
      <c r="I391" s="12"/>
      <c r="J391" s="12">
        <v>1</v>
      </c>
      <c r="K391" s="12">
        <v>1</v>
      </c>
      <c r="L391" s="12"/>
      <c r="M391" s="12"/>
      <c r="N391">
        <f t="shared" si="30"/>
        <v>0</v>
      </c>
      <c r="O391">
        <f t="shared" si="31"/>
        <v>1</v>
      </c>
      <c r="P391">
        <f t="shared" si="32"/>
        <v>1</v>
      </c>
      <c r="Q391">
        <f t="shared" si="33"/>
        <v>0</v>
      </c>
      <c r="R391">
        <f t="shared" si="34"/>
        <v>0</v>
      </c>
    </row>
    <row r="392" spans="1:18" ht="51" x14ac:dyDescent="0.2">
      <c r="A392">
        <v>393</v>
      </c>
      <c r="B392" s="1" t="s">
        <v>1877</v>
      </c>
      <c r="C392" t="s">
        <v>97</v>
      </c>
      <c r="G392">
        <v>1</v>
      </c>
      <c r="I392" s="12"/>
      <c r="J392" s="12"/>
      <c r="K392" s="12"/>
      <c r="L392" s="12">
        <v>1</v>
      </c>
      <c r="M392" s="12"/>
      <c r="N392">
        <f t="shared" si="30"/>
        <v>0</v>
      </c>
      <c r="O392">
        <f t="shared" si="31"/>
        <v>0</v>
      </c>
      <c r="P392">
        <f t="shared" si="32"/>
        <v>0</v>
      </c>
      <c r="Q392">
        <f t="shared" si="33"/>
        <v>1</v>
      </c>
      <c r="R392">
        <f t="shared" si="34"/>
        <v>0</v>
      </c>
    </row>
    <row r="393" spans="1:18" ht="17" x14ac:dyDescent="0.2">
      <c r="A393">
        <v>394</v>
      </c>
      <c r="B393" s="1" t="s">
        <v>1881</v>
      </c>
      <c r="C393" t="s">
        <v>125</v>
      </c>
      <c r="D393">
        <v>1</v>
      </c>
      <c r="I393" s="12"/>
      <c r="J393" s="12">
        <v>1</v>
      </c>
      <c r="K393" s="12"/>
      <c r="L393" s="12"/>
      <c r="M393" s="12"/>
      <c r="N393" t="str">
        <f t="shared" si="30"/>
        <v>Disagree</v>
      </c>
      <c r="O393" t="str">
        <f t="shared" si="31"/>
        <v>Disagree</v>
      </c>
      <c r="P393">
        <f t="shared" si="32"/>
        <v>0</v>
      </c>
      <c r="Q393">
        <f t="shared" si="33"/>
        <v>0</v>
      </c>
      <c r="R393">
        <f t="shared" si="34"/>
        <v>0</v>
      </c>
    </row>
    <row r="394" spans="1:18" ht="34" x14ac:dyDescent="0.2">
      <c r="A394">
        <v>395</v>
      </c>
      <c r="B394" s="1" t="s">
        <v>1886</v>
      </c>
      <c r="C394" t="s">
        <v>105</v>
      </c>
      <c r="D394">
        <v>1</v>
      </c>
      <c r="I394" s="12">
        <v>1</v>
      </c>
      <c r="J394" s="12"/>
      <c r="K394" s="12"/>
      <c r="L394" s="12"/>
      <c r="M394" s="12"/>
      <c r="N394">
        <f t="shared" si="30"/>
        <v>1</v>
      </c>
      <c r="O394">
        <f t="shared" si="31"/>
        <v>0</v>
      </c>
      <c r="P394">
        <f t="shared" si="32"/>
        <v>0</v>
      </c>
      <c r="Q394">
        <f t="shared" si="33"/>
        <v>0</v>
      </c>
      <c r="R394">
        <f t="shared" si="34"/>
        <v>0</v>
      </c>
    </row>
    <row r="395" spans="1:18" ht="34" x14ac:dyDescent="0.2">
      <c r="A395">
        <v>396</v>
      </c>
      <c r="B395" s="1" t="s">
        <v>1890</v>
      </c>
      <c r="C395" t="s">
        <v>97</v>
      </c>
      <c r="I395" s="12">
        <v>1</v>
      </c>
      <c r="J395" s="12"/>
      <c r="K395" s="12"/>
      <c r="L395" s="12"/>
      <c r="M395" s="12"/>
      <c r="N395" t="str">
        <f t="shared" si="30"/>
        <v>Disagree</v>
      </c>
      <c r="O395">
        <f t="shared" si="31"/>
        <v>0</v>
      </c>
      <c r="P395">
        <f t="shared" si="32"/>
        <v>0</v>
      </c>
      <c r="Q395">
        <f t="shared" si="33"/>
        <v>0</v>
      </c>
      <c r="R395">
        <f t="shared" si="34"/>
        <v>0</v>
      </c>
    </row>
    <row r="396" spans="1:18" ht="17" x14ac:dyDescent="0.2">
      <c r="A396">
        <v>397</v>
      </c>
      <c r="B396" s="1" t="s">
        <v>1894</v>
      </c>
      <c r="C396" t="s">
        <v>125</v>
      </c>
      <c r="E396">
        <v>1</v>
      </c>
      <c r="F396">
        <v>1</v>
      </c>
      <c r="I396" s="12"/>
      <c r="J396" s="12">
        <v>1</v>
      </c>
      <c r="K396" s="12">
        <v>1</v>
      </c>
      <c r="L396" s="12"/>
      <c r="M396" s="12"/>
      <c r="N396">
        <f t="shared" si="30"/>
        <v>0</v>
      </c>
      <c r="O396">
        <f t="shared" si="31"/>
        <v>1</v>
      </c>
      <c r="P396">
        <f t="shared" si="32"/>
        <v>1</v>
      </c>
      <c r="Q396">
        <f t="shared" si="33"/>
        <v>0</v>
      </c>
      <c r="R396">
        <f t="shared" si="34"/>
        <v>0</v>
      </c>
    </row>
    <row r="397" spans="1:18" ht="51" x14ac:dyDescent="0.2">
      <c r="A397">
        <v>398</v>
      </c>
      <c r="B397" s="1" t="s">
        <v>1899</v>
      </c>
      <c r="C397" t="s">
        <v>125</v>
      </c>
      <c r="D397">
        <v>1</v>
      </c>
      <c r="I397" s="12">
        <v>1</v>
      </c>
      <c r="J397" s="12"/>
      <c r="K397" s="12"/>
      <c r="L397" s="12"/>
      <c r="M397" s="12"/>
      <c r="N397">
        <f t="shared" si="30"/>
        <v>1</v>
      </c>
      <c r="O397">
        <f t="shared" si="31"/>
        <v>0</v>
      </c>
      <c r="P397">
        <f t="shared" si="32"/>
        <v>0</v>
      </c>
      <c r="Q397">
        <f t="shared" si="33"/>
        <v>0</v>
      </c>
      <c r="R397">
        <f t="shared" si="34"/>
        <v>0</v>
      </c>
    </row>
    <row r="398" spans="1:18" ht="34" x14ac:dyDescent="0.2">
      <c r="A398">
        <v>399</v>
      </c>
      <c r="B398" s="1" t="s">
        <v>1911</v>
      </c>
      <c r="C398" t="s">
        <v>125</v>
      </c>
      <c r="D398">
        <v>1</v>
      </c>
      <c r="I398" s="12">
        <v>1</v>
      </c>
      <c r="J398" s="12"/>
      <c r="K398" s="12"/>
      <c r="L398" s="12"/>
      <c r="M398" s="12"/>
      <c r="N398">
        <f t="shared" si="30"/>
        <v>1</v>
      </c>
      <c r="O398">
        <f t="shared" si="31"/>
        <v>0</v>
      </c>
      <c r="P398">
        <f t="shared" si="32"/>
        <v>0</v>
      </c>
      <c r="Q398">
        <f t="shared" si="33"/>
        <v>0</v>
      </c>
      <c r="R398">
        <f t="shared" si="34"/>
        <v>0</v>
      </c>
    </row>
    <row r="399" spans="1:18" ht="17" x14ac:dyDescent="0.2">
      <c r="A399">
        <v>400</v>
      </c>
      <c r="B399" s="1" t="s">
        <v>1915</v>
      </c>
      <c r="C399" t="s">
        <v>105</v>
      </c>
      <c r="E399">
        <v>1</v>
      </c>
      <c r="F399">
        <v>1</v>
      </c>
      <c r="I399" s="12"/>
      <c r="J399" s="12">
        <v>1</v>
      </c>
      <c r="K399" s="12">
        <v>1</v>
      </c>
      <c r="L399" s="12"/>
      <c r="M399" s="12"/>
      <c r="N399">
        <f t="shared" si="30"/>
        <v>0</v>
      </c>
      <c r="O399">
        <f t="shared" si="31"/>
        <v>1</v>
      </c>
      <c r="P399">
        <f t="shared" si="32"/>
        <v>1</v>
      </c>
      <c r="Q399">
        <f t="shared" si="33"/>
        <v>0</v>
      </c>
      <c r="R399">
        <f t="shared" si="34"/>
        <v>0</v>
      </c>
    </row>
    <row r="400" spans="1:18" x14ac:dyDescent="0.2">
      <c r="I400" s="12"/>
      <c r="J400" s="12"/>
      <c r="K400" s="12"/>
      <c r="L400" s="12"/>
      <c r="M400" s="12"/>
    </row>
    <row r="401" spans="2:19" x14ac:dyDescent="0.2">
      <c r="B401" s="1">
        <f>COUNTIF(C2:C399,"LargeEffectNoPrompt")</f>
        <v>101</v>
      </c>
      <c r="C401" t="s">
        <v>1942</v>
      </c>
      <c r="D401">
        <f>COUNTIFS($C2:$C399,"LargeEffectNoPrompt",D2:D399,1)</f>
        <v>68</v>
      </c>
      <c r="E401">
        <f>COUNTIFS(C2:C399,"LargeEffectNoPrompt",E2:E399,1)</f>
        <v>18</v>
      </c>
      <c r="F401">
        <f>COUNTIFS(C2:C399,"LargeEffectNoPrompt",F2:F399,1)</f>
        <v>9</v>
      </c>
      <c r="G401">
        <f>COUNTIFS(C2:C399,"LargeEffectNoPrompt",G2:G399,1)</f>
        <v>0</v>
      </c>
      <c r="H401">
        <f>COUNTIFS($C2:$C399,"LargeEffectNoPrompt",H2:H399,1)</f>
        <v>4</v>
      </c>
      <c r="I401" s="12"/>
      <c r="J401" s="12"/>
      <c r="K401" s="12"/>
      <c r="L401" s="12"/>
      <c r="M401" t="s">
        <v>1942</v>
      </c>
      <c r="N401">
        <f>COUNTIFS($C$2:$C$399,"LargeEffectNoPrompt",N2:N399,1)</f>
        <v>64</v>
      </c>
      <c r="O401">
        <f>COUNTIFS($C$2:$C$399,"LargeEffectNoPrompt",O2:O399,1)</f>
        <v>14</v>
      </c>
      <c r="P401">
        <f>COUNTIFS($C$2:$C$399,"LargeEffectNoPrompt",P2:P399,1)</f>
        <v>7</v>
      </c>
      <c r="Q401">
        <f>COUNTIFS($C$2:$C$399,"LargeEffectNoPrompt",Q2:Q399,1)</f>
        <v>0</v>
      </c>
      <c r="R401">
        <f>COUNTIFS($C$2:$C$399,"LargeEffectNoPrompt",R2:R399,1)</f>
        <v>2</v>
      </c>
    </row>
    <row r="402" spans="2:19" x14ac:dyDescent="0.2">
      <c r="B402" s="1">
        <f>COUNTIF(C2:C399,"NoEffectSize")</f>
        <v>97</v>
      </c>
      <c r="C402" t="s">
        <v>1943</v>
      </c>
      <c r="D402">
        <f>D401/101</f>
        <v>0.67326732673267331</v>
      </c>
      <c r="E402">
        <f>E401/101</f>
        <v>0.17821782178217821</v>
      </c>
      <c r="F402">
        <f>F401/101</f>
        <v>8.9108910891089105E-2</v>
      </c>
      <c r="G402">
        <f>G401/101</f>
        <v>0</v>
      </c>
      <c r="H402">
        <f>H401/101</f>
        <v>3.9603960396039604E-2</v>
      </c>
      <c r="I402" s="12"/>
      <c r="J402" s="12"/>
      <c r="K402" s="12"/>
      <c r="L402" s="12"/>
      <c r="M402" t="s">
        <v>1943</v>
      </c>
      <c r="N402">
        <f>N401/101</f>
        <v>0.63366336633663367</v>
      </c>
      <c r="O402">
        <f>O401/101</f>
        <v>0.13861386138613863</v>
      </c>
      <c r="P402">
        <f>P401/101</f>
        <v>6.9306930693069313E-2</v>
      </c>
      <c r="Q402">
        <f>Q401/101</f>
        <v>0</v>
      </c>
      <c r="R402">
        <f>R401/101</f>
        <v>1.9801980198019802E-2</v>
      </c>
    </row>
    <row r="403" spans="2:19" x14ac:dyDescent="0.2">
      <c r="B403" s="1">
        <f>COUNTIF(C2:C399,"SmallEffectNoPrompt")</f>
        <v>100</v>
      </c>
      <c r="I403" s="12"/>
      <c r="J403" s="12"/>
      <c r="K403" s="12"/>
      <c r="L403" s="12"/>
    </row>
    <row r="404" spans="2:19" x14ac:dyDescent="0.2">
      <c r="B404" s="1">
        <f>COUNTIF(C2:C399,"SmallEffectWithPrompt")</f>
        <v>100</v>
      </c>
      <c r="C404" t="s">
        <v>1944</v>
      </c>
      <c r="D404">
        <f>COUNTIFS($C2:$C399,"NoEffectSize",D2:D399,1)</f>
        <v>63</v>
      </c>
      <c r="E404">
        <f>COUNTIFS($C2:$C399,"NoEffectSize",E2:E399,1)</f>
        <v>3</v>
      </c>
      <c r="F404">
        <f>COUNTIFS($C2:$C399,"NoEffectSize",F2:F399,1)</f>
        <v>1</v>
      </c>
      <c r="G404">
        <f>COUNTIFS($C2:$C399,"NoEffectSize",G2:G399,1)</f>
        <v>11</v>
      </c>
      <c r="H404">
        <f>COUNTIFS($C2:$C399,"NoEffectSize",H2:H399,1)</f>
        <v>10</v>
      </c>
      <c r="I404" s="12"/>
      <c r="J404" s="12"/>
      <c r="K404" s="12"/>
      <c r="L404" s="12"/>
      <c r="M404" s="12" t="s">
        <v>1944</v>
      </c>
      <c r="N404">
        <f>COUNTIFS($C$2:$C$399,"NoEffectSize",N2:N399,1)</f>
        <v>56</v>
      </c>
      <c r="O404">
        <f>COUNTIFS($C$2:$C$399,"NoEffectSize",O2:O399,1)</f>
        <v>3</v>
      </c>
      <c r="P404">
        <f>COUNTIFS($C$2:$C$399,"NoEffectSize",P2:P399,1)</f>
        <v>1</v>
      </c>
      <c r="Q404">
        <f>COUNTIFS($C$2:$C$399,"NoEffectSize",Q2:Q399,1)</f>
        <v>10</v>
      </c>
      <c r="R404">
        <f>COUNTIFS($C$2:$C$399,"NoEffectSize",R2:R399,1)</f>
        <v>5</v>
      </c>
    </row>
    <row r="405" spans="2:19" x14ac:dyDescent="0.2">
      <c r="C405" t="s">
        <v>1945</v>
      </c>
      <c r="D405">
        <f>D404/97</f>
        <v>0.64948453608247425</v>
      </c>
      <c r="E405">
        <f>E404/97</f>
        <v>3.0927835051546393E-2</v>
      </c>
      <c r="F405">
        <f>F404/97</f>
        <v>1.0309278350515464E-2</v>
      </c>
      <c r="G405">
        <f>G404/97</f>
        <v>0.1134020618556701</v>
      </c>
      <c r="H405">
        <f>H404/97</f>
        <v>0.10309278350515463</v>
      </c>
      <c r="I405" s="12"/>
      <c r="J405" s="12"/>
      <c r="K405" s="12"/>
      <c r="L405" s="12"/>
      <c r="M405" s="12" t="s">
        <v>1945</v>
      </c>
      <c r="N405">
        <f>N404/97</f>
        <v>0.57731958762886593</v>
      </c>
      <c r="O405">
        <f>O404/97</f>
        <v>3.0927835051546393E-2</v>
      </c>
      <c r="P405">
        <f>P404/97</f>
        <v>1.0309278350515464E-2</v>
      </c>
      <c r="Q405">
        <f>Q404/97</f>
        <v>0.10309278350515463</v>
      </c>
      <c r="R405">
        <f>R404/97</f>
        <v>5.1546391752577317E-2</v>
      </c>
    </row>
    <row r="406" spans="2:19" x14ac:dyDescent="0.2">
      <c r="I406" s="12"/>
      <c r="J406" s="12"/>
      <c r="K406" s="12"/>
      <c r="L406" s="12"/>
      <c r="M406" s="12"/>
    </row>
    <row r="407" spans="2:19" x14ac:dyDescent="0.2">
      <c r="C407" t="s">
        <v>1946</v>
      </c>
      <c r="D407">
        <f>COUNTIFS($C2:$C399,"SmallEffectNoPrompt",D2:D399,1)</f>
        <v>24</v>
      </c>
      <c r="E407">
        <f>COUNTIFS($C2:$C399,"SmallEffectNoPrompt",E2:E399,1)</f>
        <v>67</v>
      </c>
      <c r="F407">
        <f>COUNTIFS($C2:$C399,"SmallEffectNoPrompt",F2:F399,1)</f>
        <v>56</v>
      </c>
      <c r="G407">
        <f>COUNTIFS($C2:$C399,"SmallEffectNoPrompt",G2:G399,1)</f>
        <v>0</v>
      </c>
      <c r="H407">
        <f>COUNTIFS($C2:$C399,"SmallEffectNoPrompt",H2:H399,1)</f>
        <v>1</v>
      </c>
      <c r="I407" s="12"/>
      <c r="J407" s="12"/>
      <c r="K407" s="12"/>
      <c r="L407" s="12"/>
      <c r="M407" s="12" t="s">
        <v>1963</v>
      </c>
      <c r="N407">
        <f>COUNTIFS($C$2:$C$399,"SmallEffectNoPrompt",N2:N399,1)</f>
        <v>23</v>
      </c>
      <c r="O407">
        <f>COUNTIFS($C$2:$C$399,"SmallEffectNoPrompt",O2:O399,1)</f>
        <v>67</v>
      </c>
      <c r="P407">
        <f>COUNTIFS($C$2:$C$399,"SmallEffectNoPrompt",P2:P399,1)</f>
        <v>51</v>
      </c>
      <c r="Q407">
        <f>COUNTIFS($C$2:$C$399,"SmallEffectNoPrompt",Q2:Q399,1)</f>
        <v>0</v>
      </c>
      <c r="R407">
        <f>COUNTIFS($C$2:$C$399,"SmallEffectNoPrompt",R2:R399,1)</f>
        <v>0</v>
      </c>
    </row>
    <row r="408" spans="2:19" x14ac:dyDescent="0.2">
      <c r="C408" t="s">
        <v>1947</v>
      </c>
      <c r="D408">
        <f>D407/100</f>
        <v>0.24</v>
      </c>
      <c r="E408">
        <f>E407/100</f>
        <v>0.67</v>
      </c>
      <c r="F408">
        <f>F407/100</f>
        <v>0.56000000000000005</v>
      </c>
      <c r="G408">
        <f>G407/100</f>
        <v>0</v>
      </c>
      <c r="H408">
        <f>H407/100</f>
        <v>0.01</v>
      </c>
      <c r="I408" s="12"/>
      <c r="J408" s="12"/>
      <c r="K408" s="12"/>
      <c r="L408" s="12"/>
      <c r="M408" s="12" t="s">
        <v>1964</v>
      </c>
      <c r="N408">
        <f>N407/100</f>
        <v>0.23</v>
      </c>
      <c r="O408">
        <f>O407/100</f>
        <v>0.67</v>
      </c>
      <c r="P408">
        <f>P407/100</f>
        <v>0.51</v>
      </c>
      <c r="Q408">
        <f>Q407/100</f>
        <v>0</v>
      </c>
      <c r="R408">
        <f>R407/100</f>
        <v>0</v>
      </c>
    </row>
    <row r="409" spans="2:19" x14ac:dyDescent="0.2">
      <c r="I409" s="12"/>
      <c r="J409" s="12"/>
      <c r="K409" s="12"/>
      <c r="L409" s="12"/>
      <c r="M409" s="12"/>
    </row>
    <row r="410" spans="2:19" x14ac:dyDescent="0.2">
      <c r="C410" t="s">
        <v>1948</v>
      </c>
      <c r="D410">
        <f>COUNTIFS($C2:$C399,"SmallEffectWithPrompt",D2:D399,1)</f>
        <v>27</v>
      </c>
      <c r="E410">
        <f>COUNTIFS($C2:$C399,"SmallEffectWithPrompt",E2:E399,1)</f>
        <v>61</v>
      </c>
      <c r="F410">
        <f>COUNTIFS($C2:$C399,"SmallEffectWithPrompt",F2:F399,1)</f>
        <v>43</v>
      </c>
      <c r="G410">
        <f>COUNTIFS($C2:$C399,"SmallEffectWithPrompt",G2:G399,1)</f>
        <v>0</v>
      </c>
      <c r="H410">
        <f>COUNTIFS($C2:$C399,"SmallEffectWithPrompt",H2:H399,1)</f>
        <v>7</v>
      </c>
      <c r="I410" s="12"/>
      <c r="J410" s="12"/>
      <c r="K410" s="12"/>
      <c r="L410" s="12"/>
      <c r="M410" s="12" t="s">
        <v>1965</v>
      </c>
      <c r="N410">
        <f>COUNTIFS($C$2:$C$399,"SmallEffectWithPrompt",N2:N399,1)</f>
        <v>21</v>
      </c>
      <c r="O410">
        <f>COUNTIFS($C$2:$C$399,"SmallEffectWithPrompt",O2:O399,1)</f>
        <v>61</v>
      </c>
      <c r="P410">
        <f>COUNTIFS($C$2:$C$399,"SmallEffectWithPrompt",P2:P399,1)</f>
        <v>36</v>
      </c>
      <c r="Q410">
        <f>COUNTIFS($C$2:$C$399,"SmallEffectWithPrompt",Q2:Q399,1)</f>
        <v>0</v>
      </c>
      <c r="R410">
        <f>COUNTIFS($C$2:$C$399,"SmallEffectWithPrompt",R2:R399,1)</f>
        <v>4</v>
      </c>
    </row>
    <row r="411" spans="2:19" x14ac:dyDescent="0.2">
      <c r="C411" t="s">
        <v>1949</v>
      </c>
      <c r="D411">
        <f>D410/100</f>
        <v>0.27</v>
      </c>
      <c r="E411">
        <f>E410/100</f>
        <v>0.61</v>
      </c>
      <c r="F411">
        <f>F410/100</f>
        <v>0.43</v>
      </c>
      <c r="G411">
        <f>G410/100</f>
        <v>0</v>
      </c>
      <c r="H411">
        <f>H410/100</f>
        <v>7.0000000000000007E-2</v>
      </c>
      <c r="I411" s="12"/>
      <c r="J411" s="12"/>
      <c r="K411" s="12"/>
      <c r="L411" s="12"/>
      <c r="M411" s="12" t="s">
        <v>1966</v>
      </c>
      <c r="N411">
        <f>N410/100</f>
        <v>0.21</v>
      </c>
      <c r="O411">
        <f>O410/100</f>
        <v>0.61</v>
      </c>
      <c r="P411">
        <f>P410/100</f>
        <v>0.36</v>
      </c>
      <c r="Q411">
        <f>Q410/100</f>
        <v>0</v>
      </c>
      <c r="R411">
        <f>R410/100</f>
        <v>0.04</v>
      </c>
    </row>
    <row r="412" spans="2:19" x14ac:dyDescent="0.2">
      <c r="I412" s="12"/>
      <c r="J412" s="12"/>
      <c r="K412" s="12"/>
      <c r="L412" s="12"/>
      <c r="M412" s="12"/>
    </row>
    <row r="413" spans="2:19" x14ac:dyDescent="0.2">
      <c r="I413" s="12"/>
      <c r="J413" s="12"/>
      <c r="K413" s="12"/>
      <c r="L413" s="12"/>
      <c r="M413" s="12" t="s">
        <v>1971</v>
      </c>
      <c r="N413">
        <f>COUNTIF(N2:N399,"Disagree")</f>
        <v>49</v>
      </c>
      <c r="O413">
        <f>COUNTIF(O2:O399,"Disagree")</f>
        <v>11</v>
      </c>
      <c r="P413">
        <f>COUNTIF(P2:P399,"Disagree")</f>
        <v>32</v>
      </c>
      <c r="Q413">
        <f>COUNTIF(Q2:Q399,"Disagree")</f>
        <v>2</v>
      </c>
      <c r="S413">
        <f>SUM(N413:Q413)</f>
        <v>94</v>
      </c>
    </row>
    <row r="414" spans="2:19" x14ac:dyDescent="0.2">
      <c r="I414" s="12"/>
      <c r="J414" s="12"/>
      <c r="K414" s="12"/>
      <c r="L414" s="12"/>
      <c r="M414" s="12"/>
      <c r="R414" t="s">
        <v>1972</v>
      </c>
      <c r="S414">
        <f>S413/(398*4)</f>
        <v>5.9045226130653265E-2</v>
      </c>
    </row>
    <row r="415" spans="2:19" x14ac:dyDescent="0.2">
      <c r="I415" s="12"/>
      <c r="J415" s="12"/>
      <c r="K415" s="12"/>
      <c r="L415" s="12"/>
      <c r="M415" s="12"/>
    </row>
    <row r="416" spans="2:19" x14ac:dyDescent="0.2">
      <c r="I416" s="12"/>
      <c r="J416" s="12"/>
      <c r="K416" s="12"/>
      <c r="L416" s="12"/>
      <c r="M416" s="12"/>
    </row>
    <row r="417" spans="9:13" x14ac:dyDescent="0.2">
      <c r="I417" s="12"/>
      <c r="J417" s="12"/>
      <c r="K417" s="12"/>
      <c r="L417" s="12"/>
      <c r="M417" s="12"/>
    </row>
    <row r="418" spans="9:13" x14ac:dyDescent="0.2">
      <c r="I418" s="12"/>
      <c r="J418" s="12"/>
      <c r="K418" s="12"/>
      <c r="L418" s="12"/>
      <c r="M418" s="12"/>
    </row>
    <row r="419" spans="9:13" x14ac:dyDescent="0.2">
      <c r="I419" s="12"/>
      <c r="J419" s="12"/>
      <c r="K419" s="12"/>
      <c r="L419" s="12"/>
      <c r="M419" s="12"/>
    </row>
    <row r="420" spans="9:13" x14ac:dyDescent="0.2">
      <c r="I420" s="12"/>
      <c r="J420" s="12"/>
      <c r="K420" s="12"/>
      <c r="L420" s="12"/>
      <c r="M420" s="12"/>
    </row>
    <row r="421" spans="9:13" x14ac:dyDescent="0.2">
      <c r="I421" s="12"/>
      <c r="J421" s="12"/>
      <c r="K421" s="12"/>
      <c r="L421" s="12"/>
      <c r="M421" s="12"/>
    </row>
    <row r="422" spans="9:13" x14ac:dyDescent="0.2">
      <c r="I422" s="12"/>
      <c r="J422" s="12"/>
      <c r="K422" s="12"/>
      <c r="L422" s="12"/>
      <c r="M422" s="12"/>
    </row>
    <row r="423" spans="9:13" x14ac:dyDescent="0.2">
      <c r="I423" s="12"/>
      <c r="J423" s="12"/>
      <c r="K423" s="12"/>
      <c r="L423" s="12"/>
      <c r="M423" s="12"/>
    </row>
    <row r="424" spans="9:13" x14ac:dyDescent="0.2">
      <c r="I424" s="12"/>
      <c r="J424" s="12"/>
      <c r="K424" s="12"/>
      <c r="L424" s="12"/>
      <c r="M424" s="12"/>
    </row>
    <row r="425" spans="9:13" x14ac:dyDescent="0.2">
      <c r="I425" s="12"/>
      <c r="J425" s="12"/>
      <c r="K425" s="12"/>
      <c r="L425" s="12"/>
      <c r="M425" s="12"/>
    </row>
    <row r="426" spans="9:13" x14ac:dyDescent="0.2">
      <c r="I426" s="12"/>
      <c r="J426" s="12"/>
      <c r="K426" s="12"/>
      <c r="L426" s="12"/>
      <c r="M426" s="12"/>
    </row>
    <row r="427" spans="9:13" x14ac:dyDescent="0.2">
      <c r="I427" s="12"/>
      <c r="J427" s="12"/>
      <c r="K427" s="12"/>
      <c r="L427" s="12"/>
      <c r="M427" s="12"/>
    </row>
    <row r="428" spans="9:13" x14ac:dyDescent="0.2">
      <c r="I428" s="12"/>
      <c r="J428" s="12"/>
      <c r="K428" s="12"/>
      <c r="L428" s="12"/>
      <c r="M428" s="12"/>
    </row>
    <row r="429" spans="9:13" x14ac:dyDescent="0.2">
      <c r="I429" s="12"/>
      <c r="J429" s="12"/>
      <c r="K429" s="12"/>
      <c r="L429" s="12"/>
      <c r="M429" s="12"/>
    </row>
    <row r="430" spans="9:13" x14ac:dyDescent="0.2">
      <c r="I430" s="12"/>
      <c r="J430" s="12"/>
      <c r="K430" s="12"/>
      <c r="L430" s="12"/>
      <c r="M430" s="12"/>
    </row>
    <row r="431" spans="9:13" x14ac:dyDescent="0.2">
      <c r="I431" s="12"/>
      <c r="J431" s="12"/>
      <c r="K431" s="12"/>
      <c r="L431" s="12"/>
      <c r="M431" s="12"/>
    </row>
    <row r="432" spans="9:13" x14ac:dyDescent="0.2">
      <c r="I432" s="12"/>
      <c r="J432" s="12"/>
      <c r="K432" s="12"/>
      <c r="L432" s="12"/>
      <c r="M432" s="12"/>
    </row>
    <row r="433" spans="9:13" x14ac:dyDescent="0.2">
      <c r="I433" s="12"/>
      <c r="J433" s="12"/>
      <c r="K433" s="12"/>
      <c r="L433" s="12"/>
      <c r="M433" s="12"/>
    </row>
    <row r="434" spans="9:13" x14ac:dyDescent="0.2">
      <c r="I434" s="12"/>
      <c r="J434" s="12"/>
      <c r="K434" s="12"/>
      <c r="L434" s="12"/>
      <c r="M434" s="12"/>
    </row>
    <row r="435" spans="9:13" x14ac:dyDescent="0.2">
      <c r="I435" s="12"/>
      <c r="J435" s="12"/>
      <c r="K435" s="12"/>
      <c r="L435" s="12"/>
      <c r="M435" s="12"/>
    </row>
    <row r="436" spans="9:13" x14ac:dyDescent="0.2">
      <c r="I436" s="12"/>
      <c r="J436" s="12"/>
      <c r="K436" s="12"/>
      <c r="L436" s="12"/>
      <c r="M436" s="12"/>
    </row>
    <row r="437" spans="9:13" x14ac:dyDescent="0.2">
      <c r="I437" s="12"/>
      <c r="J437" s="12"/>
      <c r="K437" s="12"/>
      <c r="L437" s="12"/>
      <c r="M437" s="12"/>
    </row>
    <row r="438" spans="9:13" x14ac:dyDescent="0.2">
      <c r="I438" s="12"/>
      <c r="J438" s="12"/>
      <c r="K438" s="12"/>
      <c r="L438" s="12"/>
      <c r="M438" s="12"/>
    </row>
    <row r="439" spans="9:13" x14ac:dyDescent="0.2">
      <c r="I439" s="12"/>
      <c r="J439" s="12"/>
      <c r="K439" s="12"/>
      <c r="L439" s="12"/>
      <c r="M439" s="12"/>
    </row>
    <row r="440" spans="9:13" x14ac:dyDescent="0.2">
      <c r="I440" s="12"/>
      <c r="J440" s="12"/>
      <c r="K440" s="12"/>
      <c r="L440" s="12"/>
      <c r="M440" s="12"/>
    </row>
    <row r="441" spans="9:13" x14ac:dyDescent="0.2">
      <c r="I441" s="12"/>
      <c r="J441" s="12"/>
      <c r="K441" s="12"/>
      <c r="L441" s="12"/>
      <c r="M441" s="12"/>
    </row>
    <row r="442" spans="9:13" x14ac:dyDescent="0.2">
      <c r="I442" s="12"/>
      <c r="J442" s="12"/>
      <c r="K442" s="12"/>
      <c r="L442" s="12"/>
      <c r="M442" s="12"/>
    </row>
    <row r="443" spans="9:13" x14ac:dyDescent="0.2">
      <c r="I443" s="12"/>
      <c r="J443" s="12"/>
      <c r="K443" s="12"/>
      <c r="L443" s="12"/>
      <c r="M443" s="12"/>
    </row>
    <row r="444" spans="9:13" x14ac:dyDescent="0.2">
      <c r="I444" s="12"/>
      <c r="J444" s="12"/>
      <c r="K444" s="12"/>
      <c r="L444" s="12"/>
      <c r="M444" s="12"/>
    </row>
    <row r="445" spans="9:13" x14ac:dyDescent="0.2">
      <c r="I445" s="12"/>
      <c r="J445" s="12"/>
      <c r="K445" s="12"/>
      <c r="L445" s="12"/>
      <c r="M445" s="12"/>
    </row>
    <row r="446" spans="9:13" x14ac:dyDescent="0.2">
      <c r="I446" s="12"/>
      <c r="J446" s="12"/>
      <c r="K446" s="12"/>
      <c r="L446" s="12"/>
      <c r="M446" s="12"/>
    </row>
    <row r="447" spans="9:13" x14ac:dyDescent="0.2">
      <c r="I447" s="12"/>
      <c r="J447" s="12"/>
      <c r="K447" s="12"/>
      <c r="L447" s="12"/>
      <c r="M447" s="12"/>
    </row>
    <row r="448" spans="9:13" x14ac:dyDescent="0.2">
      <c r="I448" s="12"/>
      <c r="J448" s="12"/>
      <c r="K448" s="12"/>
      <c r="L448" s="12"/>
      <c r="M448" s="12"/>
    </row>
    <row r="449" spans="9:13" x14ac:dyDescent="0.2">
      <c r="I449" s="12"/>
      <c r="J449" s="12"/>
      <c r="K449" s="12"/>
      <c r="L449" s="12"/>
      <c r="M449" s="12"/>
    </row>
    <row r="450" spans="9:13" x14ac:dyDescent="0.2">
      <c r="I450" s="12"/>
      <c r="J450" s="12"/>
      <c r="K450" s="12"/>
      <c r="L450" s="12"/>
      <c r="M450" s="12"/>
    </row>
    <row r="451" spans="9:13" x14ac:dyDescent="0.2">
      <c r="I451" s="12"/>
      <c r="J451" s="12"/>
      <c r="K451" s="12"/>
      <c r="L451" s="12"/>
      <c r="M451" s="12"/>
    </row>
    <row r="452" spans="9:13" x14ac:dyDescent="0.2">
      <c r="I452" s="12"/>
      <c r="J452" s="12"/>
      <c r="K452" s="12"/>
      <c r="L452" s="12"/>
      <c r="M452" s="12"/>
    </row>
    <row r="453" spans="9:13" x14ac:dyDescent="0.2">
      <c r="I453" s="12"/>
      <c r="J453" s="12"/>
      <c r="K453" s="12"/>
      <c r="L453" s="12"/>
      <c r="M453" s="12"/>
    </row>
    <row r="454" spans="9:13" x14ac:dyDescent="0.2">
      <c r="I454" s="12"/>
      <c r="J454" s="12"/>
      <c r="K454" s="12"/>
      <c r="L454" s="12"/>
      <c r="M454" s="12"/>
    </row>
    <row r="455" spans="9:13" x14ac:dyDescent="0.2">
      <c r="I455" s="12"/>
      <c r="J455" s="12"/>
      <c r="K455" s="12"/>
      <c r="L455" s="12"/>
      <c r="M455" s="12"/>
    </row>
    <row r="456" spans="9:13" x14ac:dyDescent="0.2">
      <c r="I456" s="12"/>
      <c r="J456" s="12"/>
      <c r="K456" s="12"/>
      <c r="L456" s="12"/>
      <c r="M456" s="12"/>
    </row>
    <row r="457" spans="9:13" x14ac:dyDescent="0.2">
      <c r="I457" s="12"/>
      <c r="J457" s="12"/>
      <c r="K457" s="12"/>
      <c r="L457" s="12"/>
      <c r="M457" s="12"/>
    </row>
    <row r="458" spans="9:13" x14ac:dyDescent="0.2">
      <c r="I458" s="12"/>
      <c r="J458" s="12"/>
      <c r="K458" s="12"/>
      <c r="L458" s="12"/>
      <c r="M458" s="12"/>
    </row>
    <row r="459" spans="9:13" x14ac:dyDescent="0.2">
      <c r="I459" s="12"/>
      <c r="J459" s="12"/>
      <c r="K459" s="12"/>
      <c r="L459" s="12"/>
      <c r="M459" s="12"/>
    </row>
    <row r="460" spans="9:13" x14ac:dyDescent="0.2">
      <c r="I460" s="12"/>
      <c r="J460" s="12"/>
      <c r="K460" s="12"/>
      <c r="L460" s="12"/>
      <c r="M460" s="12"/>
    </row>
    <row r="461" spans="9:13" x14ac:dyDescent="0.2">
      <c r="I461" s="12"/>
      <c r="J461" s="12"/>
      <c r="K461" s="12"/>
      <c r="L461" s="12"/>
      <c r="M461" s="12"/>
    </row>
    <row r="462" spans="9:13" x14ac:dyDescent="0.2">
      <c r="I462" s="12"/>
      <c r="J462" s="12"/>
      <c r="K462" s="12"/>
      <c r="L462" s="12"/>
      <c r="M462" s="12"/>
    </row>
    <row r="463" spans="9:13" x14ac:dyDescent="0.2">
      <c r="I463" s="12"/>
      <c r="J463" s="12"/>
      <c r="K463" s="12"/>
      <c r="L463" s="12"/>
      <c r="M463" s="12"/>
    </row>
    <row r="464" spans="9:13" x14ac:dyDescent="0.2">
      <c r="I464" s="12"/>
      <c r="J464" s="12"/>
      <c r="K464" s="12"/>
      <c r="L464" s="12"/>
      <c r="M464" s="12"/>
    </row>
    <row r="465" spans="9:13" x14ac:dyDescent="0.2">
      <c r="I465" s="12"/>
      <c r="J465" s="12"/>
      <c r="K465" s="12"/>
      <c r="L465" s="12"/>
      <c r="M465" s="12"/>
    </row>
    <row r="466" spans="9:13" x14ac:dyDescent="0.2">
      <c r="I466" s="12"/>
      <c r="J466" s="12"/>
      <c r="K466" s="12"/>
      <c r="L466" s="12"/>
      <c r="M466" s="12"/>
    </row>
    <row r="467" spans="9:13" x14ac:dyDescent="0.2">
      <c r="I467" s="12"/>
      <c r="J467" s="12"/>
      <c r="K467" s="12"/>
      <c r="L467" s="12"/>
      <c r="M467" s="12"/>
    </row>
    <row r="468" spans="9:13" x14ac:dyDescent="0.2">
      <c r="I468" s="12"/>
      <c r="J468" s="12"/>
      <c r="K468" s="12"/>
      <c r="L468" s="12"/>
      <c r="M468" s="12"/>
    </row>
    <row r="469" spans="9:13" x14ac:dyDescent="0.2">
      <c r="I469" s="12"/>
      <c r="J469" s="12"/>
      <c r="K469" s="12"/>
      <c r="L469" s="12"/>
      <c r="M469" s="12"/>
    </row>
    <row r="470" spans="9:13" x14ac:dyDescent="0.2">
      <c r="I470" s="12"/>
      <c r="J470" s="12"/>
      <c r="K470" s="12"/>
      <c r="L470" s="12"/>
      <c r="M470" s="12"/>
    </row>
    <row r="471" spans="9:13" x14ac:dyDescent="0.2">
      <c r="I471" s="12"/>
      <c r="J471" s="12"/>
      <c r="K471" s="12"/>
      <c r="L471" s="12"/>
      <c r="M471" s="12"/>
    </row>
    <row r="472" spans="9:13" x14ac:dyDescent="0.2">
      <c r="I472" s="12"/>
      <c r="J472" s="12"/>
      <c r="K472" s="12"/>
      <c r="L472" s="12"/>
      <c r="M472" s="12"/>
    </row>
    <row r="473" spans="9:13" x14ac:dyDescent="0.2">
      <c r="I473" s="12"/>
      <c r="J473" s="12"/>
      <c r="K473" s="12"/>
      <c r="L473" s="12"/>
      <c r="M473" s="12"/>
    </row>
    <row r="474" spans="9:13" x14ac:dyDescent="0.2">
      <c r="I474" s="12"/>
      <c r="J474" s="12"/>
      <c r="K474" s="12"/>
      <c r="L474" s="12"/>
      <c r="M474" s="12"/>
    </row>
    <row r="475" spans="9:13" x14ac:dyDescent="0.2">
      <c r="I475" s="12"/>
      <c r="J475" s="12"/>
      <c r="K475" s="12"/>
      <c r="L475" s="12"/>
      <c r="M475" s="12"/>
    </row>
    <row r="476" spans="9:13" x14ac:dyDescent="0.2">
      <c r="I476" s="12"/>
      <c r="J476" s="12"/>
      <c r="K476" s="12"/>
      <c r="L476" s="12"/>
      <c r="M476" s="12"/>
    </row>
    <row r="477" spans="9:13" x14ac:dyDescent="0.2">
      <c r="I477" s="12"/>
      <c r="J477" s="12"/>
      <c r="K477" s="12"/>
      <c r="L477" s="12"/>
      <c r="M477" s="12"/>
    </row>
    <row r="478" spans="9:13" x14ac:dyDescent="0.2">
      <c r="I478" s="12"/>
      <c r="J478" s="12"/>
      <c r="K478" s="12"/>
      <c r="L478" s="12"/>
      <c r="M478" s="12"/>
    </row>
    <row r="479" spans="9:13" x14ac:dyDescent="0.2">
      <c r="I479" s="12"/>
      <c r="J479" s="12"/>
      <c r="K479" s="12"/>
      <c r="L479" s="12"/>
      <c r="M479" s="12"/>
    </row>
    <row r="480" spans="9:13" x14ac:dyDescent="0.2">
      <c r="I480" s="12"/>
      <c r="J480" s="12"/>
      <c r="K480" s="12"/>
      <c r="L480" s="12"/>
      <c r="M480" s="12"/>
    </row>
    <row r="481" spans="9:13" x14ac:dyDescent="0.2">
      <c r="I481" s="12"/>
      <c r="J481" s="12"/>
      <c r="K481" s="12"/>
      <c r="L481" s="12"/>
      <c r="M481" s="12"/>
    </row>
    <row r="482" spans="9:13" x14ac:dyDescent="0.2">
      <c r="I482" s="12"/>
      <c r="J482" s="12"/>
      <c r="K482" s="12"/>
      <c r="L482" s="12"/>
      <c r="M482" s="12"/>
    </row>
    <row r="483" spans="9:13" x14ac:dyDescent="0.2">
      <c r="I483" s="12"/>
      <c r="J483" s="12"/>
      <c r="K483" s="12"/>
      <c r="L483" s="12"/>
      <c r="M483" s="12"/>
    </row>
    <row r="484" spans="9:13" x14ac:dyDescent="0.2">
      <c r="I484" s="12"/>
      <c r="J484" s="12"/>
      <c r="K484" s="12"/>
      <c r="L484" s="12"/>
      <c r="M484" s="12"/>
    </row>
    <row r="485" spans="9:13" x14ac:dyDescent="0.2">
      <c r="I485" s="12"/>
      <c r="J485" s="12"/>
      <c r="K485" s="12"/>
      <c r="L485" s="12"/>
      <c r="M485" s="12"/>
    </row>
    <row r="486" spans="9:13" x14ac:dyDescent="0.2">
      <c r="I486" s="12"/>
      <c r="J486" s="12"/>
      <c r="K486" s="12"/>
      <c r="L486" s="12"/>
      <c r="M486" s="12"/>
    </row>
    <row r="487" spans="9:13" x14ac:dyDescent="0.2">
      <c r="I487" s="12"/>
      <c r="J487" s="12"/>
      <c r="K487" s="12"/>
      <c r="L487" s="12"/>
      <c r="M487" s="12"/>
    </row>
    <row r="488" spans="9:13" x14ac:dyDescent="0.2">
      <c r="I488" s="12"/>
      <c r="J488" s="12"/>
      <c r="K488" s="12"/>
      <c r="L488" s="12"/>
      <c r="M488" s="12"/>
    </row>
    <row r="489" spans="9:13" x14ac:dyDescent="0.2">
      <c r="I489" s="12"/>
      <c r="J489" s="12"/>
      <c r="K489" s="12"/>
      <c r="L489" s="12"/>
      <c r="M489" s="12"/>
    </row>
    <row r="490" spans="9:13" x14ac:dyDescent="0.2">
      <c r="I490" s="12"/>
      <c r="J490" s="12"/>
      <c r="K490" s="12"/>
      <c r="L490" s="12"/>
      <c r="M490" s="12"/>
    </row>
    <row r="491" spans="9:13" x14ac:dyDescent="0.2">
      <c r="I491" s="12"/>
      <c r="J491" s="12"/>
      <c r="K491" s="12"/>
      <c r="L491" s="12"/>
      <c r="M491" s="12"/>
    </row>
    <row r="492" spans="9:13" x14ac:dyDescent="0.2">
      <c r="I492" s="12"/>
      <c r="J492" s="12"/>
      <c r="K492" s="12"/>
      <c r="L492" s="12"/>
      <c r="M492" s="12"/>
    </row>
    <row r="493" spans="9:13" x14ac:dyDescent="0.2">
      <c r="I493" s="12"/>
      <c r="J493" s="12"/>
      <c r="K493" s="12"/>
      <c r="L493" s="12"/>
      <c r="M493" s="12"/>
    </row>
    <row r="494" spans="9:13" x14ac:dyDescent="0.2">
      <c r="I494" s="12"/>
      <c r="J494" s="12"/>
      <c r="K494" s="12"/>
      <c r="L494" s="12"/>
      <c r="M494" s="12"/>
    </row>
    <row r="495" spans="9:13" x14ac:dyDescent="0.2">
      <c r="I495" s="12"/>
      <c r="J495" s="12"/>
      <c r="K495" s="12"/>
      <c r="L495" s="12"/>
      <c r="M495" s="12"/>
    </row>
    <row r="496" spans="9:13" x14ac:dyDescent="0.2">
      <c r="I496" s="12"/>
      <c r="J496" s="12"/>
      <c r="K496" s="12"/>
      <c r="L496" s="12"/>
      <c r="M496" s="12"/>
    </row>
    <row r="497" spans="9:13" x14ac:dyDescent="0.2">
      <c r="I497" s="12"/>
      <c r="J497" s="12"/>
      <c r="K497" s="12"/>
      <c r="L497" s="12"/>
      <c r="M497" s="12"/>
    </row>
    <row r="498" spans="9:13" x14ac:dyDescent="0.2">
      <c r="I498" s="12"/>
      <c r="J498" s="12"/>
      <c r="K498" s="12"/>
      <c r="L498" s="12"/>
      <c r="M498" s="12"/>
    </row>
    <row r="499" spans="9:13" x14ac:dyDescent="0.2">
      <c r="I499" s="12"/>
      <c r="J499" s="12"/>
      <c r="K499" s="12"/>
      <c r="L499" s="12"/>
      <c r="M499" s="12"/>
    </row>
    <row r="500" spans="9:13" x14ac:dyDescent="0.2">
      <c r="I500" s="12"/>
      <c r="J500" s="12"/>
      <c r="K500" s="12"/>
      <c r="L500" s="12"/>
      <c r="M500" s="12"/>
    </row>
    <row r="501" spans="9:13" x14ac:dyDescent="0.2">
      <c r="I501" s="12"/>
      <c r="J501" s="12"/>
      <c r="K501" s="12"/>
      <c r="L501" s="12"/>
      <c r="M501" s="12"/>
    </row>
    <row r="502" spans="9:13" x14ac:dyDescent="0.2">
      <c r="I502" s="12"/>
      <c r="J502" s="12"/>
      <c r="K502" s="12"/>
      <c r="L502" s="12"/>
      <c r="M502" s="12"/>
    </row>
    <row r="503" spans="9:13" x14ac:dyDescent="0.2">
      <c r="I503" s="12"/>
      <c r="J503" s="12"/>
      <c r="K503" s="12"/>
      <c r="L503" s="12"/>
      <c r="M503" s="12"/>
    </row>
    <row r="504" spans="9:13" x14ac:dyDescent="0.2">
      <c r="I504" s="12"/>
      <c r="J504" s="12"/>
      <c r="K504" s="12"/>
      <c r="L504" s="12"/>
      <c r="M504" s="12"/>
    </row>
    <row r="505" spans="9:13" x14ac:dyDescent="0.2">
      <c r="I505" s="12"/>
      <c r="J505" s="12"/>
      <c r="K505" s="12"/>
      <c r="L505" s="12"/>
      <c r="M505" s="12"/>
    </row>
    <row r="506" spans="9:13" x14ac:dyDescent="0.2">
      <c r="I506" s="12"/>
      <c r="J506" s="12"/>
      <c r="K506" s="12"/>
      <c r="L506" s="12"/>
      <c r="M506" s="12"/>
    </row>
    <row r="507" spans="9:13" x14ac:dyDescent="0.2">
      <c r="I507" s="12"/>
      <c r="J507" s="12"/>
      <c r="K507" s="12"/>
      <c r="L507" s="12"/>
      <c r="M507" s="12"/>
    </row>
    <row r="508" spans="9:13" x14ac:dyDescent="0.2">
      <c r="I508" s="12"/>
      <c r="J508" s="12"/>
      <c r="K508" s="12"/>
      <c r="L508" s="12"/>
      <c r="M508" s="12"/>
    </row>
    <row r="509" spans="9:13" x14ac:dyDescent="0.2">
      <c r="I509" s="12"/>
      <c r="J509" s="12"/>
      <c r="K509" s="12"/>
      <c r="L509" s="12"/>
      <c r="M509" s="12"/>
    </row>
    <row r="510" spans="9:13" x14ac:dyDescent="0.2">
      <c r="I510" s="12"/>
      <c r="J510" s="12"/>
      <c r="K510" s="12"/>
      <c r="L510" s="12"/>
      <c r="M510" s="12"/>
    </row>
    <row r="511" spans="9:13" x14ac:dyDescent="0.2">
      <c r="I511" s="12"/>
      <c r="J511" s="12"/>
      <c r="K511" s="12"/>
      <c r="L511" s="12"/>
      <c r="M511" s="12"/>
    </row>
    <row r="512" spans="9:13" x14ac:dyDescent="0.2">
      <c r="I512" s="12"/>
      <c r="J512" s="12"/>
      <c r="K512" s="12"/>
      <c r="L512" s="12"/>
      <c r="M512" s="12"/>
    </row>
    <row r="513" spans="9:13" x14ac:dyDescent="0.2">
      <c r="I513" s="12"/>
      <c r="J513" s="12"/>
      <c r="K513" s="12"/>
      <c r="L513" s="12"/>
      <c r="M513" s="12"/>
    </row>
    <row r="514" spans="9:13" x14ac:dyDescent="0.2">
      <c r="I514" s="12"/>
      <c r="J514" s="12"/>
      <c r="K514" s="12"/>
      <c r="L514" s="12"/>
      <c r="M514" s="12"/>
    </row>
    <row r="515" spans="9:13" x14ac:dyDescent="0.2">
      <c r="I515" s="12"/>
      <c r="J515" s="12"/>
      <c r="K515" s="12"/>
      <c r="L515" s="12"/>
      <c r="M515" s="12"/>
    </row>
    <row r="516" spans="9:13" x14ac:dyDescent="0.2">
      <c r="I516" s="12"/>
      <c r="J516" s="12"/>
      <c r="K516" s="12"/>
      <c r="L516" s="12"/>
      <c r="M516" s="12"/>
    </row>
    <row r="517" spans="9:13" x14ac:dyDescent="0.2">
      <c r="I517" s="12"/>
      <c r="J517" s="12"/>
      <c r="K517" s="12"/>
      <c r="L517" s="12"/>
      <c r="M517" s="12"/>
    </row>
    <row r="518" spans="9:13" x14ac:dyDescent="0.2">
      <c r="I518" s="12"/>
      <c r="J518" s="12"/>
      <c r="K518" s="12"/>
      <c r="L518" s="12"/>
      <c r="M518" s="12"/>
    </row>
    <row r="519" spans="9:13" x14ac:dyDescent="0.2">
      <c r="I519" s="12"/>
      <c r="J519" s="12"/>
      <c r="K519" s="12"/>
      <c r="L519" s="12"/>
      <c r="M519" s="12"/>
    </row>
    <row r="520" spans="9:13" x14ac:dyDescent="0.2">
      <c r="I520" s="12"/>
      <c r="J520" s="12"/>
      <c r="K520" s="12"/>
      <c r="L520" s="12"/>
      <c r="M520" s="12"/>
    </row>
    <row r="521" spans="9:13" x14ac:dyDescent="0.2">
      <c r="I521" s="12"/>
      <c r="J521" s="12"/>
      <c r="K521" s="12"/>
      <c r="L521" s="12"/>
      <c r="M521" s="12"/>
    </row>
    <row r="522" spans="9:13" x14ac:dyDescent="0.2">
      <c r="I522" s="12"/>
      <c r="J522" s="12"/>
      <c r="K522" s="12"/>
      <c r="L522" s="12"/>
      <c r="M522" s="12"/>
    </row>
    <row r="523" spans="9:13" x14ac:dyDescent="0.2">
      <c r="I523" s="12"/>
      <c r="J523" s="12"/>
      <c r="K523" s="12"/>
      <c r="L523" s="12"/>
      <c r="M523" s="12"/>
    </row>
    <row r="524" spans="9:13" x14ac:dyDescent="0.2">
      <c r="I524" s="12"/>
      <c r="J524" s="12"/>
      <c r="K524" s="12"/>
      <c r="L524" s="12"/>
      <c r="M524" s="12"/>
    </row>
    <row r="525" spans="9:13" x14ac:dyDescent="0.2">
      <c r="I525" s="12"/>
      <c r="J525" s="12"/>
      <c r="K525" s="12"/>
      <c r="L525" s="12"/>
      <c r="M525" s="12"/>
    </row>
    <row r="526" spans="9:13" x14ac:dyDescent="0.2">
      <c r="I526" s="12"/>
      <c r="J526" s="12"/>
      <c r="K526" s="12"/>
      <c r="L526" s="12"/>
      <c r="M526" s="12"/>
    </row>
    <row r="527" spans="9:13" x14ac:dyDescent="0.2">
      <c r="I527" s="12"/>
      <c r="J527" s="12"/>
      <c r="K527" s="12"/>
      <c r="L527" s="12"/>
      <c r="M527" s="12"/>
    </row>
    <row r="528" spans="9:13" x14ac:dyDescent="0.2">
      <c r="I528" s="12"/>
      <c r="J528" s="12"/>
      <c r="K528" s="12"/>
      <c r="L528" s="12"/>
      <c r="M528" s="12"/>
    </row>
    <row r="529" spans="9:13" x14ac:dyDescent="0.2">
      <c r="I529" s="12"/>
      <c r="J529" s="12"/>
      <c r="K529" s="12"/>
      <c r="L529" s="12"/>
      <c r="M529" s="12"/>
    </row>
    <row r="530" spans="9:13" x14ac:dyDescent="0.2">
      <c r="I530" s="12"/>
      <c r="J530" s="12"/>
      <c r="K530" s="12"/>
      <c r="L530" s="12"/>
      <c r="M530" s="12"/>
    </row>
    <row r="531" spans="9:13" x14ac:dyDescent="0.2">
      <c r="I531" s="12"/>
      <c r="J531" s="12"/>
      <c r="K531" s="12"/>
      <c r="L531" s="12"/>
      <c r="M531" s="12"/>
    </row>
    <row r="532" spans="9:13" x14ac:dyDescent="0.2">
      <c r="I532" s="12"/>
      <c r="J532" s="12"/>
      <c r="K532" s="12"/>
      <c r="L532" s="12"/>
      <c r="M532" s="12"/>
    </row>
    <row r="533" spans="9:13" x14ac:dyDescent="0.2">
      <c r="I533" s="12"/>
      <c r="J533" s="12"/>
      <c r="K533" s="12"/>
      <c r="L533" s="12"/>
      <c r="M533" s="12"/>
    </row>
    <row r="534" spans="9:13" x14ac:dyDescent="0.2">
      <c r="I534" s="12"/>
      <c r="J534" s="12"/>
      <c r="K534" s="12"/>
      <c r="L534" s="12"/>
      <c r="M534" s="12"/>
    </row>
    <row r="535" spans="9:13" x14ac:dyDescent="0.2">
      <c r="I535" s="12"/>
      <c r="J535" s="12"/>
      <c r="K535" s="12"/>
      <c r="L535" s="12"/>
      <c r="M535" s="12"/>
    </row>
    <row r="536" spans="9:13" x14ac:dyDescent="0.2">
      <c r="I536" s="12"/>
      <c r="J536" s="12"/>
      <c r="K536" s="12"/>
      <c r="L536" s="12"/>
      <c r="M536" s="12"/>
    </row>
    <row r="537" spans="9:13" x14ac:dyDescent="0.2">
      <c r="I537" s="12"/>
      <c r="J537" s="12"/>
      <c r="K537" s="12"/>
      <c r="L537" s="12"/>
      <c r="M537" s="12"/>
    </row>
    <row r="538" spans="9:13" x14ac:dyDescent="0.2">
      <c r="I538" s="12"/>
      <c r="J538" s="12"/>
      <c r="K538" s="12"/>
      <c r="L538" s="12"/>
      <c r="M538" s="12"/>
    </row>
    <row r="539" spans="9:13" x14ac:dyDescent="0.2">
      <c r="I539" s="12"/>
      <c r="J539" s="12"/>
      <c r="K539" s="12"/>
      <c r="L539" s="12"/>
      <c r="M539" s="12"/>
    </row>
    <row r="540" spans="9:13" x14ac:dyDescent="0.2">
      <c r="I540" s="12"/>
      <c r="J540" s="12"/>
      <c r="K540" s="12"/>
      <c r="L540" s="12"/>
      <c r="M540" s="12"/>
    </row>
    <row r="541" spans="9:13" x14ac:dyDescent="0.2">
      <c r="I541" s="12"/>
      <c r="J541" s="12"/>
      <c r="K541" s="12"/>
      <c r="L541" s="12"/>
      <c r="M541" s="12"/>
    </row>
    <row r="542" spans="9:13" x14ac:dyDescent="0.2">
      <c r="I542" s="12"/>
      <c r="J542" s="12"/>
      <c r="K542" s="12"/>
      <c r="L542" s="12"/>
      <c r="M542" s="12"/>
    </row>
    <row r="543" spans="9:13" x14ac:dyDescent="0.2">
      <c r="I543" s="12"/>
      <c r="J543" s="12"/>
      <c r="K543" s="12"/>
      <c r="L543" s="12"/>
      <c r="M543" s="12"/>
    </row>
    <row r="544" spans="9:13" x14ac:dyDescent="0.2">
      <c r="I544" s="12"/>
      <c r="J544" s="12"/>
      <c r="K544" s="12"/>
      <c r="L544" s="12"/>
      <c r="M544" s="12"/>
    </row>
    <row r="545" spans="9:13" x14ac:dyDescent="0.2">
      <c r="I545" s="12"/>
      <c r="J545" s="12"/>
      <c r="K545" s="12"/>
      <c r="L545" s="12"/>
      <c r="M545" s="12"/>
    </row>
    <row r="546" spans="9:13" x14ac:dyDescent="0.2">
      <c r="I546" s="12"/>
      <c r="J546" s="12"/>
      <c r="K546" s="12"/>
      <c r="L546" s="12"/>
      <c r="M546" s="12"/>
    </row>
    <row r="547" spans="9:13" x14ac:dyDescent="0.2">
      <c r="I547" s="12"/>
      <c r="J547" s="12"/>
      <c r="K547" s="12"/>
      <c r="L547" s="12"/>
      <c r="M547" s="12"/>
    </row>
    <row r="548" spans="9:13" x14ac:dyDescent="0.2">
      <c r="I548" s="12"/>
      <c r="J548" s="12"/>
      <c r="K548" s="12"/>
      <c r="L548" s="12"/>
      <c r="M548" s="12"/>
    </row>
    <row r="549" spans="9:13" x14ac:dyDescent="0.2">
      <c r="I549" s="12"/>
      <c r="J549" s="12"/>
      <c r="K549" s="12"/>
      <c r="L549" s="12"/>
      <c r="M549" s="12"/>
    </row>
    <row r="550" spans="9:13" x14ac:dyDescent="0.2">
      <c r="I550" s="12"/>
      <c r="J550" s="12"/>
      <c r="K550" s="12"/>
      <c r="L550" s="12"/>
      <c r="M550" s="12"/>
    </row>
    <row r="551" spans="9:13" x14ac:dyDescent="0.2">
      <c r="I551" s="12"/>
      <c r="J551" s="12"/>
      <c r="K551" s="12"/>
      <c r="L551" s="12"/>
      <c r="M551" s="12"/>
    </row>
    <row r="552" spans="9:13" x14ac:dyDescent="0.2">
      <c r="I552" s="12"/>
      <c r="J552" s="12"/>
      <c r="K552" s="12"/>
      <c r="L552" s="12"/>
      <c r="M552" s="12"/>
    </row>
    <row r="553" spans="9:13" x14ac:dyDescent="0.2">
      <c r="I553" s="12"/>
      <c r="J553" s="12"/>
      <c r="K553" s="12"/>
      <c r="L553" s="12"/>
      <c r="M553" s="12"/>
    </row>
    <row r="554" spans="9:13" x14ac:dyDescent="0.2">
      <c r="I554" s="12"/>
      <c r="J554" s="12"/>
      <c r="K554" s="12"/>
      <c r="L554" s="12"/>
      <c r="M554" s="12"/>
    </row>
    <row r="555" spans="9:13" x14ac:dyDescent="0.2">
      <c r="I555" s="12"/>
      <c r="J555" s="12"/>
      <c r="K555" s="12"/>
      <c r="L555" s="12"/>
      <c r="M555" s="12"/>
    </row>
    <row r="556" spans="9:13" x14ac:dyDescent="0.2">
      <c r="I556" s="12"/>
      <c r="J556" s="12"/>
      <c r="K556" s="12"/>
      <c r="L556" s="12"/>
      <c r="M556" s="12"/>
    </row>
    <row r="557" spans="9:13" x14ac:dyDescent="0.2">
      <c r="I557" s="12"/>
      <c r="J557" s="12"/>
      <c r="K557" s="12"/>
      <c r="L557" s="12"/>
      <c r="M557" s="12"/>
    </row>
    <row r="558" spans="9:13" x14ac:dyDescent="0.2">
      <c r="I558" s="12"/>
      <c r="J558" s="12"/>
      <c r="K558" s="12"/>
      <c r="L558" s="12"/>
      <c r="M558" s="12"/>
    </row>
    <row r="559" spans="9:13" x14ac:dyDescent="0.2">
      <c r="I559" s="12"/>
      <c r="J559" s="12"/>
      <c r="K559" s="12"/>
      <c r="L559" s="12"/>
      <c r="M559" s="12"/>
    </row>
    <row r="560" spans="9:13" x14ac:dyDescent="0.2">
      <c r="I560" s="12"/>
      <c r="J560" s="12"/>
      <c r="K560" s="12"/>
      <c r="L560" s="12"/>
      <c r="M560" s="12"/>
    </row>
    <row r="561" spans="9:13" x14ac:dyDescent="0.2">
      <c r="I561" s="12"/>
      <c r="J561" s="12"/>
      <c r="K561" s="12"/>
      <c r="L561" s="12"/>
      <c r="M561" s="12"/>
    </row>
    <row r="562" spans="9:13" x14ac:dyDescent="0.2">
      <c r="I562" s="12"/>
      <c r="J562" s="12"/>
      <c r="K562" s="12"/>
      <c r="L562" s="12"/>
      <c r="M562" s="12"/>
    </row>
    <row r="563" spans="9:13" x14ac:dyDescent="0.2">
      <c r="I563" s="12"/>
      <c r="J563" s="12"/>
      <c r="K563" s="12"/>
      <c r="L563" s="12"/>
      <c r="M563" s="12"/>
    </row>
    <row r="564" spans="9:13" x14ac:dyDescent="0.2">
      <c r="I564" s="12"/>
      <c r="J564" s="12"/>
      <c r="K564" s="12"/>
      <c r="L564" s="12"/>
      <c r="M564" s="12"/>
    </row>
    <row r="565" spans="9:13" x14ac:dyDescent="0.2">
      <c r="I565" s="12"/>
      <c r="J565" s="12"/>
      <c r="K565" s="12"/>
      <c r="L565" s="12"/>
      <c r="M565" s="12"/>
    </row>
    <row r="566" spans="9:13" x14ac:dyDescent="0.2">
      <c r="I566" s="12"/>
      <c r="J566" s="12"/>
      <c r="K566" s="12"/>
      <c r="L566" s="12"/>
      <c r="M566" s="12"/>
    </row>
    <row r="567" spans="9:13" x14ac:dyDescent="0.2">
      <c r="I567" s="12"/>
      <c r="J567" s="12"/>
      <c r="K567" s="12"/>
      <c r="L567" s="12"/>
      <c r="M567" s="12"/>
    </row>
    <row r="568" spans="9:13" x14ac:dyDescent="0.2">
      <c r="I568" s="12"/>
      <c r="J568" s="12"/>
      <c r="K568" s="12"/>
      <c r="L568" s="12"/>
      <c r="M568" s="12"/>
    </row>
    <row r="569" spans="9:13" x14ac:dyDescent="0.2">
      <c r="I569" s="12"/>
      <c r="J569" s="12"/>
      <c r="K569" s="12"/>
      <c r="L569" s="12"/>
      <c r="M569" s="12"/>
    </row>
    <row r="570" spans="9:13" x14ac:dyDescent="0.2">
      <c r="I570" s="12"/>
      <c r="J570" s="12"/>
      <c r="K570" s="12"/>
      <c r="L570" s="12"/>
      <c r="M570" s="12"/>
    </row>
    <row r="571" spans="9:13" x14ac:dyDescent="0.2">
      <c r="I571" s="12"/>
      <c r="J571" s="12"/>
      <c r="K571" s="12"/>
      <c r="L571" s="12"/>
      <c r="M571" s="12"/>
    </row>
    <row r="572" spans="9:13" x14ac:dyDescent="0.2">
      <c r="I572" s="12"/>
      <c r="J572" s="12"/>
      <c r="K572" s="12"/>
      <c r="L572" s="12"/>
      <c r="M572" s="12"/>
    </row>
    <row r="573" spans="9:13" x14ac:dyDescent="0.2">
      <c r="I573" s="12"/>
      <c r="J573" s="12"/>
      <c r="K573" s="12"/>
      <c r="L573" s="12"/>
      <c r="M573" s="12"/>
    </row>
    <row r="574" spans="9:13" x14ac:dyDescent="0.2">
      <c r="I574" s="12"/>
      <c r="J574" s="12"/>
      <c r="K574" s="12"/>
      <c r="L574" s="12"/>
      <c r="M574" s="12"/>
    </row>
    <row r="575" spans="9:13" x14ac:dyDescent="0.2">
      <c r="I575" s="12"/>
      <c r="J575" s="12"/>
      <c r="K575" s="12"/>
      <c r="L575" s="12"/>
      <c r="M575" s="12"/>
    </row>
    <row r="576" spans="9:13" x14ac:dyDescent="0.2">
      <c r="I576" s="12"/>
      <c r="J576" s="12"/>
      <c r="K576" s="12"/>
      <c r="L576" s="12"/>
      <c r="M576" s="12"/>
    </row>
    <row r="577" spans="9:13" x14ac:dyDescent="0.2">
      <c r="I577" s="12"/>
      <c r="J577" s="12"/>
      <c r="K577" s="12"/>
      <c r="L577" s="12"/>
      <c r="M577" s="12"/>
    </row>
    <row r="578" spans="9:13" x14ac:dyDescent="0.2">
      <c r="I578" s="12"/>
      <c r="J578" s="12"/>
      <c r="K578" s="12"/>
      <c r="L578" s="12"/>
      <c r="M578" s="12"/>
    </row>
    <row r="579" spans="9:13" x14ac:dyDescent="0.2">
      <c r="I579" s="12"/>
      <c r="J579" s="12"/>
      <c r="K579" s="12"/>
      <c r="L579" s="12"/>
      <c r="M579" s="12"/>
    </row>
    <row r="580" spans="9:13" x14ac:dyDescent="0.2">
      <c r="I580" s="12"/>
      <c r="J580" s="12"/>
      <c r="K580" s="12"/>
      <c r="L580" s="12"/>
      <c r="M580" s="12"/>
    </row>
    <row r="581" spans="9:13" x14ac:dyDescent="0.2">
      <c r="I581" s="12"/>
      <c r="J581" s="12"/>
      <c r="K581" s="12"/>
      <c r="L581" s="12"/>
      <c r="M581" s="12"/>
    </row>
    <row r="582" spans="9:13" x14ac:dyDescent="0.2">
      <c r="I582" s="12"/>
      <c r="J582" s="12"/>
      <c r="K582" s="12"/>
      <c r="L582" s="12"/>
      <c r="M582" s="12"/>
    </row>
    <row r="583" spans="9:13" x14ac:dyDescent="0.2">
      <c r="I583" s="12"/>
      <c r="J583" s="12"/>
      <c r="K583" s="12"/>
      <c r="L583" s="12"/>
      <c r="M583" s="12"/>
    </row>
    <row r="584" spans="9:13" x14ac:dyDescent="0.2">
      <c r="I584" s="12"/>
      <c r="J584" s="12"/>
      <c r="K584" s="12"/>
      <c r="L584" s="12"/>
      <c r="M584" s="12"/>
    </row>
    <row r="585" spans="9:13" x14ac:dyDescent="0.2">
      <c r="I585" s="12"/>
      <c r="J585" s="12"/>
      <c r="K585" s="12"/>
      <c r="L585" s="12"/>
      <c r="M585" s="12"/>
    </row>
    <row r="586" spans="9:13" x14ac:dyDescent="0.2">
      <c r="I586" s="12"/>
      <c r="J586" s="12"/>
      <c r="K586" s="12"/>
      <c r="L586" s="12"/>
      <c r="M586" s="12"/>
    </row>
    <row r="587" spans="9:13" x14ac:dyDescent="0.2">
      <c r="I587" s="12"/>
      <c r="J587" s="12"/>
      <c r="K587" s="12"/>
      <c r="L587" s="12"/>
      <c r="M587" s="12"/>
    </row>
    <row r="588" spans="9:13" x14ac:dyDescent="0.2">
      <c r="I588" s="12"/>
      <c r="J588" s="12"/>
      <c r="K588" s="12"/>
      <c r="L588" s="12"/>
      <c r="M588" s="12"/>
    </row>
    <row r="589" spans="9:13" x14ac:dyDescent="0.2">
      <c r="I589" s="12"/>
      <c r="J589" s="12"/>
      <c r="K589" s="12"/>
      <c r="L589" s="12"/>
      <c r="M589" s="12"/>
    </row>
    <row r="590" spans="9:13" x14ac:dyDescent="0.2">
      <c r="I590" s="12"/>
      <c r="J590" s="12"/>
      <c r="K590" s="12"/>
      <c r="L590" s="12"/>
      <c r="M590" s="12"/>
    </row>
    <row r="591" spans="9:13" x14ac:dyDescent="0.2">
      <c r="I591" s="12"/>
      <c r="J591" s="12"/>
      <c r="K591" s="12"/>
      <c r="L591" s="12"/>
      <c r="M591" s="12"/>
    </row>
    <row r="592" spans="9:13" x14ac:dyDescent="0.2">
      <c r="I592" s="12"/>
      <c r="J592" s="12"/>
      <c r="K592" s="12"/>
      <c r="L592" s="12"/>
      <c r="M592" s="12"/>
    </row>
    <row r="593" spans="9:13" x14ac:dyDescent="0.2">
      <c r="I593" s="12"/>
      <c r="J593" s="12"/>
      <c r="K593" s="12"/>
      <c r="L593" s="12"/>
      <c r="M593" s="12"/>
    </row>
    <row r="594" spans="9:13" x14ac:dyDescent="0.2">
      <c r="I594" s="12"/>
      <c r="J594" s="12"/>
      <c r="K594" s="12"/>
      <c r="L594" s="12"/>
      <c r="M594" s="12"/>
    </row>
    <row r="595" spans="9:13" x14ac:dyDescent="0.2">
      <c r="I595" s="12"/>
      <c r="J595" s="12"/>
      <c r="K595" s="12"/>
      <c r="L595" s="12"/>
      <c r="M595" s="12"/>
    </row>
    <row r="596" spans="9:13" x14ac:dyDescent="0.2">
      <c r="I596" s="12"/>
      <c r="J596" s="12"/>
      <c r="K596" s="12"/>
      <c r="L596" s="12"/>
      <c r="M596" s="12"/>
    </row>
    <row r="597" spans="9:13" x14ac:dyDescent="0.2">
      <c r="I597" s="12"/>
      <c r="J597" s="12"/>
      <c r="K597" s="12"/>
      <c r="L597" s="12"/>
      <c r="M597" s="12"/>
    </row>
    <row r="598" spans="9:13" x14ac:dyDescent="0.2">
      <c r="I598" s="12"/>
      <c r="J598" s="12"/>
      <c r="K598" s="12"/>
      <c r="L598" s="12"/>
      <c r="M598" s="12"/>
    </row>
    <row r="599" spans="9:13" x14ac:dyDescent="0.2">
      <c r="I599" s="12"/>
      <c r="J599" s="12"/>
      <c r="K599" s="12"/>
      <c r="L599" s="12"/>
      <c r="M599" s="12"/>
    </row>
    <row r="600" spans="9:13" x14ac:dyDescent="0.2">
      <c r="I600" s="12"/>
      <c r="J600" s="12"/>
      <c r="K600" s="12"/>
      <c r="L600" s="12"/>
      <c r="M600" s="12"/>
    </row>
    <row r="601" spans="9:13" x14ac:dyDescent="0.2">
      <c r="I601" s="12"/>
      <c r="J601" s="12"/>
      <c r="K601" s="12"/>
      <c r="L601" s="12"/>
      <c r="M601" s="12"/>
    </row>
    <row r="602" spans="9:13" x14ac:dyDescent="0.2">
      <c r="I602" s="12"/>
      <c r="J602" s="12"/>
      <c r="K602" s="12"/>
      <c r="L602" s="12"/>
      <c r="M602" s="12"/>
    </row>
    <row r="603" spans="9:13" x14ac:dyDescent="0.2">
      <c r="I603" s="12"/>
      <c r="J603" s="12"/>
      <c r="K603" s="12"/>
      <c r="L603" s="12"/>
      <c r="M603" s="12"/>
    </row>
    <row r="604" spans="9:13" x14ac:dyDescent="0.2">
      <c r="I604" s="12"/>
      <c r="J604" s="12"/>
      <c r="K604" s="12"/>
      <c r="L604" s="12"/>
      <c r="M604" s="12"/>
    </row>
    <row r="605" spans="9:13" x14ac:dyDescent="0.2">
      <c r="I605" s="12"/>
      <c r="J605" s="12"/>
      <c r="K605" s="12"/>
      <c r="L605" s="12"/>
      <c r="M605" s="12"/>
    </row>
    <row r="606" spans="9:13" x14ac:dyDescent="0.2">
      <c r="I606" s="12"/>
      <c r="J606" s="12"/>
      <c r="K606" s="12"/>
      <c r="L606" s="12"/>
      <c r="M606" s="12"/>
    </row>
    <row r="607" spans="9:13" x14ac:dyDescent="0.2">
      <c r="I607" s="12"/>
      <c r="J607" s="12"/>
      <c r="K607" s="12"/>
      <c r="L607" s="12"/>
      <c r="M607" s="12"/>
    </row>
    <row r="608" spans="9:13" x14ac:dyDescent="0.2">
      <c r="I608" s="12"/>
      <c r="J608" s="12"/>
      <c r="K608" s="12"/>
      <c r="L608" s="12"/>
      <c r="M608" s="12"/>
    </row>
    <row r="609" spans="9:13" x14ac:dyDescent="0.2">
      <c r="I609" s="12"/>
      <c r="J609" s="12"/>
      <c r="K609" s="12"/>
      <c r="L609" s="12"/>
      <c r="M609" s="12"/>
    </row>
    <row r="610" spans="9:13" x14ac:dyDescent="0.2">
      <c r="I610" s="12"/>
      <c r="J610" s="12"/>
      <c r="K610" s="12"/>
      <c r="L610" s="12"/>
      <c r="M610" s="12"/>
    </row>
    <row r="611" spans="9:13" x14ac:dyDescent="0.2">
      <c r="I611" s="12"/>
      <c r="J611" s="12"/>
      <c r="K611" s="12"/>
      <c r="L611" s="12"/>
      <c r="M611" s="12"/>
    </row>
    <row r="612" spans="9:13" x14ac:dyDescent="0.2">
      <c r="I612" s="12"/>
      <c r="J612" s="12"/>
      <c r="K612" s="12"/>
      <c r="L612" s="12"/>
      <c r="M612" s="12"/>
    </row>
    <row r="613" spans="9:13" x14ac:dyDescent="0.2">
      <c r="I613" s="12"/>
      <c r="J613" s="12"/>
      <c r="K613" s="12"/>
      <c r="L613" s="12"/>
      <c r="M613" s="12"/>
    </row>
    <row r="614" spans="9:13" x14ac:dyDescent="0.2">
      <c r="I614" s="12"/>
      <c r="J614" s="12"/>
      <c r="K614" s="12"/>
      <c r="L614" s="12"/>
      <c r="M614" s="12"/>
    </row>
    <row r="615" spans="9:13" x14ac:dyDescent="0.2">
      <c r="I615" s="12"/>
      <c r="J615" s="12"/>
      <c r="K615" s="12"/>
      <c r="L615" s="12"/>
      <c r="M615" s="12"/>
    </row>
    <row r="616" spans="9:13" x14ac:dyDescent="0.2">
      <c r="I616" s="12"/>
      <c r="J616" s="12"/>
      <c r="K616" s="12"/>
      <c r="L616" s="12"/>
      <c r="M616" s="12"/>
    </row>
    <row r="617" spans="9:13" x14ac:dyDescent="0.2">
      <c r="I617" s="12"/>
      <c r="J617" s="12"/>
      <c r="K617" s="12"/>
      <c r="L617" s="12"/>
      <c r="M617" s="12"/>
    </row>
    <row r="618" spans="9:13" x14ac:dyDescent="0.2">
      <c r="I618" s="12"/>
      <c r="J618" s="12"/>
      <c r="K618" s="12"/>
      <c r="L618" s="12"/>
      <c r="M618" s="12"/>
    </row>
    <row r="619" spans="9:13" x14ac:dyDescent="0.2">
      <c r="I619" s="12"/>
      <c r="J619" s="12"/>
      <c r="K619" s="12"/>
      <c r="L619" s="12"/>
      <c r="M619" s="12"/>
    </row>
    <row r="620" spans="9:13" x14ac:dyDescent="0.2">
      <c r="I620" s="12"/>
      <c r="J620" s="12"/>
      <c r="K620" s="12"/>
      <c r="L620" s="12"/>
      <c r="M620" s="12"/>
    </row>
    <row r="621" spans="9:13" x14ac:dyDescent="0.2">
      <c r="I621" s="12"/>
      <c r="J621" s="12"/>
      <c r="K621" s="12"/>
      <c r="L621" s="12"/>
      <c r="M621" s="12"/>
    </row>
    <row r="622" spans="9:13" x14ac:dyDescent="0.2">
      <c r="I622" s="12"/>
      <c r="J622" s="12"/>
      <c r="K622" s="12"/>
      <c r="L622" s="12"/>
      <c r="M622" s="12"/>
    </row>
    <row r="623" spans="9:13" x14ac:dyDescent="0.2">
      <c r="I623" s="12"/>
      <c r="J623" s="12"/>
      <c r="K623" s="12"/>
      <c r="L623" s="12"/>
      <c r="M623" s="12"/>
    </row>
    <row r="624" spans="9:13" x14ac:dyDescent="0.2">
      <c r="I624" s="12"/>
      <c r="J624" s="12"/>
      <c r="K624" s="12"/>
      <c r="L624" s="12"/>
      <c r="M624" s="12"/>
    </row>
    <row r="625" spans="9:13" x14ac:dyDescent="0.2">
      <c r="I625" s="12"/>
      <c r="J625" s="12"/>
      <c r="K625" s="12"/>
      <c r="L625" s="12"/>
      <c r="M625" s="12"/>
    </row>
    <row r="626" spans="9:13" x14ac:dyDescent="0.2">
      <c r="I626" s="12"/>
      <c r="J626" s="12"/>
      <c r="K626" s="12"/>
      <c r="L626" s="12"/>
      <c r="M626" s="12"/>
    </row>
    <row r="627" spans="9:13" x14ac:dyDescent="0.2">
      <c r="I627" s="12"/>
      <c r="J627" s="12"/>
      <c r="K627" s="12"/>
      <c r="L627" s="12"/>
      <c r="M627" s="12"/>
    </row>
    <row r="628" spans="9:13" x14ac:dyDescent="0.2">
      <c r="I628" s="12"/>
      <c r="J628" s="12"/>
      <c r="K628" s="12"/>
      <c r="L628" s="12"/>
      <c r="M628" s="12"/>
    </row>
    <row r="629" spans="9:13" x14ac:dyDescent="0.2">
      <c r="I629" s="12"/>
      <c r="J629" s="12"/>
      <c r="K629" s="12"/>
      <c r="L629" s="12"/>
      <c r="M629" s="12"/>
    </row>
    <row r="630" spans="9:13" x14ac:dyDescent="0.2">
      <c r="I630" s="12"/>
      <c r="J630" s="12"/>
      <c r="K630" s="12"/>
      <c r="L630" s="12"/>
      <c r="M630" s="12"/>
    </row>
    <row r="631" spans="9:13" x14ac:dyDescent="0.2">
      <c r="I631" s="12"/>
      <c r="J631" s="12"/>
      <c r="K631" s="12"/>
      <c r="L631" s="12"/>
      <c r="M631" s="12"/>
    </row>
    <row r="632" spans="9:13" x14ac:dyDescent="0.2">
      <c r="I632" s="12"/>
      <c r="J632" s="12"/>
      <c r="K632" s="12"/>
      <c r="L632" s="12"/>
      <c r="M632" s="12"/>
    </row>
    <row r="633" spans="9:13" x14ac:dyDescent="0.2">
      <c r="I633" s="12"/>
      <c r="J633" s="12"/>
      <c r="K633" s="12"/>
      <c r="L633" s="12"/>
      <c r="M633" s="12"/>
    </row>
    <row r="634" spans="9:13" x14ac:dyDescent="0.2">
      <c r="I634" s="12"/>
      <c r="J634" s="12"/>
      <c r="K634" s="12"/>
      <c r="L634" s="12"/>
      <c r="M634" s="12"/>
    </row>
    <row r="635" spans="9:13" x14ac:dyDescent="0.2">
      <c r="I635" s="12"/>
      <c r="J635" s="12"/>
      <c r="K635" s="12"/>
      <c r="L635" s="12"/>
      <c r="M635" s="12"/>
    </row>
    <row r="636" spans="9:13" x14ac:dyDescent="0.2">
      <c r="I636" s="12"/>
      <c r="J636" s="12"/>
      <c r="K636" s="12"/>
      <c r="L636" s="12"/>
      <c r="M636" s="12"/>
    </row>
    <row r="637" spans="9:13" x14ac:dyDescent="0.2">
      <c r="I637" s="12"/>
      <c r="J637" s="12"/>
      <c r="K637" s="12"/>
      <c r="L637" s="12"/>
      <c r="M637" s="12"/>
    </row>
    <row r="638" spans="9:13" x14ac:dyDescent="0.2">
      <c r="I638" s="12"/>
      <c r="J638" s="12"/>
      <c r="K638" s="12"/>
      <c r="L638" s="12"/>
      <c r="M638" s="12"/>
    </row>
    <row r="639" spans="9:13" x14ac:dyDescent="0.2">
      <c r="I639" s="12"/>
      <c r="J639" s="12"/>
      <c r="K639" s="12"/>
      <c r="L639" s="12"/>
      <c r="M639" s="12"/>
    </row>
    <row r="640" spans="9:13" x14ac:dyDescent="0.2">
      <c r="I640" s="12"/>
      <c r="J640" s="12"/>
      <c r="K640" s="12"/>
      <c r="L640" s="12"/>
      <c r="M640" s="12"/>
    </row>
    <row r="641" spans="9:13" x14ac:dyDescent="0.2">
      <c r="I641" s="12"/>
      <c r="J641" s="12"/>
      <c r="K641" s="12"/>
      <c r="L641" s="12"/>
      <c r="M641" s="12"/>
    </row>
    <row r="642" spans="9:13" x14ac:dyDescent="0.2">
      <c r="I642" s="12"/>
      <c r="J642" s="12"/>
      <c r="K642" s="12"/>
      <c r="L642" s="12"/>
      <c r="M642" s="12"/>
    </row>
    <row r="643" spans="9:13" x14ac:dyDescent="0.2">
      <c r="I643" s="12"/>
      <c r="J643" s="12"/>
      <c r="K643" s="12"/>
      <c r="L643" s="12"/>
      <c r="M643" s="12"/>
    </row>
    <row r="644" spans="9:13" x14ac:dyDescent="0.2">
      <c r="I644" s="12"/>
      <c r="J644" s="12"/>
      <c r="K644" s="12"/>
      <c r="L644" s="12"/>
      <c r="M644" s="12"/>
    </row>
    <row r="645" spans="9:13" x14ac:dyDescent="0.2">
      <c r="I645" s="12"/>
      <c r="J645" s="12"/>
      <c r="K645" s="12"/>
      <c r="L645" s="12"/>
      <c r="M645" s="12"/>
    </row>
    <row r="646" spans="9:13" x14ac:dyDescent="0.2">
      <c r="I646" s="12"/>
      <c r="J646" s="12"/>
      <c r="K646" s="12"/>
      <c r="L646" s="12"/>
      <c r="M646" s="12"/>
    </row>
    <row r="647" spans="9:13" x14ac:dyDescent="0.2">
      <c r="I647" s="12"/>
      <c r="J647" s="12"/>
      <c r="K647" s="12"/>
      <c r="L647" s="12"/>
      <c r="M647" s="12"/>
    </row>
    <row r="648" spans="9:13" x14ac:dyDescent="0.2">
      <c r="I648" s="12"/>
      <c r="J648" s="12"/>
      <c r="K648" s="12"/>
      <c r="L648" s="12"/>
      <c r="M648" s="12"/>
    </row>
    <row r="649" spans="9:13" x14ac:dyDescent="0.2">
      <c r="I649" s="12"/>
      <c r="J649" s="12"/>
      <c r="K649" s="12"/>
      <c r="L649" s="12"/>
      <c r="M649" s="12"/>
    </row>
    <row r="650" spans="9:13" x14ac:dyDescent="0.2">
      <c r="I650" s="12"/>
      <c r="J650" s="12"/>
      <c r="K650" s="12"/>
      <c r="L650" s="12"/>
      <c r="M650" s="12"/>
    </row>
    <row r="651" spans="9:13" x14ac:dyDescent="0.2">
      <c r="I651" s="12"/>
      <c r="J651" s="12"/>
      <c r="K651" s="12"/>
      <c r="L651" s="12"/>
      <c r="M651" s="12"/>
    </row>
    <row r="652" spans="9:13" x14ac:dyDescent="0.2">
      <c r="I652" s="12"/>
      <c r="J652" s="12"/>
      <c r="K652" s="12"/>
      <c r="L652" s="12"/>
      <c r="M652" s="12"/>
    </row>
    <row r="653" spans="9:13" x14ac:dyDescent="0.2">
      <c r="I653" s="12"/>
      <c r="J653" s="12"/>
      <c r="K653" s="12"/>
      <c r="L653" s="12"/>
      <c r="M653" s="12"/>
    </row>
    <row r="654" spans="9:13" x14ac:dyDescent="0.2">
      <c r="I654" s="12"/>
      <c r="J654" s="12"/>
      <c r="K654" s="12"/>
      <c r="L654" s="12"/>
      <c r="M654" s="12"/>
    </row>
    <row r="655" spans="9:13" x14ac:dyDescent="0.2">
      <c r="I655" s="12"/>
      <c r="J655" s="12"/>
      <c r="K655" s="12"/>
      <c r="L655" s="12"/>
      <c r="M655" s="12"/>
    </row>
    <row r="656" spans="9:13" x14ac:dyDescent="0.2">
      <c r="I656" s="12"/>
      <c r="J656" s="12"/>
      <c r="K656" s="12"/>
      <c r="L656" s="12"/>
      <c r="M656" s="12"/>
    </row>
    <row r="657" spans="9:13" x14ac:dyDescent="0.2">
      <c r="I657" s="12"/>
      <c r="J657" s="12"/>
      <c r="K657" s="12"/>
      <c r="L657" s="12"/>
      <c r="M657" s="12"/>
    </row>
    <row r="658" spans="9:13" x14ac:dyDescent="0.2">
      <c r="I658" s="12"/>
      <c r="J658" s="12"/>
      <c r="K658" s="12"/>
      <c r="L658" s="12"/>
      <c r="M658" s="12"/>
    </row>
    <row r="659" spans="9:13" x14ac:dyDescent="0.2">
      <c r="I659" s="12"/>
      <c r="J659" s="12"/>
      <c r="K659" s="12"/>
      <c r="L659" s="12"/>
      <c r="M659" s="12"/>
    </row>
    <row r="660" spans="9:13" x14ac:dyDescent="0.2">
      <c r="I660" s="12"/>
      <c r="J660" s="12"/>
      <c r="K660" s="12"/>
      <c r="L660" s="12"/>
      <c r="M660" s="12"/>
    </row>
    <row r="661" spans="9:13" x14ac:dyDescent="0.2">
      <c r="I661" s="12"/>
      <c r="J661" s="12"/>
      <c r="K661" s="12"/>
      <c r="L661" s="12"/>
      <c r="M661" s="12"/>
    </row>
    <row r="662" spans="9:13" x14ac:dyDescent="0.2">
      <c r="I662" s="12"/>
      <c r="J662" s="12"/>
      <c r="K662" s="12"/>
      <c r="L662" s="12"/>
      <c r="M662" s="12"/>
    </row>
    <row r="663" spans="9:13" x14ac:dyDescent="0.2">
      <c r="I663" s="12"/>
      <c r="J663" s="12"/>
      <c r="K663" s="12"/>
      <c r="L663" s="12"/>
      <c r="M663" s="12"/>
    </row>
    <row r="664" spans="9:13" x14ac:dyDescent="0.2">
      <c r="I664" s="12"/>
      <c r="J664" s="12"/>
      <c r="K664" s="12"/>
      <c r="L664" s="12"/>
      <c r="M664" s="12"/>
    </row>
    <row r="665" spans="9:13" x14ac:dyDescent="0.2">
      <c r="I665" s="12"/>
      <c r="J665" s="12"/>
      <c r="K665" s="12"/>
      <c r="L665" s="12"/>
      <c r="M665" s="12"/>
    </row>
    <row r="666" spans="9:13" x14ac:dyDescent="0.2">
      <c r="I666" s="12"/>
      <c r="J666" s="12"/>
      <c r="K666" s="12"/>
      <c r="L666" s="12"/>
      <c r="M666" s="12"/>
    </row>
    <row r="667" spans="9:13" x14ac:dyDescent="0.2">
      <c r="I667" s="12"/>
      <c r="J667" s="12"/>
      <c r="K667" s="12"/>
      <c r="L667" s="12"/>
      <c r="M667" s="12"/>
    </row>
    <row r="668" spans="9:13" x14ac:dyDescent="0.2">
      <c r="I668" s="12"/>
      <c r="J668" s="12"/>
      <c r="K668" s="12"/>
      <c r="L668" s="12"/>
      <c r="M668" s="12"/>
    </row>
    <row r="669" spans="9:13" x14ac:dyDescent="0.2">
      <c r="I669" s="12"/>
      <c r="J669" s="12"/>
      <c r="K669" s="12"/>
      <c r="L669" s="12"/>
      <c r="M669" s="12"/>
    </row>
    <row r="670" spans="9:13" x14ac:dyDescent="0.2">
      <c r="I670" s="12"/>
      <c r="J670" s="12"/>
      <c r="K670" s="12"/>
      <c r="L670" s="12"/>
      <c r="M670" s="12"/>
    </row>
    <row r="671" spans="9:13" x14ac:dyDescent="0.2">
      <c r="I671" s="12"/>
      <c r="J671" s="12"/>
      <c r="K671" s="12"/>
      <c r="L671" s="12"/>
      <c r="M671" s="12"/>
    </row>
    <row r="672" spans="9:13" x14ac:dyDescent="0.2">
      <c r="I672" s="12"/>
      <c r="J672" s="12"/>
      <c r="K672" s="12"/>
      <c r="L672" s="12"/>
      <c r="M672" s="12"/>
    </row>
    <row r="673" spans="9:13" x14ac:dyDescent="0.2">
      <c r="I673" s="12"/>
      <c r="J673" s="12"/>
      <c r="K673" s="12"/>
      <c r="L673" s="12"/>
      <c r="M673" s="12"/>
    </row>
    <row r="674" spans="9:13" x14ac:dyDescent="0.2">
      <c r="I674" s="12"/>
      <c r="J674" s="12"/>
      <c r="K674" s="12"/>
      <c r="L674" s="12"/>
      <c r="M674" s="12"/>
    </row>
    <row r="675" spans="9:13" x14ac:dyDescent="0.2">
      <c r="I675" s="12"/>
      <c r="J675" s="12"/>
      <c r="K675" s="12"/>
      <c r="L675" s="12"/>
      <c r="M675" s="12"/>
    </row>
    <row r="676" spans="9:13" x14ac:dyDescent="0.2">
      <c r="I676" s="12"/>
      <c r="J676" s="12"/>
      <c r="K676" s="12"/>
      <c r="L676" s="12"/>
      <c r="M676" s="12"/>
    </row>
    <row r="677" spans="9:13" x14ac:dyDescent="0.2">
      <c r="I677" s="12"/>
      <c r="J677" s="12"/>
      <c r="K677" s="12"/>
      <c r="L677" s="12"/>
      <c r="M677" s="12"/>
    </row>
    <row r="678" spans="9:13" x14ac:dyDescent="0.2">
      <c r="I678" s="12"/>
      <c r="J678" s="12"/>
      <c r="K678" s="12"/>
      <c r="L678" s="12"/>
      <c r="M678" s="12"/>
    </row>
    <row r="679" spans="9:13" x14ac:dyDescent="0.2">
      <c r="I679" s="12"/>
      <c r="J679" s="12"/>
      <c r="K679" s="12"/>
      <c r="L679" s="12"/>
      <c r="M679" s="12"/>
    </row>
    <row r="680" spans="9:13" x14ac:dyDescent="0.2">
      <c r="I680" s="12"/>
      <c r="J680" s="12"/>
      <c r="K680" s="12"/>
      <c r="L680" s="12"/>
      <c r="M680" s="12"/>
    </row>
    <row r="681" spans="9:13" x14ac:dyDescent="0.2">
      <c r="I681" s="12"/>
      <c r="J681" s="12"/>
      <c r="K681" s="12"/>
      <c r="L681" s="12"/>
      <c r="M681" s="12"/>
    </row>
    <row r="682" spans="9:13" x14ac:dyDescent="0.2">
      <c r="I682" s="12"/>
      <c r="J682" s="12"/>
      <c r="K682" s="12"/>
      <c r="L682" s="12"/>
      <c r="M682" s="12"/>
    </row>
    <row r="683" spans="9:13" x14ac:dyDescent="0.2">
      <c r="I683" s="12"/>
      <c r="J683" s="12"/>
      <c r="K683" s="12"/>
      <c r="L683" s="12"/>
      <c r="M683" s="12"/>
    </row>
    <row r="684" spans="9:13" x14ac:dyDescent="0.2">
      <c r="I684" s="12"/>
      <c r="J684" s="12"/>
      <c r="K684" s="12"/>
      <c r="L684" s="12"/>
      <c r="M684" s="12"/>
    </row>
    <row r="685" spans="9:13" x14ac:dyDescent="0.2">
      <c r="I685" s="12"/>
      <c r="J685" s="12"/>
      <c r="K685" s="12"/>
      <c r="L685" s="12"/>
      <c r="M685" s="12"/>
    </row>
    <row r="686" spans="9:13" x14ac:dyDescent="0.2">
      <c r="I686" s="12"/>
      <c r="J686" s="12"/>
      <c r="K686" s="12"/>
      <c r="L686" s="12"/>
      <c r="M686" s="12"/>
    </row>
    <row r="687" spans="9:13" x14ac:dyDescent="0.2">
      <c r="I687" s="12"/>
      <c r="J687" s="12"/>
      <c r="K687" s="12"/>
      <c r="L687" s="12"/>
      <c r="M687" s="12"/>
    </row>
    <row r="688" spans="9:13" x14ac:dyDescent="0.2">
      <c r="I688" s="12"/>
      <c r="J688" s="12"/>
      <c r="K688" s="12"/>
      <c r="L688" s="12"/>
      <c r="M688" s="12"/>
    </row>
    <row r="689" spans="9:13" x14ac:dyDescent="0.2">
      <c r="I689" s="12"/>
      <c r="J689" s="12"/>
      <c r="K689" s="12"/>
      <c r="L689" s="12"/>
      <c r="M689" s="12"/>
    </row>
    <row r="690" spans="9:13" x14ac:dyDescent="0.2">
      <c r="I690" s="12"/>
      <c r="J690" s="12"/>
      <c r="K690" s="12"/>
      <c r="L690" s="12"/>
      <c r="M690" s="12"/>
    </row>
    <row r="691" spans="9:13" x14ac:dyDescent="0.2">
      <c r="I691" s="12"/>
      <c r="J691" s="12"/>
      <c r="K691" s="12"/>
      <c r="L691" s="12"/>
      <c r="M691" s="12"/>
    </row>
    <row r="692" spans="9:13" x14ac:dyDescent="0.2">
      <c r="I692" s="12"/>
      <c r="J692" s="12"/>
      <c r="K692" s="12"/>
      <c r="L692" s="12"/>
      <c r="M692" s="12"/>
    </row>
    <row r="693" spans="9:13" x14ac:dyDescent="0.2">
      <c r="I693" s="12"/>
      <c r="J693" s="12"/>
      <c r="K693" s="12"/>
      <c r="L693" s="12"/>
      <c r="M693" s="12"/>
    </row>
    <row r="694" spans="9:13" x14ac:dyDescent="0.2">
      <c r="I694" s="12"/>
      <c r="J694" s="12"/>
      <c r="K694" s="12"/>
      <c r="L694" s="12"/>
      <c r="M694" s="12"/>
    </row>
    <row r="695" spans="9:13" x14ac:dyDescent="0.2">
      <c r="I695" s="12"/>
      <c r="J695" s="12"/>
      <c r="K695" s="12"/>
      <c r="L695" s="12"/>
      <c r="M695" s="12"/>
    </row>
    <row r="696" spans="9:13" x14ac:dyDescent="0.2">
      <c r="I696" s="12"/>
      <c r="J696" s="12"/>
      <c r="K696" s="12"/>
      <c r="L696" s="12"/>
      <c r="M696" s="12"/>
    </row>
    <row r="697" spans="9:13" x14ac:dyDescent="0.2">
      <c r="I697" s="12"/>
      <c r="J697" s="12"/>
      <c r="K697" s="12"/>
      <c r="L697" s="12"/>
      <c r="M697" s="12"/>
    </row>
    <row r="698" spans="9:13" x14ac:dyDescent="0.2">
      <c r="I698" s="12"/>
      <c r="J698" s="12"/>
      <c r="K698" s="12"/>
      <c r="L698" s="12"/>
      <c r="M698" s="12"/>
    </row>
    <row r="699" spans="9:13" x14ac:dyDescent="0.2">
      <c r="I699" s="12"/>
      <c r="J699" s="12"/>
      <c r="K699" s="12"/>
      <c r="L699" s="12"/>
      <c r="M699" s="12"/>
    </row>
    <row r="700" spans="9:13" x14ac:dyDescent="0.2">
      <c r="I700" s="12"/>
      <c r="J700" s="12"/>
      <c r="K700" s="12"/>
      <c r="L700" s="12"/>
      <c r="M700" s="12"/>
    </row>
    <row r="701" spans="9:13" x14ac:dyDescent="0.2">
      <c r="I701" s="12"/>
      <c r="J701" s="12"/>
      <c r="K701" s="12"/>
      <c r="L701" s="12"/>
      <c r="M701" s="12"/>
    </row>
    <row r="702" spans="9:13" x14ac:dyDescent="0.2">
      <c r="I702" s="12"/>
      <c r="J702" s="12"/>
      <c r="K702" s="12"/>
      <c r="L702" s="12"/>
      <c r="M702" s="12"/>
    </row>
    <row r="703" spans="9:13" x14ac:dyDescent="0.2">
      <c r="I703" s="12"/>
      <c r="J703" s="12"/>
      <c r="K703" s="12"/>
      <c r="L703" s="12"/>
      <c r="M703" s="12"/>
    </row>
    <row r="704" spans="9:13" x14ac:dyDescent="0.2">
      <c r="I704" s="12"/>
      <c r="J704" s="12"/>
      <c r="K704" s="12"/>
      <c r="L704" s="12"/>
      <c r="M704" s="12"/>
    </row>
    <row r="705" spans="9:13" x14ac:dyDescent="0.2">
      <c r="I705" s="12"/>
      <c r="J705" s="12"/>
      <c r="K705" s="12"/>
      <c r="L705" s="12"/>
      <c r="M705" s="12"/>
    </row>
    <row r="706" spans="9:13" x14ac:dyDescent="0.2">
      <c r="I706" s="12"/>
      <c r="J706" s="12"/>
      <c r="K706" s="12"/>
      <c r="L706" s="12"/>
      <c r="M706" s="12"/>
    </row>
    <row r="707" spans="9:13" x14ac:dyDescent="0.2">
      <c r="I707" s="12"/>
      <c r="J707" s="12"/>
      <c r="K707" s="12"/>
      <c r="L707" s="12"/>
      <c r="M707" s="12"/>
    </row>
    <row r="708" spans="9:13" x14ac:dyDescent="0.2">
      <c r="I708" s="12"/>
      <c r="J708" s="12"/>
      <c r="K708" s="12"/>
      <c r="L708" s="12"/>
      <c r="M708" s="12"/>
    </row>
    <row r="709" spans="9:13" x14ac:dyDescent="0.2">
      <c r="I709" s="12"/>
      <c r="J709" s="12"/>
      <c r="K709" s="12"/>
      <c r="L709" s="12"/>
      <c r="M709" s="12"/>
    </row>
    <row r="710" spans="9:13" x14ac:dyDescent="0.2">
      <c r="I710" s="12"/>
      <c r="J710" s="12"/>
      <c r="K710" s="12"/>
      <c r="L710" s="12"/>
      <c r="M710" s="12"/>
    </row>
    <row r="711" spans="9:13" x14ac:dyDescent="0.2">
      <c r="I711" s="12"/>
      <c r="J711" s="12"/>
      <c r="K711" s="12"/>
      <c r="L711" s="12"/>
      <c r="M711" s="12"/>
    </row>
    <row r="712" spans="9:13" x14ac:dyDescent="0.2">
      <c r="I712" s="12"/>
      <c r="J712" s="12"/>
      <c r="K712" s="12"/>
      <c r="L712" s="12"/>
      <c r="M712" s="12"/>
    </row>
    <row r="713" spans="9:13" x14ac:dyDescent="0.2">
      <c r="I713" s="12"/>
      <c r="J713" s="12"/>
      <c r="K713" s="12"/>
      <c r="L713" s="12"/>
      <c r="M713" s="12"/>
    </row>
    <row r="714" spans="9:13" x14ac:dyDescent="0.2">
      <c r="I714" s="12"/>
      <c r="J714" s="12"/>
      <c r="K714" s="12"/>
      <c r="L714" s="12"/>
      <c r="M714" s="12"/>
    </row>
    <row r="715" spans="9:13" x14ac:dyDescent="0.2">
      <c r="I715" s="12"/>
      <c r="J715" s="12"/>
      <c r="K715" s="12"/>
      <c r="L715" s="12"/>
      <c r="M715" s="12"/>
    </row>
    <row r="716" spans="9:13" x14ac:dyDescent="0.2">
      <c r="I716" s="12"/>
      <c r="J716" s="12"/>
      <c r="K716" s="12"/>
      <c r="L716" s="12"/>
      <c r="M716" s="12"/>
    </row>
    <row r="717" spans="9:13" x14ac:dyDescent="0.2">
      <c r="I717" s="12"/>
      <c r="J717" s="12"/>
      <c r="K717" s="12"/>
      <c r="L717" s="12"/>
      <c r="M717" s="12"/>
    </row>
    <row r="718" spans="9:13" x14ac:dyDescent="0.2">
      <c r="I718" s="12"/>
      <c r="J718" s="12"/>
      <c r="K718" s="12"/>
      <c r="L718" s="12"/>
      <c r="M718" s="12"/>
    </row>
    <row r="719" spans="9:13" x14ac:dyDescent="0.2">
      <c r="I719" s="12"/>
      <c r="J719" s="12"/>
      <c r="K719" s="12"/>
      <c r="L719" s="12"/>
      <c r="M719" s="12"/>
    </row>
    <row r="720" spans="9:13" x14ac:dyDescent="0.2">
      <c r="I720" s="12"/>
      <c r="J720" s="12"/>
      <c r="K720" s="12"/>
      <c r="L720" s="12"/>
      <c r="M720" s="12"/>
    </row>
    <row r="721" spans="9:13" x14ac:dyDescent="0.2">
      <c r="I721" s="12"/>
      <c r="J721" s="12"/>
      <c r="K721" s="12"/>
      <c r="L721" s="12"/>
      <c r="M721" s="12"/>
    </row>
    <row r="722" spans="9:13" x14ac:dyDescent="0.2">
      <c r="I722" s="12"/>
      <c r="J722" s="12"/>
      <c r="K722" s="12"/>
      <c r="L722" s="12"/>
      <c r="M722" s="12"/>
    </row>
    <row r="723" spans="9:13" x14ac:dyDescent="0.2">
      <c r="I723" s="12"/>
      <c r="J723" s="12"/>
      <c r="K723" s="12"/>
      <c r="L723" s="12"/>
      <c r="M723" s="12"/>
    </row>
    <row r="724" spans="9:13" x14ac:dyDescent="0.2">
      <c r="I724" s="12"/>
      <c r="J724" s="12"/>
      <c r="K724" s="12"/>
      <c r="L724" s="12"/>
      <c r="M724" s="12"/>
    </row>
    <row r="725" spans="9:13" x14ac:dyDescent="0.2">
      <c r="I725" s="12"/>
      <c r="J725" s="12"/>
      <c r="K725" s="12"/>
      <c r="L725" s="12"/>
      <c r="M725" s="12"/>
    </row>
    <row r="726" spans="9:13" x14ac:dyDescent="0.2">
      <c r="I726" s="12"/>
      <c r="J726" s="12"/>
      <c r="K726" s="12"/>
      <c r="L726" s="12"/>
      <c r="M726" s="12"/>
    </row>
    <row r="727" spans="9:13" x14ac:dyDescent="0.2">
      <c r="I727" s="12"/>
      <c r="J727" s="12"/>
      <c r="K727" s="12"/>
      <c r="L727" s="12"/>
      <c r="M727" s="12"/>
    </row>
    <row r="728" spans="9:13" x14ac:dyDescent="0.2">
      <c r="I728" s="12"/>
      <c r="J728" s="12"/>
      <c r="K728" s="12"/>
      <c r="L728" s="12"/>
      <c r="M728" s="12"/>
    </row>
    <row r="729" spans="9:13" x14ac:dyDescent="0.2">
      <c r="I729" s="12"/>
      <c r="J729" s="12"/>
      <c r="K729" s="12"/>
      <c r="L729" s="12"/>
      <c r="M729" s="12"/>
    </row>
    <row r="730" spans="9:13" x14ac:dyDescent="0.2">
      <c r="I730" s="12"/>
      <c r="J730" s="12"/>
      <c r="K730" s="12"/>
      <c r="L730" s="12"/>
      <c r="M730" s="12"/>
    </row>
    <row r="731" spans="9:13" x14ac:dyDescent="0.2">
      <c r="I731" s="12"/>
      <c r="J731" s="12"/>
      <c r="K731" s="12"/>
      <c r="L731" s="12"/>
      <c r="M731" s="12"/>
    </row>
    <row r="732" spans="9:13" x14ac:dyDescent="0.2">
      <c r="I732" s="12"/>
      <c r="J732" s="12"/>
      <c r="K732" s="12"/>
      <c r="L732" s="12"/>
      <c r="M732" s="12"/>
    </row>
    <row r="733" spans="9:13" x14ac:dyDescent="0.2">
      <c r="I733" s="12"/>
      <c r="J733" s="12"/>
      <c r="K733" s="12"/>
      <c r="L733" s="12"/>
      <c r="M733" s="12"/>
    </row>
    <row r="734" spans="9:13" x14ac:dyDescent="0.2">
      <c r="I734" s="12"/>
      <c r="J734" s="12"/>
      <c r="K734" s="12"/>
      <c r="L734" s="12"/>
      <c r="M734" s="12"/>
    </row>
    <row r="735" spans="9:13" x14ac:dyDescent="0.2">
      <c r="I735" s="12"/>
      <c r="J735" s="12"/>
      <c r="K735" s="12"/>
      <c r="L735" s="12"/>
      <c r="M735" s="12"/>
    </row>
    <row r="736" spans="9:13" x14ac:dyDescent="0.2">
      <c r="I736" s="12"/>
      <c r="J736" s="12"/>
      <c r="K736" s="12"/>
      <c r="L736" s="12"/>
      <c r="M736" s="12"/>
    </row>
    <row r="737" spans="9:13" x14ac:dyDescent="0.2">
      <c r="I737" s="12"/>
      <c r="J737" s="12"/>
      <c r="K737" s="12"/>
      <c r="L737" s="12"/>
      <c r="M737" s="12"/>
    </row>
    <row r="738" spans="9:13" x14ac:dyDescent="0.2">
      <c r="I738" s="12"/>
      <c r="J738" s="12"/>
      <c r="K738" s="12"/>
      <c r="L738" s="12"/>
      <c r="M738" s="12"/>
    </row>
    <row r="739" spans="9:13" x14ac:dyDescent="0.2">
      <c r="I739" s="12"/>
      <c r="J739" s="12"/>
      <c r="K739" s="12"/>
      <c r="L739" s="12"/>
      <c r="M739" s="12"/>
    </row>
    <row r="740" spans="9:13" x14ac:dyDescent="0.2">
      <c r="I740" s="12"/>
      <c r="J740" s="12"/>
      <c r="K740" s="12"/>
      <c r="L740" s="12"/>
      <c r="M740" s="12"/>
    </row>
    <row r="741" spans="9:13" x14ac:dyDescent="0.2">
      <c r="I741" s="12"/>
      <c r="J741" s="12"/>
      <c r="K741" s="12"/>
      <c r="L741" s="12"/>
      <c r="M741" s="12"/>
    </row>
    <row r="742" spans="9:13" x14ac:dyDescent="0.2">
      <c r="I742" s="12"/>
      <c r="J742" s="12"/>
      <c r="K742" s="12"/>
      <c r="L742" s="12"/>
      <c r="M742" s="12"/>
    </row>
    <row r="743" spans="9:13" x14ac:dyDescent="0.2">
      <c r="I743" s="12"/>
      <c r="J743" s="12"/>
      <c r="K743" s="12"/>
      <c r="L743" s="12"/>
      <c r="M743" s="12"/>
    </row>
    <row r="744" spans="9:13" x14ac:dyDescent="0.2">
      <c r="I744" s="12"/>
      <c r="J744" s="12"/>
      <c r="K744" s="12"/>
      <c r="L744" s="12"/>
      <c r="M744" s="12"/>
    </row>
    <row r="745" spans="9:13" x14ac:dyDescent="0.2">
      <c r="I745" s="12"/>
      <c r="J745" s="12"/>
      <c r="K745" s="12"/>
      <c r="L745" s="12"/>
      <c r="M745" s="12"/>
    </row>
    <row r="746" spans="9:13" x14ac:dyDescent="0.2">
      <c r="I746" s="12"/>
      <c r="J746" s="12"/>
      <c r="K746" s="12"/>
      <c r="L746" s="12"/>
      <c r="M746" s="12"/>
    </row>
    <row r="747" spans="9:13" x14ac:dyDescent="0.2">
      <c r="I747" s="12"/>
      <c r="J747" s="12"/>
      <c r="K747" s="12"/>
      <c r="L747" s="12"/>
      <c r="M747" s="12"/>
    </row>
    <row r="748" spans="9:13" x14ac:dyDescent="0.2">
      <c r="I748" s="12"/>
      <c r="J748" s="12"/>
      <c r="K748" s="12"/>
      <c r="L748" s="12"/>
      <c r="M748" s="12"/>
    </row>
    <row r="749" spans="9:13" x14ac:dyDescent="0.2">
      <c r="I749" s="12"/>
      <c r="J749" s="12"/>
      <c r="K749" s="12"/>
      <c r="L749" s="12"/>
      <c r="M749" s="12"/>
    </row>
    <row r="750" spans="9:13" x14ac:dyDescent="0.2">
      <c r="I750" s="12"/>
      <c r="J750" s="12"/>
      <c r="K750" s="12"/>
      <c r="L750" s="12"/>
      <c r="M750" s="12"/>
    </row>
    <row r="751" spans="9:13" x14ac:dyDescent="0.2">
      <c r="I751" s="12"/>
      <c r="J751" s="12"/>
      <c r="K751" s="12"/>
      <c r="L751" s="12"/>
      <c r="M751" s="12"/>
    </row>
    <row r="752" spans="9:13" x14ac:dyDescent="0.2">
      <c r="I752" s="12"/>
      <c r="J752" s="12"/>
      <c r="K752" s="12"/>
      <c r="L752" s="12"/>
      <c r="M752" s="12"/>
    </row>
    <row r="753" spans="9:13" x14ac:dyDescent="0.2">
      <c r="I753" s="12"/>
      <c r="J753" s="12"/>
      <c r="K753" s="12"/>
      <c r="L753" s="12"/>
      <c r="M753" s="12"/>
    </row>
    <row r="754" spans="9:13" x14ac:dyDescent="0.2">
      <c r="I754" s="12"/>
      <c r="J754" s="12"/>
      <c r="K754" s="12"/>
      <c r="L754" s="12"/>
      <c r="M754" s="12"/>
    </row>
    <row r="755" spans="9:13" x14ac:dyDescent="0.2">
      <c r="I755" s="12"/>
      <c r="J755" s="12"/>
      <c r="K755" s="12"/>
      <c r="L755" s="12"/>
      <c r="M755" s="12"/>
    </row>
    <row r="756" spans="9:13" x14ac:dyDescent="0.2">
      <c r="I756" s="12"/>
      <c r="J756" s="12"/>
      <c r="K756" s="12"/>
      <c r="L756" s="12"/>
      <c r="M756" s="12"/>
    </row>
    <row r="757" spans="9:13" x14ac:dyDescent="0.2">
      <c r="I757" s="12"/>
      <c r="J757" s="12"/>
      <c r="K757" s="12"/>
      <c r="L757" s="12"/>
      <c r="M757" s="12"/>
    </row>
    <row r="758" spans="9:13" x14ac:dyDescent="0.2">
      <c r="I758" s="12"/>
      <c r="J758" s="12"/>
      <c r="K758" s="12"/>
      <c r="L758" s="12"/>
      <c r="M758" s="12"/>
    </row>
    <row r="759" spans="9:13" x14ac:dyDescent="0.2">
      <c r="I759" s="12"/>
      <c r="J759" s="12"/>
      <c r="K759" s="12"/>
      <c r="L759" s="12"/>
      <c r="M759" s="12"/>
    </row>
    <row r="760" spans="9:13" x14ac:dyDescent="0.2">
      <c r="I760" s="12"/>
      <c r="J760" s="12"/>
      <c r="K760" s="12"/>
      <c r="L760" s="12"/>
      <c r="M760" s="12"/>
    </row>
    <row r="761" spans="9:13" x14ac:dyDescent="0.2">
      <c r="I761" s="12"/>
      <c r="J761" s="12"/>
      <c r="K761" s="12"/>
      <c r="L761" s="12"/>
      <c r="M761" s="12"/>
    </row>
    <row r="762" spans="9:13" x14ac:dyDescent="0.2">
      <c r="I762" s="12"/>
      <c r="J762" s="12"/>
      <c r="K762" s="12"/>
      <c r="L762" s="12"/>
      <c r="M762" s="12"/>
    </row>
    <row r="763" spans="9:13" x14ac:dyDescent="0.2">
      <c r="I763" s="12"/>
      <c r="J763" s="12"/>
      <c r="K763" s="12"/>
      <c r="L763" s="12"/>
      <c r="M763" s="12"/>
    </row>
    <row r="764" spans="9:13" x14ac:dyDescent="0.2">
      <c r="I764" s="12"/>
      <c r="J764" s="12"/>
      <c r="K764" s="12"/>
      <c r="L764" s="12"/>
      <c r="M764" s="12"/>
    </row>
    <row r="765" spans="9:13" x14ac:dyDescent="0.2">
      <c r="I765" s="12"/>
      <c r="J765" s="12"/>
      <c r="K765" s="12"/>
      <c r="L765" s="12"/>
      <c r="M765" s="12"/>
    </row>
    <row r="766" spans="9:13" x14ac:dyDescent="0.2">
      <c r="I766" s="12"/>
      <c r="J766" s="12"/>
      <c r="K766" s="12"/>
      <c r="L766" s="12"/>
      <c r="M766" s="12"/>
    </row>
    <row r="767" spans="9:13" x14ac:dyDescent="0.2">
      <c r="I767" s="12"/>
      <c r="J767" s="12"/>
      <c r="K767" s="12"/>
      <c r="L767" s="12"/>
      <c r="M767" s="12"/>
    </row>
    <row r="768" spans="9:13" x14ac:dyDescent="0.2">
      <c r="I768" s="12"/>
      <c r="J768" s="12"/>
      <c r="K768" s="12"/>
      <c r="L768" s="12"/>
      <c r="M768" s="12"/>
    </row>
    <row r="769" spans="9:13" x14ac:dyDescent="0.2">
      <c r="I769" s="12"/>
      <c r="J769" s="12"/>
      <c r="K769" s="12"/>
      <c r="L769" s="12"/>
      <c r="M769" s="12"/>
    </row>
    <row r="770" spans="9:13" x14ac:dyDescent="0.2">
      <c r="I770" s="12"/>
      <c r="J770" s="12"/>
      <c r="K770" s="12"/>
      <c r="L770" s="12"/>
      <c r="M770" s="12"/>
    </row>
    <row r="771" spans="9:13" x14ac:dyDescent="0.2">
      <c r="I771" s="12"/>
      <c r="J771" s="12"/>
      <c r="K771" s="12"/>
      <c r="L771" s="12"/>
      <c r="M771" s="12"/>
    </row>
    <row r="772" spans="9:13" x14ac:dyDescent="0.2">
      <c r="I772" s="12"/>
      <c r="J772" s="12"/>
      <c r="K772" s="12"/>
      <c r="L772" s="12"/>
      <c r="M772" s="12"/>
    </row>
    <row r="773" spans="9:13" x14ac:dyDescent="0.2">
      <c r="I773" s="12"/>
      <c r="J773" s="12"/>
      <c r="K773" s="12"/>
      <c r="L773" s="12"/>
      <c r="M773" s="12"/>
    </row>
    <row r="774" spans="9:13" x14ac:dyDescent="0.2">
      <c r="I774" s="12"/>
      <c r="J774" s="12"/>
      <c r="K774" s="12"/>
      <c r="L774" s="12"/>
      <c r="M774" s="12"/>
    </row>
    <row r="775" spans="9:13" x14ac:dyDescent="0.2">
      <c r="I775" s="12"/>
      <c r="J775" s="12"/>
      <c r="K775" s="12"/>
      <c r="L775" s="12"/>
      <c r="M775" s="12"/>
    </row>
    <row r="776" spans="9:13" x14ac:dyDescent="0.2">
      <c r="I776" s="12"/>
      <c r="J776" s="12"/>
      <c r="K776" s="12"/>
      <c r="L776" s="12"/>
      <c r="M776" s="12"/>
    </row>
    <row r="777" spans="9:13" x14ac:dyDescent="0.2">
      <c r="I777" s="12"/>
      <c r="J777" s="12"/>
      <c r="K777" s="12"/>
      <c r="L777" s="12"/>
      <c r="M777" s="12"/>
    </row>
    <row r="778" spans="9:13" x14ac:dyDescent="0.2">
      <c r="I778" s="12"/>
      <c r="J778" s="12"/>
      <c r="K778" s="12"/>
      <c r="L778" s="12"/>
      <c r="M778" s="12"/>
    </row>
    <row r="779" spans="9:13" x14ac:dyDescent="0.2">
      <c r="I779" s="12"/>
      <c r="J779" s="12"/>
      <c r="K779" s="12"/>
      <c r="L779" s="12"/>
      <c r="M779" s="12"/>
    </row>
    <row r="780" spans="9:13" x14ac:dyDescent="0.2">
      <c r="I780" s="12"/>
      <c r="J780" s="12"/>
      <c r="K780" s="12"/>
      <c r="L780" s="12"/>
      <c r="M780" s="12"/>
    </row>
    <row r="781" spans="9:13" x14ac:dyDescent="0.2">
      <c r="I781" s="12"/>
      <c r="J781" s="12"/>
      <c r="K781" s="12"/>
      <c r="L781" s="12"/>
      <c r="M781" s="12"/>
    </row>
    <row r="782" spans="9:13" x14ac:dyDescent="0.2">
      <c r="I782" s="12"/>
      <c r="J782" s="12"/>
      <c r="K782" s="12"/>
      <c r="L782" s="12"/>
      <c r="M782" s="12"/>
    </row>
    <row r="783" spans="9:13" x14ac:dyDescent="0.2">
      <c r="I783" s="12"/>
      <c r="J783" s="12"/>
      <c r="K783" s="12"/>
      <c r="L783" s="12"/>
      <c r="M783" s="12"/>
    </row>
    <row r="784" spans="9:13" x14ac:dyDescent="0.2">
      <c r="I784" s="12"/>
      <c r="J784" s="12"/>
      <c r="K784" s="12"/>
      <c r="L784" s="12"/>
      <c r="M784" s="12"/>
    </row>
    <row r="785" spans="9:13" x14ac:dyDescent="0.2">
      <c r="I785" s="12"/>
      <c r="J785" s="12"/>
      <c r="K785" s="12"/>
      <c r="L785" s="12"/>
      <c r="M785" s="12"/>
    </row>
    <row r="786" spans="9:13" x14ac:dyDescent="0.2">
      <c r="I786" s="12"/>
      <c r="J786" s="12"/>
      <c r="K786" s="12"/>
      <c r="L786" s="12"/>
      <c r="M786" s="12"/>
    </row>
    <row r="787" spans="9:13" x14ac:dyDescent="0.2">
      <c r="I787" s="12"/>
      <c r="J787" s="12"/>
      <c r="K787" s="12"/>
      <c r="L787" s="12"/>
      <c r="M787" s="12"/>
    </row>
    <row r="788" spans="9:13" x14ac:dyDescent="0.2">
      <c r="I788" s="12"/>
      <c r="J788" s="12"/>
      <c r="K788" s="12"/>
      <c r="L788" s="12"/>
      <c r="M788" s="12"/>
    </row>
    <row r="789" spans="9:13" x14ac:dyDescent="0.2">
      <c r="I789" s="12"/>
      <c r="J789" s="12"/>
      <c r="K789" s="12"/>
      <c r="L789" s="12"/>
      <c r="M789" s="12"/>
    </row>
    <row r="790" spans="9:13" x14ac:dyDescent="0.2">
      <c r="I790" s="12"/>
      <c r="J790" s="12"/>
      <c r="K790" s="12"/>
      <c r="L790" s="12"/>
      <c r="M790" s="12"/>
    </row>
    <row r="791" spans="9:13" x14ac:dyDescent="0.2">
      <c r="I791" s="12"/>
      <c r="J791" s="12"/>
      <c r="K791" s="12"/>
      <c r="L791" s="12"/>
      <c r="M791" s="12"/>
    </row>
    <row r="792" spans="9:13" x14ac:dyDescent="0.2">
      <c r="I792" s="12"/>
      <c r="J792" s="12"/>
      <c r="K792" s="12"/>
      <c r="L792" s="12"/>
      <c r="M792" s="12"/>
    </row>
    <row r="793" spans="9:13" x14ac:dyDescent="0.2">
      <c r="I793" s="12"/>
      <c r="J793" s="12"/>
      <c r="K793" s="12"/>
      <c r="L793" s="12"/>
      <c r="M793" s="12"/>
    </row>
    <row r="794" spans="9:13" x14ac:dyDescent="0.2">
      <c r="I794" s="12"/>
      <c r="J794" s="12"/>
      <c r="K794" s="12"/>
      <c r="L794" s="12"/>
      <c r="M794" s="12"/>
    </row>
    <row r="795" spans="9:13" x14ac:dyDescent="0.2">
      <c r="I795" s="12"/>
      <c r="J795" s="12"/>
      <c r="K795" s="12"/>
      <c r="L795" s="12"/>
      <c r="M795" s="12"/>
    </row>
    <row r="796" spans="9:13" x14ac:dyDescent="0.2">
      <c r="I796" s="12"/>
      <c r="J796" s="12"/>
      <c r="K796" s="12"/>
      <c r="L796" s="12"/>
      <c r="M796" s="12"/>
    </row>
    <row r="797" spans="9:13" x14ac:dyDescent="0.2">
      <c r="I797" s="12"/>
      <c r="J797" s="12"/>
      <c r="K797" s="12"/>
      <c r="L797" s="12"/>
      <c r="M797" s="12"/>
    </row>
    <row r="798" spans="9:13" x14ac:dyDescent="0.2">
      <c r="I798" s="12"/>
      <c r="J798" s="12"/>
      <c r="K798" s="12"/>
      <c r="L798" s="12"/>
      <c r="M798" s="12"/>
    </row>
    <row r="799" spans="9:13" x14ac:dyDescent="0.2">
      <c r="I799" s="12"/>
      <c r="J799" s="12"/>
      <c r="K799" s="12"/>
      <c r="L799" s="12"/>
      <c r="M799" s="12"/>
    </row>
    <row r="800" spans="9:13" x14ac:dyDescent="0.2">
      <c r="I800" s="12"/>
      <c r="J800" s="12"/>
      <c r="K800" s="12"/>
      <c r="L800" s="12"/>
      <c r="M800" s="12"/>
    </row>
    <row r="801" spans="9:13" x14ac:dyDescent="0.2">
      <c r="I801" s="12"/>
      <c r="J801" s="12"/>
      <c r="K801" s="12"/>
      <c r="L801" s="12"/>
      <c r="M801" s="12"/>
    </row>
    <row r="802" spans="9:13" x14ac:dyDescent="0.2">
      <c r="I802" s="12"/>
      <c r="J802" s="12"/>
      <c r="K802" s="12"/>
      <c r="L802" s="12"/>
      <c r="M802" s="12"/>
    </row>
    <row r="803" spans="9:13" x14ac:dyDescent="0.2">
      <c r="I803" s="12"/>
      <c r="J803" s="12"/>
      <c r="K803" s="12"/>
      <c r="L803" s="12"/>
      <c r="M803" s="12"/>
    </row>
    <row r="804" spans="9:13" x14ac:dyDescent="0.2">
      <c r="I804" s="12"/>
      <c r="J804" s="12"/>
      <c r="K804" s="12"/>
      <c r="L804" s="12"/>
      <c r="M804" s="12"/>
    </row>
    <row r="805" spans="9:13" x14ac:dyDescent="0.2">
      <c r="I805" s="12"/>
      <c r="J805" s="12"/>
      <c r="K805" s="12"/>
      <c r="L805" s="12"/>
      <c r="M805" s="12"/>
    </row>
    <row r="806" spans="9:13" x14ac:dyDescent="0.2">
      <c r="I806" s="12"/>
      <c r="J806" s="12"/>
      <c r="K806" s="12"/>
      <c r="L806" s="12"/>
      <c r="M806" s="12"/>
    </row>
    <row r="807" spans="9:13" x14ac:dyDescent="0.2">
      <c r="I807" s="12"/>
      <c r="J807" s="12"/>
      <c r="K807" s="12"/>
      <c r="L807" s="12"/>
      <c r="M807" s="12"/>
    </row>
    <row r="808" spans="9:13" x14ac:dyDescent="0.2">
      <c r="I808" s="12"/>
      <c r="J808" s="12"/>
      <c r="K808" s="12"/>
      <c r="L808" s="12"/>
      <c r="M808" s="12"/>
    </row>
    <row r="809" spans="9:13" x14ac:dyDescent="0.2">
      <c r="I809" s="12"/>
      <c r="J809" s="12"/>
      <c r="K809" s="12"/>
      <c r="L809" s="12"/>
      <c r="M809" s="12"/>
    </row>
    <row r="810" spans="9:13" x14ac:dyDescent="0.2">
      <c r="I810" s="12"/>
      <c r="J810" s="12"/>
      <c r="K810" s="12"/>
      <c r="L810" s="12"/>
      <c r="M810" s="12"/>
    </row>
    <row r="811" spans="9:13" x14ac:dyDescent="0.2">
      <c r="I811" s="12"/>
      <c r="J811" s="12"/>
      <c r="K811" s="12"/>
      <c r="L811" s="12"/>
      <c r="M811" s="12"/>
    </row>
    <row r="812" spans="9:13" x14ac:dyDescent="0.2">
      <c r="I812" s="12"/>
      <c r="J812" s="12"/>
      <c r="K812" s="12"/>
      <c r="L812" s="12"/>
      <c r="M812" s="12"/>
    </row>
    <row r="813" spans="9:13" x14ac:dyDescent="0.2">
      <c r="I813" s="12"/>
      <c r="J813" s="12"/>
      <c r="K813" s="12"/>
      <c r="L813" s="12"/>
      <c r="M813" s="12"/>
    </row>
    <row r="814" spans="9:13" x14ac:dyDescent="0.2">
      <c r="I814" s="12"/>
      <c r="J814" s="12"/>
      <c r="K814" s="12"/>
      <c r="L814" s="12"/>
      <c r="M814" s="12"/>
    </row>
    <row r="815" spans="9:13" x14ac:dyDescent="0.2">
      <c r="I815" s="12"/>
      <c r="J815" s="12"/>
      <c r="K815" s="12"/>
      <c r="L815" s="12"/>
      <c r="M815" s="12"/>
    </row>
    <row r="816" spans="9:13" x14ac:dyDescent="0.2">
      <c r="I816" s="12"/>
      <c r="J816" s="12"/>
      <c r="K816" s="12"/>
      <c r="L816" s="12"/>
      <c r="M816" s="12"/>
    </row>
    <row r="817" spans="9:13" x14ac:dyDescent="0.2">
      <c r="I817" s="12"/>
      <c r="J817" s="12"/>
      <c r="K817" s="12"/>
      <c r="L817" s="12"/>
      <c r="M817" s="12"/>
    </row>
    <row r="818" spans="9:13" x14ac:dyDescent="0.2">
      <c r="I818" s="12"/>
      <c r="J818" s="12"/>
      <c r="K818" s="12"/>
      <c r="L818" s="12"/>
      <c r="M818" s="12"/>
    </row>
    <row r="819" spans="9:13" x14ac:dyDescent="0.2">
      <c r="I819" s="12"/>
      <c r="J819" s="12"/>
      <c r="K819" s="12"/>
      <c r="L819" s="12"/>
      <c r="M819" s="12"/>
    </row>
    <row r="820" spans="9:13" x14ac:dyDescent="0.2">
      <c r="I820" s="12"/>
      <c r="J820" s="12"/>
      <c r="K820" s="12"/>
      <c r="L820" s="12"/>
      <c r="M820" s="12"/>
    </row>
    <row r="821" spans="9:13" x14ac:dyDescent="0.2">
      <c r="I821" s="12"/>
      <c r="J821" s="12"/>
      <c r="K821" s="12"/>
      <c r="L821" s="12"/>
      <c r="M821" s="12"/>
    </row>
    <row r="822" spans="9:13" x14ac:dyDescent="0.2">
      <c r="I822" s="12"/>
      <c r="J822" s="12"/>
      <c r="K822" s="12"/>
      <c r="L822" s="12"/>
      <c r="M822" s="12"/>
    </row>
    <row r="823" spans="9:13" x14ac:dyDescent="0.2">
      <c r="I823" s="12"/>
      <c r="J823" s="12"/>
      <c r="K823" s="12"/>
      <c r="L823" s="12"/>
      <c r="M823" s="12"/>
    </row>
    <row r="824" spans="9:13" x14ac:dyDescent="0.2">
      <c r="I824" s="12"/>
      <c r="J824" s="12"/>
      <c r="K824" s="12"/>
      <c r="L824" s="12"/>
      <c r="M824" s="12"/>
    </row>
    <row r="825" spans="9:13" x14ac:dyDescent="0.2">
      <c r="I825" s="12"/>
      <c r="J825" s="12"/>
      <c r="K825" s="12"/>
      <c r="L825" s="12"/>
      <c r="M825" s="12"/>
    </row>
    <row r="826" spans="9:13" x14ac:dyDescent="0.2">
      <c r="I826" s="12"/>
      <c r="J826" s="12"/>
      <c r="K826" s="12"/>
      <c r="L826" s="12"/>
      <c r="M826" s="12"/>
    </row>
    <row r="827" spans="9:13" x14ac:dyDescent="0.2">
      <c r="I827" s="12"/>
      <c r="J827" s="12"/>
      <c r="K827" s="12"/>
      <c r="L827" s="12"/>
      <c r="M827" s="12"/>
    </row>
    <row r="828" spans="9:13" x14ac:dyDescent="0.2">
      <c r="I828" s="12"/>
      <c r="J828" s="12"/>
      <c r="K828" s="12"/>
      <c r="L828" s="12"/>
      <c r="M828" s="12"/>
    </row>
    <row r="829" spans="9:13" x14ac:dyDescent="0.2">
      <c r="I829" s="12"/>
      <c r="J829" s="12"/>
      <c r="K829" s="12"/>
      <c r="L829" s="12"/>
      <c r="M829" s="12"/>
    </row>
    <row r="830" spans="9:13" x14ac:dyDescent="0.2">
      <c r="I830" s="12"/>
      <c r="J830" s="12"/>
      <c r="K830" s="12"/>
      <c r="L830" s="12"/>
      <c r="M830" s="12"/>
    </row>
    <row r="831" spans="9:13" x14ac:dyDescent="0.2">
      <c r="I831" s="12"/>
      <c r="J831" s="12"/>
      <c r="K831" s="12"/>
      <c r="L831" s="12"/>
      <c r="M831" s="12"/>
    </row>
    <row r="832" spans="9:13" x14ac:dyDescent="0.2">
      <c r="I832" s="12"/>
      <c r="J832" s="12"/>
      <c r="K832" s="12"/>
      <c r="L832" s="12"/>
      <c r="M832" s="12"/>
    </row>
    <row r="833" spans="9:13" x14ac:dyDescent="0.2">
      <c r="I833" s="12"/>
      <c r="J833" s="12"/>
      <c r="K833" s="12"/>
      <c r="L833" s="12"/>
      <c r="M833" s="12"/>
    </row>
    <row r="834" spans="9:13" x14ac:dyDescent="0.2">
      <c r="I834" s="12"/>
      <c r="J834" s="12"/>
      <c r="K834" s="12"/>
      <c r="L834" s="12"/>
      <c r="M834" s="12"/>
    </row>
    <row r="835" spans="9:13" x14ac:dyDescent="0.2">
      <c r="I835" s="12"/>
      <c r="J835" s="12"/>
      <c r="K835" s="12"/>
      <c r="L835" s="12"/>
      <c r="M835" s="12"/>
    </row>
    <row r="836" spans="9:13" x14ac:dyDescent="0.2">
      <c r="I836" s="12"/>
      <c r="J836" s="12"/>
      <c r="K836" s="12"/>
      <c r="L836" s="12"/>
      <c r="M836" s="12"/>
    </row>
    <row r="837" spans="9:13" x14ac:dyDescent="0.2">
      <c r="I837" s="12"/>
      <c r="J837" s="12"/>
      <c r="K837" s="12"/>
      <c r="L837" s="12"/>
      <c r="M837" s="12"/>
    </row>
    <row r="838" spans="9:13" x14ac:dyDescent="0.2">
      <c r="I838" s="12"/>
      <c r="J838" s="12"/>
      <c r="K838" s="12"/>
      <c r="L838" s="12"/>
      <c r="M838" s="12"/>
    </row>
    <row r="839" spans="9:13" x14ac:dyDescent="0.2">
      <c r="I839" s="12"/>
      <c r="J839" s="12"/>
      <c r="K839" s="12"/>
      <c r="L839" s="12"/>
      <c r="M839" s="12"/>
    </row>
    <row r="840" spans="9:13" x14ac:dyDescent="0.2">
      <c r="I840" s="12"/>
      <c r="J840" s="12"/>
      <c r="K840" s="12"/>
      <c r="L840" s="12"/>
      <c r="M840" s="12"/>
    </row>
    <row r="841" spans="9:13" x14ac:dyDescent="0.2">
      <c r="I841" s="12"/>
      <c r="J841" s="12"/>
      <c r="K841" s="12"/>
      <c r="L841" s="12"/>
      <c r="M841" s="12"/>
    </row>
    <row r="842" spans="9:13" x14ac:dyDescent="0.2">
      <c r="I842" s="12"/>
      <c r="J842" s="12"/>
      <c r="K842" s="12"/>
      <c r="L842" s="12"/>
      <c r="M842" s="12"/>
    </row>
    <row r="843" spans="9:13" x14ac:dyDescent="0.2">
      <c r="I843" s="12"/>
      <c r="J843" s="12"/>
      <c r="K843" s="12"/>
      <c r="L843" s="12"/>
      <c r="M843" s="12"/>
    </row>
    <row r="844" spans="9:13" x14ac:dyDescent="0.2">
      <c r="I844" s="12"/>
      <c r="J844" s="12"/>
      <c r="K844" s="12"/>
      <c r="L844" s="12"/>
      <c r="M844" s="12"/>
    </row>
    <row r="845" spans="9:13" x14ac:dyDescent="0.2">
      <c r="I845" s="12"/>
      <c r="J845" s="12"/>
      <c r="K845" s="12"/>
      <c r="L845" s="12"/>
      <c r="M845" s="12"/>
    </row>
    <row r="846" spans="9:13" x14ac:dyDescent="0.2">
      <c r="I846" s="12"/>
      <c r="J846" s="12"/>
      <c r="K846" s="12"/>
      <c r="L846" s="12"/>
      <c r="M846" s="12"/>
    </row>
    <row r="847" spans="9:13" x14ac:dyDescent="0.2">
      <c r="I847" s="12"/>
      <c r="J847" s="12"/>
      <c r="K847" s="12"/>
      <c r="L847" s="12"/>
      <c r="M847" s="12"/>
    </row>
    <row r="848" spans="9:13" x14ac:dyDescent="0.2">
      <c r="I848" s="12"/>
      <c r="J848" s="12"/>
      <c r="K848" s="12"/>
      <c r="L848" s="12"/>
      <c r="M848" s="12"/>
    </row>
    <row r="849" spans="9:13" x14ac:dyDescent="0.2">
      <c r="I849" s="12"/>
      <c r="J849" s="12"/>
      <c r="K849" s="12"/>
      <c r="L849" s="12"/>
      <c r="M849" s="12"/>
    </row>
    <row r="850" spans="9:13" x14ac:dyDescent="0.2">
      <c r="I850" s="12"/>
      <c r="J850" s="12"/>
      <c r="K850" s="12"/>
      <c r="L850" s="12"/>
      <c r="M850" s="12"/>
    </row>
    <row r="851" spans="9:13" x14ac:dyDescent="0.2">
      <c r="I851" s="12"/>
      <c r="J851" s="12"/>
      <c r="K851" s="12"/>
      <c r="L851" s="12"/>
      <c r="M851" s="12"/>
    </row>
    <row r="852" spans="9:13" x14ac:dyDescent="0.2">
      <c r="I852" s="12"/>
      <c r="J852" s="12"/>
      <c r="K852" s="12"/>
      <c r="L852" s="12"/>
      <c r="M852" s="12"/>
    </row>
    <row r="853" spans="9:13" x14ac:dyDescent="0.2">
      <c r="I853" s="12"/>
      <c r="J853" s="12"/>
      <c r="K853" s="12"/>
      <c r="L853" s="12"/>
      <c r="M853" s="12"/>
    </row>
    <row r="854" spans="9:13" x14ac:dyDescent="0.2">
      <c r="I854" s="12"/>
      <c r="J854" s="12"/>
      <c r="K854" s="12"/>
      <c r="L854" s="12"/>
      <c r="M854" s="12"/>
    </row>
    <row r="855" spans="9:13" x14ac:dyDescent="0.2">
      <c r="I855" s="12"/>
      <c r="J855" s="12"/>
      <c r="K855" s="12"/>
      <c r="L855" s="12"/>
      <c r="M855" s="12"/>
    </row>
    <row r="856" spans="9:13" x14ac:dyDescent="0.2">
      <c r="I856" s="12"/>
      <c r="J856" s="12"/>
      <c r="K856" s="12"/>
      <c r="L856" s="12"/>
      <c r="M856" s="12"/>
    </row>
    <row r="857" spans="9:13" x14ac:dyDescent="0.2">
      <c r="I857" s="12"/>
      <c r="J857" s="12"/>
      <c r="K857" s="12"/>
      <c r="L857" s="12"/>
      <c r="M857" s="12"/>
    </row>
    <row r="858" spans="9:13" x14ac:dyDescent="0.2">
      <c r="I858" s="12"/>
      <c r="J858" s="12"/>
      <c r="K858" s="12"/>
      <c r="L858" s="12"/>
      <c r="M858" s="12"/>
    </row>
    <row r="859" spans="9:13" x14ac:dyDescent="0.2">
      <c r="I859" s="12"/>
      <c r="J859" s="12"/>
      <c r="K859" s="12"/>
      <c r="L859" s="12"/>
      <c r="M859" s="12"/>
    </row>
    <row r="860" spans="9:13" x14ac:dyDescent="0.2">
      <c r="I860" s="12"/>
      <c r="J860" s="12"/>
      <c r="K860" s="12"/>
      <c r="L860" s="12"/>
      <c r="M860" s="12"/>
    </row>
    <row r="861" spans="9:13" x14ac:dyDescent="0.2">
      <c r="I861" s="12"/>
      <c r="J861" s="12"/>
      <c r="K861" s="12"/>
      <c r="L861" s="12"/>
      <c r="M861" s="12"/>
    </row>
    <row r="862" spans="9:13" x14ac:dyDescent="0.2">
      <c r="I862" s="12"/>
      <c r="J862" s="12"/>
      <c r="K862" s="12"/>
      <c r="L862" s="12"/>
      <c r="M862" s="12"/>
    </row>
    <row r="863" spans="9:13" x14ac:dyDescent="0.2">
      <c r="I863" s="12"/>
      <c r="J863" s="12"/>
      <c r="K863" s="12"/>
      <c r="L863" s="12"/>
      <c r="M863" s="12"/>
    </row>
    <row r="864" spans="9:13" x14ac:dyDescent="0.2">
      <c r="I864" s="12"/>
      <c r="J864" s="12"/>
      <c r="K864" s="12"/>
      <c r="L864" s="12"/>
      <c r="M864" s="12"/>
    </row>
    <row r="865" spans="9:13" x14ac:dyDescent="0.2">
      <c r="I865" s="12"/>
      <c r="J865" s="12"/>
      <c r="K865" s="12"/>
      <c r="L865" s="12"/>
      <c r="M865" s="12"/>
    </row>
    <row r="866" spans="9:13" x14ac:dyDescent="0.2">
      <c r="I866" s="12"/>
      <c r="J866" s="12"/>
      <c r="K866" s="12"/>
      <c r="L866" s="12"/>
      <c r="M866" s="12"/>
    </row>
    <row r="867" spans="9:13" x14ac:dyDescent="0.2">
      <c r="I867" s="12"/>
      <c r="J867" s="12"/>
      <c r="K867" s="12"/>
      <c r="L867" s="12"/>
      <c r="M867" s="12"/>
    </row>
    <row r="868" spans="9:13" x14ac:dyDescent="0.2">
      <c r="I868" s="12"/>
      <c r="J868" s="12"/>
      <c r="K868" s="12"/>
      <c r="L868" s="12"/>
      <c r="M868" s="12"/>
    </row>
    <row r="869" spans="9:13" x14ac:dyDescent="0.2">
      <c r="I869" s="12"/>
      <c r="J869" s="12"/>
      <c r="K869" s="12"/>
      <c r="L869" s="12"/>
      <c r="M869" s="12"/>
    </row>
    <row r="870" spans="9:13" x14ac:dyDescent="0.2">
      <c r="I870" s="12"/>
      <c r="J870" s="12"/>
      <c r="K870" s="12"/>
      <c r="L870" s="12"/>
      <c r="M870" s="12"/>
    </row>
    <row r="871" spans="9:13" x14ac:dyDescent="0.2">
      <c r="I871" s="12"/>
      <c r="J871" s="12"/>
      <c r="K871" s="12"/>
      <c r="L871" s="12"/>
      <c r="M871" s="12"/>
    </row>
    <row r="872" spans="9:13" x14ac:dyDescent="0.2">
      <c r="I872" s="12"/>
      <c r="J872" s="12"/>
      <c r="K872" s="12"/>
      <c r="L872" s="12"/>
      <c r="M872" s="12"/>
    </row>
    <row r="873" spans="9:13" x14ac:dyDescent="0.2">
      <c r="I873" s="12"/>
      <c r="J873" s="12"/>
      <c r="K873" s="12"/>
      <c r="L873" s="12"/>
      <c r="M873" s="12"/>
    </row>
    <row r="874" spans="9:13" x14ac:dyDescent="0.2">
      <c r="I874" s="12"/>
      <c r="J874" s="12"/>
      <c r="K874" s="12"/>
      <c r="L874" s="12"/>
      <c r="M874" s="12"/>
    </row>
    <row r="875" spans="9:13" x14ac:dyDescent="0.2">
      <c r="I875" s="12"/>
      <c r="J875" s="12"/>
      <c r="K875" s="12"/>
      <c r="L875" s="12"/>
      <c r="M875" s="12"/>
    </row>
    <row r="876" spans="9:13" x14ac:dyDescent="0.2">
      <c r="I876" s="12"/>
      <c r="J876" s="12"/>
      <c r="K876" s="12"/>
      <c r="L876" s="12"/>
      <c r="M876" s="12"/>
    </row>
    <row r="877" spans="9:13" x14ac:dyDescent="0.2">
      <c r="I877" s="12"/>
      <c r="J877" s="12"/>
      <c r="K877" s="12"/>
      <c r="L877" s="12"/>
      <c r="M877" s="12"/>
    </row>
    <row r="878" spans="9:13" x14ac:dyDescent="0.2">
      <c r="I878" s="12"/>
      <c r="J878" s="12"/>
      <c r="K878" s="12"/>
      <c r="L878" s="12"/>
      <c r="M878" s="12"/>
    </row>
    <row r="879" spans="9:13" x14ac:dyDescent="0.2">
      <c r="I879" s="12"/>
      <c r="J879" s="12"/>
      <c r="K879" s="12"/>
      <c r="L879" s="12"/>
      <c r="M879" s="12"/>
    </row>
    <row r="880" spans="9:13" x14ac:dyDescent="0.2">
      <c r="I880" s="12"/>
      <c r="J880" s="12"/>
      <c r="K880" s="12"/>
      <c r="L880" s="12"/>
      <c r="M880" s="12"/>
    </row>
    <row r="881" spans="9:13" x14ac:dyDescent="0.2">
      <c r="I881" s="12"/>
      <c r="J881" s="12"/>
      <c r="K881" s="12"/>
      <c r="L881" s="12"/>
      <c r="M881" s="12"/>
    </row>
    <row r="882" spans="9:13" x14ac:dyDescent="0.2">
      <c r="I882" s="12"/>
      <c r="J882" s="12"/>
      <c r="K882" s="12"/>
      <c r="L882" s="12"/>
      <c r="M882" s="12"/>
    </row>
    <row r="883" spans="9:13" x14ac:dyDescent="0.2">
      <c r="I883" s="12"/>
      <c r="J883" s="12"/>
      <c r="K883" s="12"/>
      <c r="L883" s="12"/>
      <c r="M883" s="12"/>
    </row>
    <row r="884" spans="9:13" x14ac:dyDescent="0.2">
      <c r="I884" s="12"/>
      <c r="J884" s="12"/>
      <c r="K884" s="12"/>
      <c r="L884" s="12"/>
      <c r="M884" s="12"/>
    </row>
    <row r="885" spans="9:13" x14ac:dyDescent="0.2">
      <c r="I885" s="12"/>
      <c r="J885" s="12"/>
      <c r="K885" s="12"/>
      <c r="L885" s="12"/>
      <c r="M885" s="12"/>
    </row>
    <row r="886" spans="9:13" x14ac:dyDescent="0.2">
      <c r="I886" s="12"/>
      <c r="J886" s="12"/>
      <c r="K886" s="12"/>
      <c r="L886" s="12"/>
      <c r="M886" s="12"/>
    </row>
    <row r="887" spans="9:13" x14ac:dyDescent="0.2">
      <c r="I887" s="12"/>
      <c r="J887" s="12"/>
      <c r="K887" s="12"/>
      <c r="L887" s="12"/>
      <c r="M887" s="12"/>
    </row>
    <row r="888" spans="9:13" x14ac:dyDescent="0.2">
      <c r="I888" s="12"/>
      <c r="J888" s="12"/>
      <c r="K888" s="12"/>
      <c r="L888" s="12"/>
      <c r="M888" s="12"/>
    </row>
    <row r="889" spans="9:13" x14ac:dyDescent="0.2">
      <c r="I889" s="12"/>
      <c r="J889" s="12"/>
      <c r="K889" s="12"/>
      <c r="L889" s="12"/>
      <c r="M889" s="12"/>
    </row>
    <row r="890" spans="9:13" x14ac:dyDescent="0.2">
      <c r="I890" s="12"/>
      <c r="J890" s="12"/>
      <c r="K890" s="12"/>
      <c r="L890" s="12"/>
      <c r="M890" s="12"/>
    </row>
    <row r="891" spans="9:13" x14ac:dyDescent="0.2">
      <c r="I891" s="12"/>
      <c r="J891" s="12"/>
      <c r="K891" s="12"/>
      <c r="L891" s="12"/>
      <c r="M891" s="12"/>
    </row>
    <row r="892" spans="9:13" x14ac:dyDescent="0.2">
      <c r="I892" s="12"/>
      <c r="J892" s="12"/>
      <c r="K892" s="12"/>
      <c r="L892" s="12"/>
      <c r="M892" s="12"/>
    </row>
    <row r="893" spans="9:13" x14ac:dyDescent="0.2">
      <c r="I893" s="12"/>
      <c r="J893" s="12"/>
      <c r="K893" s="12"/>
      <c r="L893" s="12"/>
      <c r="M893" s="12"/>
    </row>
    <row r="894" spans="9:13" x14ac:dyDescent="0.2">
      <c r="I894" s="12"/>
      <c r="J894" s="12"/>
      <c r="K894" s="12"/>
      <c r="L894" s="12"/>
      <c r="M894" s="12"/>
    </row>
    <row r="895" spans="9:13" x14ac:dyDescent="0.2">
      <c r="I895" s="12"/>
      <c r="J895" s="12"/>
      <c r="K895" s="12"/>
      <c r="L895" s="12"/>
      <c r="M895" s="12"/>
    </row>
    <row r="896" spans="9:13" x14ac:dyDescent="0.2">
      <c r="I896" s="12"/>
      <c r="J896" s="12"/>
      <c r="K896" s="12"/>
      <c r="L896" s="12"/>
      <c r="M896" s="12"/>
    </row>
    <row r="897" spans="9:13" x14ac:dyDescent="0.2">
      <c r="I897" s="12"/>
      <c r="J897" s="12"/>
      <c r="K897" s="12"/>
      <c r="L897" s="12"/>
      <c r="M897" s="12"/>
    </row>
    <row r="898" spans="9:13" x14ac:dyDescent="0.2">
      <c r="I898" s="12"/>
      <c r="J898" s="12"/>
      <c r="K898" s="12"/>
      <c r="L898" s="12"/>
      <c r="M898" s="12"/>
    </row>
    <row r="899" spans="9:13" x14ac:dyDescent="0.2">
      <c r="I899" s="12"/>
      <c r="J899" s="12"/>
      <c r="K899" s="12"/>
      <c r="L899" s="12"/>
      <c r="M899" s="12"/>
    </row>
    <row r="900" spans="9:13" x14ac:dyDescent="0.2">
      <c r="I900" s="12"/>
      <c r="J900" s="12"/>
      <c r="K900" s="12"/>
      <c r="L900" s="12"/>
      <c r="M900" s="12"/>
    </row>
    <row r="901" spans="9:13" x14ac:dyDescent="0.2">
      <c r="I901" s="12"/>
      <c r="J901" s="12"/>
      <c r="K901" s="12"/>
      <c r="L901" s="12"/>
      <c r="M901" s="12"/>
    </row>
    <row r="902" spans="9:13" x14ac:dyDescent="0.2">
      <c r="I902" s="12"/>
      <c r="J902" s="12"/>
      <c r="K902" s="12"/>
      <c r="L902" s="12"/>
      <c r="M902" s="12"/>
    </row>
    <row r="903" spans="9:13" x14ac:dyDescent="0.2">
      <c r="I903" s="12"/>
      <c r="J903" s="12"/>
      <c r="K903" s="12"/>
      <c r="L903" s="12"/>
      <c r="M903" s="12"/>
    </row>
    <row r="904" spans="9:13" x14ac:dyDescent="0.2">
      <c r="I904" s="12"/>
      <c r="J904" s="12"/>
      <c r="K904" s="12"/>
      <c r="L904" s="12"/>
      <c r="M904" s="12"/>
    </row>
    <row r="905" spans="9:13" x14ac:dyDescent="0.2">
      <c r="I905" s="12"/>
      <c r="J905" s="12"/>
      <c r="K905" s="12"/>
      <c r="L905" s="12"/>
      <c r="M905" s="12"/>
    </row>
    <row r="906" spans="9:13" x14ac:dyDescent="0.2">
      <c r="I906" s="12"/>
      <c r="J906" s="12"/>
      <c r="K906" s="12"/>
      <c r="L906" s="12"/>
      <c r="M906" s="12"/>
    </row>
    <row r="907" spans="9:13" x14ac:dyDescent="0.2">
      <c r="I907" s="12"/>
      <c r="J907" s="12"/>
      <c r="K907" s="12"/>
      <c r="L907" s="12"/>
      <c r="M907" s="12"/>
    </row>
    <row r="908" spans="9:13" x14ac:dyDescent="0.2">
      <c r="I908" s="12"/>
      <c r="J908" s="12"/>
      <c r="K908" s="12"/>
      <c r="L908" s="12"/>
      <c r="M908" s="12"/>
    </row>
    <row r="909" spans="9:13" x14ac:dyDescent="0.2">
      <c r="I909" s="12"/>
      <c r="J909" s="12"/>
      <c r="K909" s="12"/>
      <c r="L909" s="12"/>
      <c r="M909" s="12"/>
    </row>
    <row r="910" spans="9:13" x14ac:dyDescent="0.2">
      <c r="I910" s="12"/>
      <c r="J910" s="12"/>
      <c r="K910" s="12"/>
      <c r="L910" s="12"/>
      <c r="M910" s="12"/>
    </row>
    <row r="911" spans="9:13" x14ac:dyDescent="0.2">
      <c r="I911" s="12"/>
      <c r="J911" s="12"/>
      <c r="K911" s="12"/>
      <c r="L911" s="12"/>
      <c r="M911" s="12"/>
    </row>
    <row r="912" spans="9:13" x14ac:dyDescent="0.2">
      <c r="I912" s="12"/>
      <c r="J912" s="12"/>
      <c r="K912" s="12"/>
      <c r="L912" s="12"/>
      <c r="M912" s="12"/>
    </row>
    <row r="913" spans="9:13" x14ac:dyDescent="0.2">
      <c r="I913" s="12"/>
      <c r="J913" s="12"/>
      <c r="K913" s="12"/>
      <c r="L913" s="12"/>
      <c r="M913" s="12"/>
    </row>
    <row r="914" spans="9:13" x14ac:dyDescent="0.2">
      <c r="I914" s="12"/>
      <c r="J914" s="12"/>
      <c r="K914" s="12"/>
      <c r="L914" s="12"/>
      <c r="M914" s="12"/>
    </row>
    <row r="915" spans="9:13" x14ac:dyDescent="0.2">
      <c r="I915" s="12"/>
      <c r="J915" s="12"/>
      <c r="K915" s="12"/>
      <c r="L915" s="12"/>
      <c r="M915" s="12"/>
    </row>
    <row r="916" spans="9:13" x14ac:dyDescent="0.2">
      <c r="I916" s="12"/>
      <c r="J916" s="12"/>
      <c r="K916" s="12"/>
      <c r="L916" s="12"/>
      <c r="M916" s="12"/>
    </row>
    <row r="917" spans="9:13" x14ac:dyDescent="0.2">
      <c r="I917" s="12"/>
      <c r="J917" s="12"/>
      <c r="K917" s="12"/>
      <c r="L917" s="12"/>
      <c r="M917" s="12"/>
    </row>
    <row r="918" spans="9:13" x14ac:dyDescent="0.2">
      <c r="I918" s="12"/>
      <c r="J918" s="12"/>
      <c r="K918" s="12"/>
      <c r="L918" s="12"/>
      <c r="M918" s="12"/>
    </row>
    <row r="919" spans="9:13" x14ac:dyDescent="0.2">
      <c r="I919" s="12"/>
      <c r="J919" s="12"/>
      <c r="K919" s="12"/>
      <c r="L919" s="12"/>
      <c r="M919" s="12"/>
    </row>
    <row r="920" spans="9:13" x14ac:dyDescent="0.2">
      <c r="I920" s="12"/>
      <c r="J920" s="12"/>
      <c r="K920" s="12"/>
      <c r="L920" s="12"/>
      <c r="M920" s="12"/>
    </row>
    <row r="921" spans="9:13" x14ac:dyDescent="0.2">
      <c r="I921" s="12"/>
      <c r="J921" s="12"/>
      <c r="K921" s="12"/>
      <c r="L921" s="12"/>
      <c r="M921" s="12"/>
    </row>
    <row r="922" spans="9:13" x14ac:dyDescent="0.2">
      <c r="I922" s="12"/>
      <c r="J922" s="12"/>
      <c r="K922" s="12"/>
      <c r="L922" s="12"/>
      <c r="M922" s="12"/>
    </row>
    <row r="923" spans="9:13" x14ac:dyDescent="0.2">
      <c r="I923" s="12"/>
      <c r="J923" s="12"/>
      <c r="K923" s="12"/>
      <c r="L923" s="12"/>
      <c r="M923" s="12"/>
    </row>
    <row r="924" spans="9:13" x14ac:dyDescent="0.2">
      <c r="I924" s="12"/>
      <c r="J924" s="12"/>
      <c r="K924" s="12"/>
      <c r="L924" s="12"/>
      <c r="M924" s="12"/>
    </row>
    <row r="925" spans="9:13" x14ac:dyDescent="0.2">
      <c r="I925" s="12"/>
      <c r="J925" s="12"/>
      <c r="K925" s="12"/>
      <c r="L925" s="12"/>
      <c r="M925" s="12"/>
    </row>
    <row r="926" spans="9:13" x14ac:dyDescent="0.2">
      <c r="I926" s="12"/>
      <c r="J926" s="12"/>
      <c r="K926" s="12"/>
      <c r="L926" s="12"/>
      <c r="M926" s="12"/>
    </row>
    <row r="927" spans="9:13" x14ac:dyDescent="0.2">
      <c r="I927" s="12"/>
      <c r="J927" s="12"/>
      <c r="K927" s="12"/>
      <c r="L927" s="12"/>
      <c r="M927" s="12"/>
    </row>
    <row r="928" spans="9:13" x14ac:dyDescent="0.2">
      <c r="I928" s="12"/>
      <c r="J928" s="12"/>
      <c r="K928" s="12"/>
      <c r="L928" s="12"/>
      <c r="M928" s="12"/>
    </row>
    <row r="929" spans="9:13" x14ac:dyDescent="0.2">
      <c r="I929" s="12"/>
      <c r="J929" s="12"/>
      <c r="K929" s="12"/>
      <c r="L929" s="12"/>
      <c r="M929" s="12"/>
    </row>
    <row r="930" spans="9:13" x14ac:dyDescent="0.2">
      <c r="I930" s="12"/>
      <c r="J930" s="12"/>
      <c r="K930" s="12"/>
      <c r="L930" s="12"/>
      <c r="M930" s="12"/>
    </row>
    <row r="931" spans="9:13" x14ac:dyDescent="0.2">
      <c r="I931" s="12"/>
      <c r="J931" s="12"/>
      <c r="K931" s="12"/>
      <c r="L931" s="12"/>
      <c r="M931" s="12"/>
    </row>
    <row r="932" spans="9:13" x14ac:dyDescent="0.2">
      <c r="I932" s="12"/>
      <c r="J932" s="12"/>
      <c r="K932" s="12"/>
      <c r="L932" s="12"/>
      <c r="M932" s="12"/>
    </row>
    <row r="933" spans="9:13" x14ac:dyDescent="0.2">
      <c r="I933" s="12"/>
      <c r="J933" s="12"/>
      <c r="K933" s="12"/>
      <c r="L933" s="12"/>
      <c r="M933" s="12"/>
    </row>
    <row r="934" spans="9:13" x14ac:dyDescent="0.2">
      <c r="I934" s="12"/>
      <c r="J934" s="12"/>
      <c r="K934" s="12"/>
      <c r="L934" s="12"/>
      <c r="M934" s="12"/>
    </row>
    <row r="935" spans="9:13" x14ac:dyDescent="0.2">
      <c r="I935" s="12"/>
      <c r="J935" s="12"/>
      <c r="K935" s="12"/>
      <c r="L935" s="12"/>
      <c r="M935" s="12"/>
    </row>
    <row r="936" spans="9:13" x14ac:dyDescent="0.2">
      <c r="I936" s="12"/>
      <c r="J936" s="12"/>
      <c r="K936" s="12"/>
      <c r="L936" s="12"/>
      <c r="M936" s="12"/>
    </row>
    <row r="937" spans="9:13" x14ac:dyDescent="0.2">
      <c r="I937" s="12"/>
      <c r="J937" s="12"/>
      <c r="K937" s="12"/>
      <c r="L937" s="12"/>
      <c r="M937" s="12"/>
    </row>
    <row r="938" spans="9:13" x14ac:dyDescent="0.2">
      <c r="I938" s="12"/>
      <c r="J938" s="12"/>
      <c r="K938" s="12"/>
      <c r="L938" s="12"/>
      <c r="M938" s="12"/>
    </row>
    <row r="939" spans="9:13" x14ac:dyDescent="0.2">
      <c r="I939" s="12"/>
      <c r="J939" s="12"/>
      <c r="K939" s="12"/>
      <c r="L939" s="12"/>
      <c r="M939" s="12"/>
    </row>
    <row r="940" spans="9:13" x14ac:dyDescent="0.2">
      <c r="I940" s="12"/>
      <c r="J940" s="12"/>
      <c r="K940" s="12"/>
      <c r="L940" s="12"/>
      <c r="M940" s="12"/>
    </row>
    <row r="941" spans="9:13" x14ac:dyDescent="0.2">
      <c r="I941" s="12"/>
      <c r="J941" s="12"/>
      <c r="K941" s="12"/>
      <c r="L941" s="12"/>
      <c r="M941" s="12"/>
    </row>
    <row r="942" spans="9:13" x14ac:dyDescent="0.2">
      <c r="I942" s="12"/>
      <c r="J942" s="12"/>
      <c r="K942" s="12"/>
      <c r="L942" s="12"/>
      <c r="M942" s="12"/>
    </row>
    <row r="943" spans="9:13" x14ac:dyDescent="0.2">
      <c r="I943" s="12"/>
      <c r="J943" s="12"/>
      <c r="K943" s="12"/>
      <c r="L943" s="12"/>
      <c r="M943" s="12"/>
    </row>
    <row r="944" spans="9:13" x14ac:dyDescent="0.2">
      <c r="I944" s="12"/>
      <c r="J944" s="12"/>
      <c r="K944" s="12"/>
      <c r="L944" s="12"/>
      <c r="M944" s="12"/>
    </row>
    <row r="945" spans="9:13" x14ac:dyDescent="0.2">
      <c r="I945" s="12"/>
      <c r="J945" s="12"/>
      <c r="K945" s="12"/>
      <c r="L945" s="12"/>
      <c r="M945" s="12"/>
    </row>
    <row r="946" spans="9:13" x14ac:dyDescent="0.2">
      <c r="I946" s="12"/>
      <c r="J946" s="12"/>
      <c r="K946" s="12"/>
      <c r="L946" s="12"/>
      <c r="M946" s="12"/>
    </row>
    <row r="947" spans="9:13" x14ac:dyDescent="0.2">
      <c r="I947" s="12"/>
      <c r="J947" s="12"/>
      <c r="K947" s="12"/>
      <c r="L947" s="12"/>
      <c r="M947" s="12"/>
    </row>
    <row r="948" spans="9:13" x14ac:dyDescent="0.2">
      <c r="I948" s="12"/>
      <c r="J948" s="12"/>
      <c r="K948" s="12"/>
      <c r="L948" s="12"/>
      <c r="M948" s="12"/>
    </row>
    <row r="949" spans="9:13" x14ac:dyDescent="0.2">
      <c r="I949" s="12"/>
      <c r="J949" s="12"/>
      <c r="K949" s="12"/>
      <c r="L949" s="12"/>
      <c r="M949" s="12"/>
    </row>
    <row r="950" spans="9:13" x14ac:dyDescent="0.2">
      <c r="I950" s="12"/>
      <c r="J950" s="12"/>
      <c r="K950" s="12"/>
      <c r="L950" s="12"/>
      <c r="M950" s="12"/>
    </row>
    <row r="951" spans="9:13" x14ac:dyDescent="0.2">
      <c r="I951" s="12"/>
      <c r="J951" s="12"/>
      <c r="K951" s="12"/>
      <c r="L951" s="12"/>
      <c r="M951" s="12"/>
    </row>
    <row r="952" spans="9:13" x14ac:dyDescent="0.2">
      <c r="I952" s="12"/>
      <c r="J952" s="12"/>
      <c r="K952" s="12"/>
      <c r="L952" s="12"/>
      <c r="M952" s="12"/>
    </row>
    <row r="953" spans="9:13" x14ac:dyDescent="0.2">
      <c r="I953" s="12"/>
      <c r="J953" s="12"/>
      <c r="K953" s="12"/>
      <c r="L953" s="12"/>
      <c r="M953" s="12"/>
    </row>
    <row r="954" spans="9:13" x14ac:dyDescent="0.2">
      <c r="I954" s="12"/>
      <c r="J954" s="12"/>
      <c r="K954" s="12"/>
      <c r="L954" s="12"/>
      <c r="M954" s="12"/>
    </row>
    <row r="955" spans="9:13" x14ac:dyDescent="0.2">
      <c r="I955" s="12"/>
      <c r="J955" s="12"/>
      <c r="K955" s="12"/>
      <c r="L955" s="12"/>
      <c r="M955" s="12"/>
    </row>
    <row r="956" spans="9:13" x14ac:dyDescent="0.2">
      <c r="I956" s="12"/>
      <c r="J956" s="12"/>
      <c r="K956" s="12"/>
      <c r="L956" s="12"/>
      <c r="M956" s="12"/>
    </row>
    <row r="957" spans="9:13" x14ac:dyDescent="0.2">
      <c r="I957" s="12"/>
      <c r="J957" s="12"/>
      <c r="K957" s="12"/>
      <c r="L957" s="12"/>
      <c r="M957" s="12"/>
    </row>
    <row r="958" spans="9:13" x14ac:dyDescent="0.2">
      <c r="I958" s="12"/>
      <c r="J958" s="12"/>
      <c r="K958" s="12"/>
      <c r="L958" s="12"/>
      <c r="M958" s="12"/>
    </row>
    <row r="959" spans="9:13" x14ac:dyDescent="0.2">
      <c r="I959" s="12"/>
      <c r="J959" s="12"/>
      <c r="K959" s="12"/>
      <c r="L959" s="12"/>
      <c r="M959" s="12"/>
    </row>
    <row r="960" spans="9:13" x14ac:dyDescent="0.2">
      <c r="I960" s="12"/>
      <c r="J960" s="12"/>
      <c r="K960" s="12"/>
      <c r="L960" s="12"/>
      <c r="M960" s="12"/>
    </row>
    <row r="961" spans="9:13" x14ac:dyDescent="0.2">
      <c r="I961" s="12"/>
      <c r="J961" s="12"/>
      <c r="K961" s="12"/>
      <c r="L961" s="12"/>
      <c r="M961" s="12"/>
    </row>
    <row r="962" spans="9:13" x14ac:dyDescent="0.2">
      <c r="I962" s="12"/>
      <c r="J962" s="12"/>
      <c r="K962" s="12"/>
      <c r="L962" s="12"/>
      <c r="M962" s="12"/>
    </row>
    <row r="963" spans="9:13" x14ac:dyDescent="0.2">
      <c r="I963" s="12"/>
      <c r="J963" s="12"/>
      <c r="K963" s="12"/>
      <c r="L963" s="12"/>
      <c r="M963" s="12"/>
    </row>
    <row r="964" spans="9:13" x14ac:dyDescent="0.2">
      <c r="I964" s="12"/>
      <c r="J964" s="12"/>
      <c r="K964" s="12"/>
      <c r="L964" s="12"/>
      <c r="M964" s="12"/>
    </row>
    <row r="965" spans="9:13" x14ac:dyDescent="0.2">
      <c r="I965" s="12"/>
      <c r="J965" s="12"/>
      <c r="K965" s="12"/>
      <c r="L965" s="12"/>
      <c r="M965" s="12"/>
    </row>
    <row r="966" spans="9:13" x14ac:dyDescent="0.2">
      <c r="I966" s="12"/>
      <c r="J966" s="12"/>
      <c r="K966" s="12"/>
      <c r="L966" s="12"/>
      <c r="M966" s="12"/>
    </row>
    <row r="967" spans="9:13" x14ac:dyDescent="0.2">
      <c r="I967" s="12"/>
      <c r="J967" s="12"/>
      <c r="K967" s="12"/>
      <c r="L967" s="12"/>
      <c r="M967" s="12"/>
    </row>
    <row r="968" spans="9:13" x14ac:dyDescent="0.2">
      <c r="I968" s="12"/>
      <c r="J968" s="12"/>
      <c r="K968" s="12"/>
      <c r="L968" s="12"/>
      <c r="M968" s="12"/>
    </row>
    <row r="969" spans="9:13" x14ac:dyDescent="0.2">
      <c r="I969" s="12"/>
      <c r="J969" s="12"/>
      <c r="K969" s="12"/>
      <c r="L969" s="12"/>
      <c r="M969" s="12"/>
    </row>
    <row r="970" spans="9:13" x14ac:dyDescent="0.2">
      <c r="I970" s="12"/>
      <c r="J970" s="12"/>
      <c r="K970" s="12"/>
      <c r="L970" s="12"/>
      <c r="M970" s="12"/>
    </row>
    <row r="971" spans="9:13" x14ac:dyDescent="0.2">
      <c r="I971" s="12"/>
      <c r="J971" s="12"/>
      <c r="K971" s="12"/>
      <c r="L971" s="12"/>
      <c r="M971" s="12"/>
    </row>
    <row r="972" spans="9:13" x14ac:dyDescent="0.2">
      <c r="I972" s="12"/>
      <c r="J972" s="12"/>
      <c r="K972" s="12"/>
      <c r="L972" s="12"/>
      <c r="M972" s="12"/>
    </row>
    <row r="973" spans="9:13" x14ac:dyDescent="0.2">
      <c r="I973" s="12"/>
      <c r="J973" s="12"/>
      <c r="K973" s="12"/>
      <c r="L973" s="12"/>
      <c r="M973" s="12"/>
    </row>
    <row r="974" spans="9:13" x14ac:dyDescent="0.2">
      <c r="I974" s="12"/>
      <c r="J974" s="12"/>
      <c r="K974" s="12"/>
      <c r="L974" s="12"/>
      <c r="M974" s="12"/>
    </row>
    <row r="975" spans="9:13" x14ac:dyDescent="0.2">
      <c r="I975" s="12"/>
      <c r="J975" s="12"/>
      <c r="K975" s="12"/>
      <c r="L975" s="12"/>
      <c r="M975" s="12"/>
    </row>
    <row r="976" spans="9:13" x14ac:dyDescent="0.2">
      <c r="I976" s="12"/>
      <c r="J976" s="12"/>
      <c r="K976" s="12"/>
      <c r="L976" s="12"/>
      <c r="M976" s="12"/>
    </row>
    <row r="977" spans="9:13" x14ac:dyDescent="0.2">
      <c r="I977" s="12"/>
      <c r="J977" s="12"/>
      <c r="K977" s="12"/>
      <c r="L977" s="12"/>
      <c r="M977" s="12"/>
    </row>
    <row r="978" spans="9:13" x14ac:dyDescent="0.2">
      <c r="I978" s="12"/>
      <c r="J978" s="12"/>
      <c r="K978" s="12"/>
      <c r="L978" s="12"/>
      <c r="M978" s="12"/>
    </row>
    <row r="979" spans="9:13" x14ac:dyDescent="0.2">
      <c r="I979" s="12"/>
      <c r="J979" s="12"/>
      <c r="K979" s="12"/>
      <c r="L979" s="12"/>
      <c r="M979" s="12"/>
    </row>
    <row r="980" spans="9:13" x14ac:dyDescent="0.2">
      <c r="I980" s="12"/>
      <c r="J980" s="12"/>
      <c r="K980" s="12"/>
      <c r="L980" s="12"/>
      <c r="M980" s="12"/>
    </row>
    <row r="981" spans="9:13" x14ac:dyDescent="0.2">
      <c r="I981" s="12"/>
      <c r="J981" s="12"/>
      <c r="K981" s="12"/>
      <c r="L981" s="12"/>
      <c r="M981" s="12"/>
    </row>
    <row r="982" spans="9:13" x14ac:dyDescent="0.2">
      <c r="I982" s="12"/>
      <c r="J982" s="12"/>
      <c r="K982" s="12"/>
      <c r="L982" s="12"/>
      <c r="M982" s="12"/>
    </row>
    <row r="983" spans="9:13" x14ac:dyDescent="0.2">
      <c r="I983" s="12"/>
      <c r="J983" s="12"/>
      <c r="K983" s="12"/>
      <c r="L983" s="12"/>
      <c r="M983" s="12"/>
    </row>
    <row r="984" spans="9:13" x14ac:dyDescent="0.2">
      <c r="I984" s="12"/>
      <c r="J984" s="12"/>
      <c r="K984" s="12"/>
      <c r="L984" s="12"/>
      <c r="M984" s="12"/>
    </row>
    <row r="985" spans="9:13" x14ac:dyDescent="0.2">
      <c r="I985" s="12"/>
      <c r="J985" s="12"/>
      <c r="K985" s="12"/>
      <c r="L985" s="12"/>
      <c r="M985" s="12"/>
    </row>
    <row r="986" spans="9:13" x14ac:dyDescent="0.2">
      <c r="I986" s="12"/>
      <c r="J986" s="12"/>
      <c r="K986" s="12"/>
      <c r="L986" s="12"/>
      <c r="M986" s="12"/>
    </row>
    <row r="987" spans="9:13" x14ac:dyDescent="0.2">
      <c r="I987" s="12"/>
      <c r="J987" s="12"/>
      <c r="K987" s="12"/>
      <c r="L987" s="12"/>
      <c r="M987" s="12"/>
    </row>
    <row r="988" spans="9:13" x14ac:dyDescent="0.2">
      <c r="I988" s="12"/>
      <c r="J988" s="12"/>
      <c r="K988" s="12"/>
      <c r="L988" s="12"/>
      <c r="M988" s="12"/>
    </row>
    <row r="989" spans="9:13" x14ac:dyDescent="0.2">
      <c r="I989" s="12"/>
      <c r="J989" s="12"/>
      <c r="K989" s="12"/>
      <c r="L989" s="12"/>
      <c r="M989" s="12"/>
    </row>
    <row r="990" spans="9:13" x14ac:dyDescent="0.2">
      <c r="I990" s="12"/>
      <c r="J990" s="12"/>
      <c r="K990" s="12"/>
      <c r="L990" s="12"/>
      <c r="M990" s="12"/>
    </row>
    <row r="991" spans="9:13" x14ac:dyDescent="0.2">
      <c r="I991" s="12"/>
      <c r="J991" s="12"/>
      <c r="K991" s="12"/>
      <c r="L991" s="12"/>
      <c r="M991" s="12"/>
    </row>
    <row r="992" spans="9:13" x14ac:dyDescent="0.2">
      <c r="I992" s="12"/>
      <c r="J992" s="12"/>
      <c r="K992" s="12"/>
      <c r="L992" s="12"/>
      <c r="M992" s="12"/>
    </row>
    <row r="993" spans="9:13" x14ac:dyDescent="0.2">
      <c r="I993" s="12"/>
      <c r="J993" s="12"/>
      <c r="K993" s="12"/>
      <c r="L993" s="12"/>
      <c r="M993" s="12"/>
    </row>
    <row r="994" spans="9:13" x14ac:dyDescent="0.2">
      <c r="I994" s="12"/>
      <c r="J994" s="12"/>
      <c r="K994" s="12"/>
      <c r="L994" s="12"/>
      <c r="M994" s="12"/>
    </row>
    <row r="995" spans="9:13" x14ac:dyDescent="0.2">
      <c r="I995" s="12"/>
      <c r="J995" s="12"/>
      <c r="K995" s="12"/>
      <c r="L995" s="12"/>
      <c r="M995" s="12"/>
    </row>
    <row r="996" spans="9:13" x14ac:dyDescent="0.2">
      <c r="I996" s="12"/>
      <c r="J996" s="12"/>
      <c r="K996" s="12"/>
      <c r="L996" s="12"/>
      <c r="M996" s="12"/>
    </row>
    <row r="997" spans="9:13" x14ac:dyDescent="0.2">
      <c r="I997" s="12"/>
      <c r="J997" s="12"/>
      <c r="K997" s="12"/>
      <c r="L997" s="12"/>
      <c r="M997" s="12"/>
    </row>
    <row r="998" spans="9:13" x14ac:dyDescent="0.2">
      <c r="I998" s="12"/>
      <c r="J998" s="12"/>
      <c r="K998" s="12"/>
      <c r="L998" s="12"/>
      <c r="M998" s="12"/>
    </row>
    <row r="999" spans="9:13" x14ac:dyDescent="0.2">
      <c r="I999" s="12"/>
      <c r="J999" s="12"/>
      <c r="K999" s="12"/>
      <c r="L999" s="12"/>
      <c r="M999" s="12"/>
    </row>
    <row r="1000" spans="9:13" x14ac:dyDescent="0.2">
      <c r="I1000" s="12"/>
      <c r="J1000" s="12"/>
      <c r="K1000" s="12"/>
      <c r="L1000" s="12"/>
      <c r="M1000" s="12"/>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L6"/>
  <sheetViews>
    <sheetView topLeftCell="B1" workbookViewId="0">
      <selection activeCell="G6" sqref="G6:H6"/>
    </sheetView>
  </sheetViews>
  <sheetFormatPr baseColWidth="10" defaultRowHeight="16" x14ac:dyDescent="0.2"/>
  <cols>
    <col min="1" max="10" width="25.5" bestFit="1" customWidth="1"/>
    <col min="11" max="11" width="30.33203125" bestFit="1" customWidth="1"/>
    <col min="12" max="12" width="29.5" bestFit="1" customWidth="1"/>
  </cols>
  <sheetData>
    <row r="3" spans="1:12" x14ac:dyDescent="0.2">
      <c r="A3" s="9" t="s">
        <v>1931</v>
      </c>
    </row>
    <row r="4" spans="1:12" x14ac:dyDescent="0.2">
      <c r="A4" t="s">
        <v>105</v>
      </c>
      <c r="C4" t="s">
        <v>97</v>
      </c>
      <c r="E4" t="s">
        <v>111</v>
      </c>
      <c r="G4" t="s">
        <v>125</v>
      </c>
      <c r="I4" t="s">
        <v>1932</v>
      </c>
      <c r="K4" t="s">
        <v>1950</v>
      </c>
      <c r="L4" t="s">
        <v>1951</v>
      </c>
    </row>
    <row r="5" spans="1:12" x14ac:dyDescent="0.2">
      <c r="A5" t="s">
        <v>1933</v>
      </c>
      <c r="B5" t="s">
        <v>1952</v>
      </c>
      <c r="C5" t="s">
        <v>1933</v>
      </c>
      <c r="D5" t="s">
        <v>1952</v>
      </c>
      <c r="E5" t="s">
        <v>1933</v>
      </c>
      <c r="F5" t="s">
        <v>1952</v>
      </c>
      <c r="G5" t="s">
        <v>1933</v>
      </c>
      <c r="H5" t="s">
        <v>1952</v>
      </c>
      <c r="I5" t="s">
        <v>1933</v>
      </c>
      <c r="J5" t="s">
        <v>1952</v>
      </c>
    </row>
    <row r="6" spans="1:12" x14ac:dyDescent="0.2">
      <c r="A6">
        <v>73.930693069306926</v>
      </c>
      <c r="B6">
        <v>23.305474646847497</v>
      </c>
      <c r="C6">
        <v>80.55670103092784</v>
      </c>
      <c r="D6">
        <v>17.649344341082575</v>
      </c>
      <c r="E6">
        <v>45.257425742574256</v>
      </c>
      <c r="F6">
        <v>30.454114160601204</v>
      </c>
      <c r="G6">
        <v>45.21782178217822</v>
      </c>
      <c r="H6">
        <v>32.169116854646795</v>
      </c>
      <c r="K6">
        <v>61.047499999999999</v>
      </c>
      <c r="L6">
        <v>31.047788272944722</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05"/>
  <sheetViews>
    <sheetView workbookViewId="0">
      <selection activeCell="F1" activeCellId="2" sqref="A1:A1048576 C1:D1048576 F1:F1048576"/>
    </sheetView>
  </sheetViews>
  <sheetFormatPr baseColWidth="10" defaultRowHeight="16" x14ac:dyDescent="0.2"/>
  <cols>
    <col min="4" max="4" width="20.83203125" bestFit="1" customWidth="1"/>
  </cols>
  <sheetData>
    <row r="1" spans="1:6" x14ac:dyDescent="0.2">
      <c r="A1" t="s">
        <v>1918</v>
      </c>
      <c r="B1" t="s">
        <v>1929</v>
      </c>
      <c r="C1" t="s">
        <v>1928</v>
      </c>
      <c r="D1" t="s">
        <v>1917</v>
      </c>
      <c r="E1" t="s">
        <v>1927</v>
      </c>
      <c r="F1" t="s">
        <v>1973</v>
      </c>
    </row>
    <row r="2" spans="1:6" x14ac:dyDescent="0.2">
      <c r="A2">
        <v>1</v>
      </c>
      <c r="C2">
        <v>100</v>
      </c>
      <c r="D2" t="s">
        <v>105</v>
      </c>
      <c r="E2">
        <v>7</v>
      </c>
      <c r="F2">
        <v>5</v>
      </c>
    </row>
    <row r="3" spans="1:6" x14ac:dyDescent="0.2">
      <c r="A3">
        <v>2</v>
      </c>
      <c r="C3">
        <v>15</v>
      </c>
      <c r="D3" t="s">
        <v>111</v>
      </c>
      <c r="E3">
        <v>7</v>
      </c>
      <c r="F3">
        <v>5</v>
      </c>
    </row>
    <row r="4" spans="1:6" x14ac:dyDescent="0.2">
      <c r="A4">
        <v>3</v>
      </c>
      <c r="C4">
        <v>5</v>
      </c>
      <c r="D4" t="s">
        <v>111</v>
      </c>
      <c r="E4">
        <v>7</v>
      </c>
      <c r="F4">
        <v>5</v>
      </c>
    </row>
    <row r="5" spans="1:6" x14ac:dyDescent="0.2">
      <c r="A5">
        <v>4</v>
      </c>
      <c r="B5">
        <v>7</v>
      </c>
      <c r="C5">
        <v>0</v>
      </c>
      <c r="D5" t="s">
        <v>125</v>
      </c>
      <c r="E5">
        <v>3</v>
      </c>
      <c r="F5">
        <v>3</v>
      </c>
    </row>
    <row r="6" spans="1:6" x14ac:dyDescent="0.2">
      <c r="A6">
        <v>5</v>
      </c>
      <c r="C6">
        <v>73</v>
      </c>
      <c r="D6" t="s">
        <v>97</v>
      </c>
      <c r="E6">
        <v>4</v>
      </c>
      <c r="F6">
        <v>3</v>
      </c>
    </row>
    <row r="7" spans="1:6" x14ac:dyDescent="0.2">
      <c r="A7">
        <v>6</v>
      </c>
      <c r="B7">
        <v>60</v>
      </c>
      <c r="C7">
        <v>61</v>
      </c>
      <c r="D7" t="s">
        <v>125</v>
      </c>
      <c r="E7">
        <v>5</v>
      </c>
      <c r="F7">
        <v>3</v>
      </c>
    </row>
    <row r="8" spans="1:6" x14ac:dyDescent="0.2">
      <c r="A8">
        <v>7</v>
      </c>
      <c r="C8">
        <v>95</v>
      </c>
      <c r="D8" t="s">
        <v>105</v>
      </c>
      <c r="E8">
        <v>6</v>
      </c>
      <c r="F8">
        <v>5</v>
      </c>
    </row>
    <row r="9" spans="1:6" x14ac:dyDescent="0.2">
      <c r="A9">
        <v>8</v>
      </c>
      <c r="C9">
        <v>85</v>
      </c>
      <c r="D9" t="s">
        <v>105</v>
      </c>
      <c r="E9">
        <v>1</v>
      </c>
      <c r="F9">
        <v>1</v>
      </c>
    </row>
    <row r="10" spans="1:6" x14ac:dyDescent="0.2">
      <c r="A10">
        <v>9</v>
      </c>
      <c r="C10">
        <v>92</v>
      </c>
      <c r="D10" t="s">
        <v>105</v>
      </c>
      <c r="E10">
        <v>3</v>
      </c>
      <c r="F10">
        <v>3</v>
      </c>
    </row>
    <row r="11" spans="1:6" x14ac:dyDescent="0.2">
      <c r="A11">
        <v>10</v>
      </c>
      <c r="C11">
        <v>5</v>
      </c>
      <c r="D11" t="s">
        <v>111</v>
      </c>
      <c r="E11">
        <v>6</v>
      </c>
      <c r="F11">
        <v>5</v>
      </c>
    </row>
    <row r="12" spans="1:6" x14ac:dyDescent="0.2">
      <c r="A12">
        <v>11</v>
      </c>
      <c r="C12">
        <v>92</v>
      </c>
      <c r="D12" t="s">
        <v>97</v>
      </c>
      <c r="E12">
        <v>6</v>
      </c>
      <c r="F12">
        <v>4</v>
      </c>
    </row>
    <row r="13" spans="1:6" x14ac:dyDescent="0.2">
      <c r="A13">
        <v>12</v>
      </c>
      <c r="B13">
        <v>5</v>
      </c>
      <c r="C13">
        <v>10</v>
      </c>
      <c r="D13" t="s">
        <v>125</v>
      </c>
      <c r="E13">
        <v>4</v>
      </c>
      <c r="F13">
        <v>3</v>
      </c>
    </row>
    <row r="14" spans="1:6" x14ac:dyDescent="0.2">
      <c r="A14">
        <v>13</v>
      </c>
      <c r="B14">
        <v>22</v>
      </c>
      <c r="C14">
        <v>16</v>
      </c>
      <c r="D14" t="s">
        <v>125</v>
      </c>
      <c r="E14">
        <v>7</v>
      </c>
      <c r="F14">
        <v>5</v>
      </c>
    </row>
    <row r="15" spans="1:6" x14ac:dyDescent="0.2">
      <c r="A15">
        <v>14</v>
      </c>
      <c r="C15">
        <v>100</v>
      </c>
      <c r="D15" t="s">
        <v>97</v>
      </c>
      <c r="E15">
        <v>3</v>
      </c>
      <c r="F15">
        <v>3</v>
      </c>
    </row>
    <row r="16" spans="1:6" x14ac:dyDescent="0.2">
      <c r="A16">
        <v>15</v>
      </c>
      <c r="C16">
        <v>94</v>
      </c>
      <c r="D16" t="s">
        <v>97</v>
      </c>
      <c r="E16">
        <v>1</v>
      </c>
      <c r="F16">
        <v>1</v>
      </c>
    </row>
    <row r="17" spans="1:6" x14ac:dyDescent="0.2">
      <c r="A17">
        <v>16</v>
      </c>
      <c r="C17">
        <v>40</v>
      </c>
      <c r="D17" t="s">
        <v>111</v>
      </c>
      <c r="E17">
        <v>3</v>
      </c>
      <c r="F17">
        <v>3</v>
      </c>
    </row>
    <row r="18" spans="1:6" x14ac:dyDescent="0.2">
      <c r="A18">
        <v>17</v>
      </c>
      <c r="C18">
        <v>90</v>
      </c>
      <c r="D18" t="s">
        <v>105</v>
      </c>
      <c r="E18">
        <v>6</v>
      </c>
      <c r="F18">
        <v>4</v>
      </c>
    </row>
    <row r="19" spans="1:6" x14ac:dyDescent="0.2">
      <c r="A19">
        <v>18</v>
      </c>
      <c r="C19">
        <v>50</v>
      </c>
      <c r="D19" t="s">
        <v>105</v>
      </c>
      <c r="E19">
        <v>6</v>
      </c>
      <c r="F19">
        <v>5</v>
      </c>
    </row>
    <row r="20" spans="1:6" x14ac:dyDescent="0.2">
      <c r="A20">
        <v>19</v>
      </c>
      <c r="C20">
        <v>97</v>
      </c>
      <c r="D20" t="s">
        <v>97</v>
      </c>
      <c r="E20">
        <v>4</v>
      </c>
      <c r="F20">
        <v>4</v>
      </c>
    </row>
    <row r="21" spans="1:6" x14ac:dyDescent="0.2">
      <c r="A21">
        <v>20</v>
      </c>
      <c r="B21">
        <v>10</v>
      </c>
      <c r="C21">
        <v>10</v>
      </c>
      <c r="D21" t="s">
        <v>125</v>
      </c>
      <c r="E21">
        <v>8</v>
      </c>
      <c r="F21">
        <v>6</v>
      </c>
    </row>
    <row r="22" spans="1:6" x14ac:dyDescent="0.2">
      <c r="A22">
        <v>21</v>
      </c>
      <c r="B22">
        <v>60</v>
      </c>
      <c r="C22">
        <v>75</v>
      </c>
      <c r="D22" t="s">
        <v>125</v>
      </c>
      <c r="E22">
        <v>6</v>
      </c>
      <c r="F22">
        <v>5</v>
      </c>
    </row>
    <row r="23" spans="1:6" x14ac:dyDescent="0.2">
      <c r="A23">
        <v>22</v>
      </c>
      <c r="C23">
        <v>71</v>
      </c>
      <c r="D23" t="s">
        <v>97</v>
      </c>
      <c r="E23">
        <v>6</v>
      </c>
      <c r="F23">
        <v>4</v>
      </c>
    </row>
    <row r="24" spans="1:6" x14ac:dyDescent="0.2">
      <c r="A24">
        <v>23</v>
      </c>
      <c r="C24">
        <v>89</v>
      </c>
      <c r="D24" t="s">
        <v>105</v>
      </c>
      <c r="E24">
        <v>6</v>
      </c>
      <c r="F24">
        <v>5</v>
      </c>
    </row>
    <row r="25" spans="1:6" x14ac:dyDescent="0.2">
      <c r="A25">
        <v>24</v>
      </c>
      <c r="C25">
        <v>69</v>
      </c>
      <c r="D25" t="s">
        <v>105</v>
      </c>
      <c r="E25">
        <v>4</v>
      </c>
      <c r="F25">
        <v>4</v>
      </c>
    </row>
    <row r="26" spans="1:6" x14ac:dyDescent="0.2">
      <c r="A26">
        <v>25</v>
      </c>
      <c r="C26">
        <v>70</v>
      </c>
      <c r="D26" t="s">
        <v>97</v>
      </c>
      <c r="E26">
        <v>8</v>
      </c>
      <c r="F26">
        <v>6</v>
      </c>
    </row>
    <row r="27" spans="1:6" x14ac:dyDescent="0.2">
      <c r="A27">
        <v>26</v>
      </c>
      <c r="B27">
        <v>0</v>
      </c>
      <c r="C27">
        <v>0</v>
      </c>
      <c r="D27" t="s">
        <v>125</v>
      </c>
      <c r="E27">
        <v>2</v>
      </c>
      <c r="F27">
        <v>2</v>
      </c>
    </row>
    <row r="28" spans="1:6" x14ac:dyDescent="0.2">
      <c r="A28">
        <v>27</v>
      </c>
      <c r="C28">
        <v>31</v>
      </c>
      <c r="D28" t="s">
        <v>111</v>
      </c>
      <c r="E28">
        <v>6</v>
      </c>
      <c r="F28">
        <v>5</v>
      </c>
    </row>
    <row r="29" spans="1:6" x14ac:dyDescent="0.2">
      <c r="A29">
        <v>28</v>
      </c>
      <c r="C29">
        <v>9</v>
      </c>
      <c r="D29" t="s">
        <v>111</v>
      </c>
      <c r="E29">
        <v>7</v>
      </c>
      <c r="F29">
        <v>5</v>
      </c>
    </row>
    <row r="30" spans="1:6" x14ac:dyDescent="0.2">
      <c r="A30">
        <v>29</v>
      </c>
      <c r="C30">
        <v>60</v>
      </c>
      <c r="D30" t="s">
        <v>111</v>
      </c>
      <c r="E30">
        <v>8</v>
      </c>
      <c r="F30">
        <v>6</v>
      </c>
    </row>
    <row r="31" spans="1:6" x14ac:dyDescent="0.2">
      <c r="A31">
        <v>30</v>
      </c>
      <c r="B31">
        <v>61</v>
      </c>
      <c r="C31">
        <v>20</v>
      </c>
      <c r="D31" t="s">
        <v>125</v>
      </c>
      <c r="E31">
        <v>5</v>
      </c>
      <c r="F31">
        <v>4</v>
      </c>
    </row>
    <row r="32" spans="1:6" x14ac:dyDescent="0.2">
      <c r="A32">
        <v>31</v>
      </c>
      <c r="C32">
        <v>65</v>
      </c>
      <c r="D32" t="s">
        <v>97</v>
      </c>
      <c r="E32">
        <v>5</v>
      </c>
      <c r="F32">
        <v>5</v>
      </c>
    </row>
    <row r="33" spans="1:6" x14ac:dyDescent="0.2">
      <c r="A33">
        <v>32</v>
      </c>
      <c r="C33">
        <v>81</v>
      </c>
      <c r="D33" t="s">
        <v>97</v>
      </c>
      <c r="E33">
        <v>6</v>
      </c>
      <c r="F33">
        <v>5</v>
      </c>
    </row>
    <row r="34" spans="1:6" x14ac:dyDescent="0.2">
      <c r="A34">
        <v>33</v>
      </c>
      <c r="C34">
        <v>15</v>
      </c>
      <c r="D34" t="s">
        <v>111</v>
      </c>
      <c r="E34">
        <v>8</v>
      </c>
      <c r="F34">
        <v>6</v>
      </c>
    </row>
    <row r="35" spans="1:6" x14ac:dyDescent="0.2">
      <c r="A35">
        <v>34</v>
      </c>
      <c r="C35">
        <v>100</v>
      </c>
      <c r="D35" t="s">
        <v>97</v>
      </c>
      <c r="E35">
        <v>3</v>
      </c>
      <c r="F35">
        <v>3</v>
      </c>
    </row>
    <row r="36" spans="1:6" x14ac:dyDescent="0.2">
      <c r="A36">
        <v>35</v>
      </c>
      <c r="C36">
        <v>82</v>
      </c>
      <c r="D36" t="s">
        <v>97</v>
      </c>
      <c r="E36">
        <v>5</v>
      </c>
      <c r="F36">
        <v>5</v>
      </c>
    </row>
    <row r="37" spans="1:6" x14ac:dyDescent="0.2">
      <c r="A37">
        <v>36</v>
      </c>
      <c r="B37">
        <v>24</v>
      </c>
      <c r="C37">
        <v>15</v>
      </c>
      <c r="D37" t="s">
        <v>125</v>
      </c>
      <c r="E37">
        <v>6</v>
      </c>
      <c r="F37">
        <v>5</v>
      </c>
    </row>
    <row r="38" spans="1:6" x14ac:dyDescent="0.2">
      <c r="A38">
        <v>37</v>
      </c>
      <c r="C38">
        <v>70</v>
      </c>
      <c r="D38" t="s">
        <v>105</v>
      </c>
      <c r="E38">
        <v>8</v>
      </c>
      <c r="F38">
        <v>6</v>
      </c>
    </row>
    <row r="39" spans="1:6" x14ac:dyDescent="0.2">
      <c r="A39">
        <v>38</v>
      </c>
      <c r="C39">
        <v>96</v>
      </c>
      <c r="D39" t="s">
        <v>97</v>
      </c>
      <c r="E39">
        <v>5</v>
      </c>
      <c r="F39">
        <v>4</v>
      </c>
    </row>
    <row r="40" spans="1:6" x14ac:dyDescent="0.2">
      <c r="A40">
        <v>39</v>
      </c>
      <c r="B40">
        <v>22</v>
      </c>
      <c r="C40">
        <v>3</v>
      </c>
      <c r="D40" t="s">
        <v>125</v>
      </c>
      <c r="E40">
        <v>6</v>
      </c>
      <c r="F40">
        <v>5</v>
      </c>
    </row>
    <row r="41" spans="1:6" x14ac:dyDescent="0.2">
      <c r="A41">
        <v>40</v>
      </c>
      <c r="C41">
        <v>60</v>
      </c>
      <c r="D41" t="s">
        <v>105</v>
      </c>
      <c r="E41">
        <v>8</v>
      </c>
      <c r="F41">
        <v>6</v>
      </c>
    </row>
    <row r="42" spans="1:6" x14ac:dyDescent="0.2">
      <c r="A42">
        <v>41</v>
      </c>
      <c r="C42">
        <v>30</v>
      </c>
      <c r="D42" t="s">
        <v>97</v>
      </c>
      <c r="E42">
        <v>4</v>
      </c>
      <c r="F42">
        <v>4</v>
      </c>
    </row>
    <row r="43" spans="1:6" x14ac:dyDescent="0.2">
      <c r="A43">
        <v>42</v>
      </c>
      <c r="C43">
        <v>60</v>
      </c>
      <c r="D43" t="s">
        <v>111</v>
      </c>
      <c r="E43">
        <v>6</v>
      </c>
      <c r="F43">
        <v>6</v>
      </c>
    </row>
    <row r="44" spans="1:6" x14ac:dyDescent="0.2">
      <c r="A44">
        <v>43</v>
      </c>
      <c r="C44">
        <v>91</v>
      </c>
      <c r="D44" t="s">
        <v>97</v>
      </c>
      <c r="E44">
        <v>5</v>
      </c>
      <c r="F44">
        <v>5</v>
      </c>
    </row>
    <row r="45" spans="1:6" x14ac:dyDescent="0.2">
      <c r="A45">
        <v>44</v>
      </c>
      <c r="C45">
        <v>13</v>
      </c>
      <c r="D45" t="s">
        <v>111</v>
      </c>
      <c r="E45">
        <v>7</v>
      </c>
      <c r="F45">
        <v>5</v>
      </c>
    </row>
    <row r="46" spans="1:6" x14ac:dyDescent="0.2">
      <c r="A46">
        <v>45</v>
      </c>
      <c r="C46">
        <v>85</v>
      </c>
      <c r="D46" t="s">
        <v>105</v>
      </c>
      <c r="E46">
        <v>8</v>
      </c>
      <c r="F46">
        <v>6</v>
      </c>
    </row>
    <row r="47" spans="1:6" x14ac:dyDescent="0.2">
      <c r="A47">
        <v>46</v>
      </c>
      <c r="C47">
        <v>20</v>
      </c>
      <c r="D47" t="s">
        <v>111</v>
      </c>
      <c r="E47">
        <v>5</v>
      </c>
      <c r="F47">
        <v>4</v>
      </c>
    </row>
    <row r="48" spans="1:6" x14ac:dyDescent="0.2">
      <c r="A48">
        <v>47</v>
      </c>
      <c r="C48">
        <v>37</v>
      </c>
      <c r="D48" t="s">
        <v>111</v>
      </c>
      <c r="E48">
        <v>6</v>
      </c>
      <c r="F48">
        <v>5</v>
      </c>
    </row>
    <row r="49" spans="1:6" x14ac:dyDescent="0.2">
      <c r="A49">
        <v>48</v>
      </c>
      <c r="C49">
        <v>90</v>
      </c>
      <c r="D49" t="s">
        <v>97</v>
      </c>
      <c r="E49">
        <v>5</v>
      </c>
      <c r="F49">
        <v>4</v>
      </c>
    </row>
    <row r="50" spans="1:6" x14ac:dyDescent="0.2">
      <c r="A50">
        <v>49</v>
      </c>
      <c r="C50">
        <v>83</v>
      </c>
      <c r="D50" t="s">
        <v>97</v>
      </c>
      <c r="E50">
        <v>7</v>
      </c>
      <c r="F50">
        <v>5</v>
      </c>
    </row>
    <row r="51" spans="1:6" x14ac:dyDescent="0.2">
      <c r="A51">
        <v>50</v>
      </c>
      <c r="B51">
        <v>11</v>
      </c>
      <c r="C51">
        <v>10</v>
      </c>
      <c r="D51" t="s">
        <v>125</v>
      </c>
      <c r="E51">
        <v>7</v>
      </c>
      <c r="F51">
        <v>5</v>
      </c>
    </row>
    <row r="52" spans="1:6" x14ac:dyDescent="0.2">
      <c r="A52">
        <v>51</v>
      </c>
      <c r="C52">
        <v>16</v>
      </c>
      <c r="D52" t="s">
        <v>111</v>
      </c>
      <c r="E52">
        <v>8</v>
      </c>
      <c r="F52">
        <v>6</v>
      </c>
    </row>
    <row r="53" spans="1:6" x14ac:dyDescent="0.2">
      <c r="A53">
        <v>52</v>
      </c>
      <c r="C53">
        <v>90</v>
      </c>
      <c r="D53" t="s">
        <v>105</v>
      </c>
      <c r="E53">
        <v>4</v>
      </c>
      <c r="F53">
        <v>3</v>
      </c>
    </row>
    <row r="54" spans="1:6" x14ac:dyDescent="0.2">
      <c r="A54">
        <v>53</v>
      </c>
      <c r="C54">
        <v>25</v>
      </c>
      <c r="D54" t="s">
        <v>111</v>
      </c>
      <c r="E54">
        <v>3</v>
      </c>
      <c r="F54">
        <v>3</v>
      </c>
    </row>
    <row r="55" spans="1:6" x14ac:dyDescent="0.2">
      <c r="A55">
        <v>54</v>
      </c>
      <c r="C55">
        <v>13</v>
      </c>
      <c r="D55" t="s">
        <v>111</v>
      </c>
      <c r="E55">
        <v>4</v>
      </c>
      <c r="F55">
        <v>3</v>
      </c>
    </row>
    <row r="56" spans="1:6" x14ac:dyDescent="0.2">
      <c r="A56">
        <v>55</v>
      </c>
      <c r="C56">
        <v>75</v>
      </c>
      <c r="D56" t="s">
        <v>105</v>
      </c>
      <c r="E56">
        <v>8</v>
      </c>
      <c r="F56">
        <v>6</v>
      </c>
    </row>
    <row r="57" spans="1:6" x14ac:dyDescent="0.2">
      <c r="A57">
        <v>56</v>
      </c>
      <c r="C57">
        <v>100</v>
      </c>
      <c r="D57" t="s">
        <v>105</v>
      </c>
      <c r="E57">
        <v>6</v>
      </c>
      <c r="F57">
        <v>6</v>
      </c>
    </row>
    <row r="58" spans="1:6" x14ac:dyDescent="0.2">
      <c r="A58">
        <v>57</v>
      </c>
      <c r="C58">
        <v>79</v>
      </c>
      <c r="D58" t="s">
        <v>105</v>
      </c>
      <c r="E58">
        <v>8</v>
      </c>
      <c r="F58">
        <v>6</v>
      </c>
    </row>
    <row r="59" spans="1:6" x14ac:dyDescent="0.2">
      <c r="A59">
        <v>58</v>
      </c>
      <c r="C59">
        <v>80</v>
      </c>
      <c r="D59" t="s">
        <v>105</v>
      </c>
      <c r="E59">
        <v>6</v>
      </c>
      <c r="F59">
        <v>5</v>
      </c>
    </row>
    <row r="60" spans="1:6" x14ac:dyDescent="0.2">
      <c r="A60">
        <v>59</v>
      </c>
      <c r="B60">
        <v>37</v>
      </c>
      <c r="C60">
        <v>57</v>
      </c>
      <c r="D60" t="s">
        <v>125</v>
      </c>
      <c r="E60">
        <v>4</v>
      </c>
      <c r="F60">
        <v>3</v>
      </c>
    </row>
    <row r="61" spans="1:6" x14ac:dyDescent="0.2">
      <c r="A61">
        <v>60</v>
      </c>
      <c r="C61">
        <v>80</v>
      </c>
      <c r="D61" t="s">
        <v>105</v>
      </c>
      <c r="E61">
        <v>7</v>
      </c>
      <c r="F61">
        <v>5</v>
      </c>
    </row>
    <row r="62" spans="1:6" x14ac:dyDescent="0.2">
      <c r="A62">
        <v>61</v>
      </c>
      <c r="C62">
        <v>85</v>
      </c>
      <c r="D62" t="s">
        <v>97</v>
      </c>
      <c r="E62">
        <v>7</v>
      </c>
      <c r="F62">
        <v>5</v>
      </c>
    </row>
    <row r="63" spans="1:6" x14ac:dyDescent="0.2">
      <c r="A63">
        <v>62</v>
      </c>
      <c r="C63">
        <v>27</v>
      </c>
      <c r="D63" t="s">
        <v>111</v>
      </c>
      <c r="E63">
        <v>7</v>
      </c>
      <c r="F63">
        <v>6</v>
      </c>
    </row>
    <row r="64" spans="1:6" x14ac:dyDescent="0.2">
      <c r="A64">
        <v>63</v>
      </c>
      <c r="C64">
        <v>10</v>
      </c>
      <c r="D64" t="s">
        <v>97</v>
      </c>
      <c r="E64">
        <v>8</v>
      </c>
      <c r="F64">
        <v>6</v>
      </c>
    </row>
    <row r="65" spans="1:6" x14ac:dyDescent="0.2">
      <c r="A65">
        <v>64</v>
      </c>
      <c r="C65">
        <v>40</v>
      </c>
      <c r="D65" t="s">
        <v>111</v>
      </c>
      <c r="E65">
        <v>4</v>
      </c>
      <c r="F65">
        <v>4</v>
      </c>
    </row>
    <row r="66" spans="1:6" x14ac:dyDescent="0.2">
      <c r="A66">
        <v>65</v>
      </c>
      <c r="C66">
        <v>76</v>
      </c>
      <c r="D66" t="s">
        <v>97</v>
      </c>
      <c r="E66">
        <v>7</v>
      </c>
      <c r="F66">
        <v>5</v>
      </c>
    </row>
    <row r="67" spans="1:6" x14ac:dyDescent="0.2">
      <c r="A67">
        <v>66</v>
      </c>
      <c r="B67">
        <v>42</v>
      </c>
      <c r="C67">
        <v>31</v>
      </c>
      <c r="D67" t="s">
        <v>125</v>
      </c>
      <c r="E67">
        <v>3</v>
      </c>
      <c r="F67">
        <v>3</v>
      </c>
    </row>
    <row r="68" spans="1:6" x14ac:dyDescent="0.2">
      <c r="A68">
        <v>67</v>
      </c>
      <c r="C68">
        <v>80</v>
      </c>
      <c r="D68" t="s">
        <v>105</v>
      </c>
      <c r="E68">
        <v>6</v>
      </c>
      <c r="F68">
        <v>4</v>
      </c>
    </row>
    <row r="69" spans="1:6" x14ac:dyDescent="0.2">
      <c r="A69">
        <v>68</v>
      </c>
      <c r="B69">
        <v>70</v>
      </c>
      <c r="C69">
        <v>65</v>
      </c>
      <c r="D69" t="s">
        <v>125</v>
      </c>
      <c r="E69">
        <v>8</v>
      </c>
      <c r="F69">
        <v>6</v>
      </c>
    </row>
    <row r="70" spans="1:6" x14ac:dyDescent="0.2">
      <c r="A70">
        <v>69</v>
      </c>
      <c r="C70">
        <v>100</v>
      </c>
      <c r="D70" t="s">
        <v>105</v>
      </c>
      <c r="E70">
        <v>2</v>
      </c>
      <c r="F70">
        <v>2</v>
      </c>
    </row>
    <row r="71" spans="1:6" x14ac:dyDescent="0.2">
      <c r="A71">
        <v>70</v>
      </c>
      <c r="B71">
        <v>70</v>
      </c>
      <c r="C71">
        <v>80</v>
      </c>
      <c r="D71" t="s">
        <v>125</v>
      </c>
      <c r="E71">
        <v>7</v>
      </c>
      <c r="F71">
        <v>5</v>
      </c>
    </row>
    <row r="72" spans="1:6" x14ac:dyDescent="0.2">
      <c r="A72">
        <v>71</v>
      </c>
      <c r="C72">
        <v>81</v>
      </c>
      <c r="D72" t="s">
        <v>97</v>
      </c>
      <c r="E72">
        <v>6</v>
      </c>
      <c r="F72">
        <v>6</v>
      </c>
    </row>
    <row r="73" spans="1:6" x14ac:dyDescent="0.2">
      <c r="A73">
        <v>72</v>
      </c>
      <c r="B73">
        <v>0</v>
      </c>
      <c r="C73">
        <v>0</v>
      </c>
      <c r="D73" t="s">
        <v>125</v>
      </c>
      <c r="E73">
        <v>8</v>
      </c>
      <c r="F73">
        <v>6</v>
      </c>
    </row>
    <row r="74" spans="1:6" x14ac:dyDescent="0.2">
      <c r="A74">
        <v>73</v>
      </c>
      <c r="C74">
        <v>0</v>
      </c>
      <c r="D74" t="s">
        <v>111</v>
      </c>
      <c r="E74">
        <v>7</v>
      </c>
      <c r="F74">
        <v>5</v>
      </c>
    </row>
    <row r="75" spans="1:6" x14ac:dyDescent="0.2">
      <c r="A75">
        <v>74</v>
      </c>
      <c r="B75">
        <v>23</v>
      </c>
      <c r="C75">
        <v>36</v>
      </c>
      <c r="D75" t="s">
        <v>125</v>
      </c>
      <c r="E75">
        <v>6</v>
      </c>
      <c r="F75">
        <v>5</v>
      </c>
    </row>
    <row r="76" spans="1:6" x14ac:dyDescent="0.2">
      <c r="A76">
        <v>75</v>
      </c>
      <c r="C76">
        <v>10</v>
      </c>
      <c r="D76" t="s">
        <v>111</v>
      </c>
      <c r="E76">
        <v>7</v>
      </c>
      <c r="F76">
        <v>5</v>
      </c>
    </row>
    <row r="77" spans="1:6" x14ac:dyDescent="0.2">
      <c r="A77">
        <v>76</v>
      </c>
      <c r="B77">
        <v>19</v>
      </c>
      <c r="C77">
        <v>20</v>
      </c>
      <c r="D77" t="s">
        <v>125</v>
      </c>
      <c r="E77">
        <v>6</v>
      </c>
      <c r="F77">
        <v>5</v>
      </c>
    </row>
    <row r="78" spans="1:6" x14ac:dyDescent="0.2">
      <c r="A78">
        <v>77</v>
      </c>
      <c r="C78">
        <v>82</v>
      </c>
      <c r="D78" t="s">
        <v>111</v>
      </c>
      <c r="E78">
        <v>3</v>
      </c>
      <c r="F78">
        <v>3</v>
      </c>
    </row>
    <row r="79" spans="1:6" x14ac:dyDescent="0.2">
      <c r="A79">
        <v>78</v>
      </c>
      <c r="C79">
        <v>100</v>
      </c>
      <c r="D79" t="s">
        <v>105</v>
      </c>
      <c r="E79">
        <v>7</v>
      </c>
      <c r="F79">
        <v>5</v>
      </c>
    </row>
    <row r="80" spans="1:6" x14ac:dyDescent="0.2">
      <c r="A80">
        <v>79</v>
      </c>
      <c r="C80">
        <v>70</v>
      </c>
      <c r="D80" t="s">
        <v>105</v>
      </c>
      <c r="E80">
        <v>6</v>
      </c>
      <c r="F80">
        <v>5</v>
      </c>
    </row>
    <row r="81" spans="1:6" x14ac:dyDescent="0.2">
      <c r="A81">
        <v>80</v>
      </c>
      <c r="B81">
        <v>72</v>
      </c>
      <c r="C81">
        <v>72</v>
      </c>
      <c r="D81" t="s">
        <v>125</v>
      </c>
      <c r="E81">
        <v>7</v>
      </c>
      <c r="F81">
        <v>5</v>
      </c>
    </row>
    <row r="82" spans="1:6" x14ac:dyDescent="0.2">
      <c r="A82">
        <v>81</v>
      </c>
      <c r="C82">
        <v>23</v>
      </c>
      <c r="D82" t="s">
        <v>111</v>
      </c>
      <c r="E82">
        <v>7</v>
      </c>
      <c r="F82">
        <v>5</v>
      </c>
    </row>
    <row r="83" spans="1:6" x14ac:dyDescent="0.2">
      <c r="A83">
        <v>82</v>
      </c>
      <c r="B83">
        <v>70</v>
      </c>
      <c r="C83">
        <v>82</v>
      </c>
      <c r="D83" t="s">
        <v>125</v>
      </c>
      <c r="E83">
        <v>0</v>
      </c>
      <c r="F83">
        <v>0</v>
      </c>
    </row>
    <row r="84" spans="1:6" x14ac:dyDescent="0.2">
      <c r="A84">
        <v>83</v>
      </c>
      <c r="C84">
        <v>80</v>
      </c>
      <c r="D84" t="s">
        <v>105</v>
      </c>
      <c r="E84">
        <v>5</v>
      </c>
      <c r="F84">
        <v>5</v>
      </c>
    </row>
    <row r="85" spans="1:6" x14ac:dyDescent="0.2">
      <c r="A85">
        <v>84</v>
      </c>
      <c r="C85">
        <v>81</v>
      </c>
      <c r="D85" t="s">
        <v>97</v>
      </c>
      <c r="E85">
        <v>6</v>
      </c>
      <c r="F85">
        <v>4</v>
      </c>
    </row>
    <row r="86" spans="1:6" x14ac:dyDescent="0.2">
      <c r="A86">
        <v>85</v>
      </c>
      <c r="B86">
        <v>10</v>
      </c>
      <c r="C86">
        <v>10</v>
      </c>
      <c r="D86" t="s">
        <v>125</v>
      </c>
      <c r="E86">
        <v>7</v>
      </c>
      <c r="F86">
        <v>6</v>
      </c>
    </row>
    <row r="87" spans="1:6" x14ac:dyDescent="0.2">
      <c r="A87">
        <v>86</v>
      </c>
      <c r="B87">
        <v>64</v>
      </c>
      <c r="C87">
        <v>75</v>
      </c>
      <c r="D87" t="s">
        <v>125</v>
      </c>
      <c r="E87">
        <v>2</v>
      </c>
      <c r="F87">
        <v>2</v>
      </c>
    </row>
    <row r="88" spans="1:6" x14ac:dyDescent="0.2">
      <c r="A88">
        <v>87</v>
      </c>
      <c r="C88">
        <v>74</v>
      </c>
      <c r="D88" t="s">
        <v>97</v>
      </c>
      <c r="E88">
        <v>1</v>
      </c>
      <c r="F88">
        <v>1</v>
      </c>
    </row>
    <row r="89" spans="1:6" x14ac:dyDescent="0.2">
      <c r="A89">
        <v>88</v>
      </c>
      <c r="C89">
        <v>20</v>
      </c>
      <c r="D89" t="s">
        <v>111</v>
      </c>
      <c r="E89">
        <v>6</v>
      </c>
      <c r="F89">
        <v>4</v>
      </c>
    </row>
    <row r="90" spans="1:6" x14ac:dyDescent="0.2">
      <c r="A90">
        <v>89</v>
      </c>
      <c r="C90">
        <v>100</v>
      </c>
      <c r="D90" t="s">
        <v>111</v>
      </c>
      <c r="E90">
        <v>5</v>
      </c>
      <c r="F90">
        <v>3</v>
      </c>
    </row>
    <row r="91" spans="1:6" x14ac:dyDescent="0.2">
      <c r="A91">
        <v>90</v>
      </c>
      <c r="C91">
        <v>51</v>
      </c>
      <c r="D91" t="s">
        <v>111</v>
      </c>
      <c r="E91">
        <v>6</v>
      </c>
      <c r="F91">
        <v>4</v>
      </c>
    </row>
    <row r="92" spans="1:6" x14ac:dyDescent="0.2">
      <c r="A92">
        <v>91</v>
      </c>
      <c r="C92">
        <v>12</v>
      </c>
      <c r="D92" t="s">
        <v>111</v>
      </c>
      <c r="E92">
        <v>7</v>
      </c>
      <c r="F92">
        <v>5</v>
      </c>
    </row>
    <row r="93" spans="1:6" x14ac:dyDescent="0.2">
      <c r="A93">
        <v>92</v>
      </c>
      <c r="B93">
        <v>10</v>
      </c>
      <c r="C93">
        <v>11</v>
      </c>
      <c r="D93" t="s">
        <v>125</v>
      </c>
      <c r="E93">
        <v>5</v>
      </c>
      <c r="F93">
        <v>4</v>
      </c>
    </row>
    <row r="94" spans="1:6" x14ac:dyDescent="0.2">
      <c r="A94">
        <v>93</v>
      </c>
      <c r="C94">
        <v>95</v>
      </c>
      <c r="D94" t="s">
        <v>105</v>
      </c>
      <c r="E94">
        <v>4</v>
      </c>
      <c r="F94">
        <v>4</v>
      </c>
    </row>
    <row r="95" spans="1:6" x14ac:dyDescent="0.2">
      <c r="A95">
        <v>94</v>
      </c>
      <c r="C95">
        <v>100</v>
      </c>
      <c r="D95" t="s">
        <v>97</v>
      </c>
      <c r="E95">
        <v>6</v>
      </c>
      <c r="F95">
        <v>5</v>
      </c>
    </row>
    <row r="96" spans="1:6" x14ac:dyDescent="0.2">
      <c r="A96">
        <v>95</v>
      </c>
      <c r="C96">
        <v>70</v>
      </c>
      <c r="D96" t="s">
        <v>105</v>
      </c>
      <c r="E96">
        <v>5</v>
      </c>
      <c r="F96">
        <v>5</v>
      </c>
    </row>
    <row r="97" spans="1:6" x14ac:dyDescent="0.2">
      <c r="A97">
        <v>96</v>
      </c>
      <c r="C97">
        <v>100</v>
      </c>
      <c r="D97" t="s">
        <v>111</v>
      </c>
      <c r="E97">
        <v>5</v>
      </c>
      <c r="F97">
        <v>4</v>
      </c>
    </row>
    <row r="98" spans="1:6" x14ac:dyDescent="0.2">
      <c r="A98">
        <v>97</v>
      </c>
      <c r="C98">
        <v>85</v>
      </c>
      <c r="D98" t="s">
        <v>97</v>
      </c>
      <c r="E98">
        <v>4</v>
      </c>
      <c r="F98">
        <v>4</v>
      </c>
    </row>
    <row r="99" spans="1:6" x14ac:dyDescent="0.2">
      <c r="A99">
        <v>98</v>
      </c>
      <c r="C99">
        <v>67</v>
      </c>
      <c r="D99" t="s">
        <v>111</v>
      </c>
      <c r="E99">
        <v>5</v>
      </c>
      <c r="F99">
        <v>3</v>
      </c>
    </row>
    <row r="100" spans="1:6" x14ac:dyDescent="0.2">
      <c r="A100">
        <v>99</v>
      </c>
      <c r="C100">
        <v>80</v>
      </c>
      <c r="D100" t="s">
        <v>105</v>
      </c>
      <c r="E100">
        <v>5</v>
      </c>
      <c r="F100">
        <v>4</v>
      </c>
    </row>
    <row r="101" spans="1:6" x14ac:dyDescent="0.2">
      <c r="A101">
        <v>100</v>
      </c>
      <c r="C101">
        <v>95</v>
      </c>
      <c r="D101" t="s">
        <v>97</v>
      </c>
      <c r="E101">
        <v>8</v>
      </c>
      <c r="F101">
        <v>6</v>
      </c>
    </row>
    <row r="102" spans="1:6" x14ac:dyDescent="0.2">
      <c r="A102">
        <v>101</v>
      </c>
      <c r="B102">
        <v>70</v>
      </c>
      <c r="C102">
        <v>70</v>
      </c>
      <c r="D102" t="s">
        <v>125</v>
      </c>
      <c r="E102">
        <v>5</v>
      </c>
      <c r="F102">
        <v>4</v>
      </c>
    </row>
    <row r="103" spans="1:6" x14ac:dyDescent="0.2">
      <c r="A103">
        <v>102</v>
      </c>
      <c r="C103">
        <v>70</v>
      </c>
      <c r="D103" t="s">
        <v>105</v>
      </c>
      <c r="E103">
        <v>4</v>
      </c>
      <c r="F103">
        <v>3</v>
      </c>
    </row>
    <row r="104" spans="1:6" x14ac:dyDescent="0.2">
      <c r="A104">
        <v>103</v>
      </c>
      <c r="B104">
        <v>75</v>
      </c>
      <c r="C104">
        <v>65</v>
      </c>
      <c r="D104" t="s">
        <v>125</v>
      </c>
      <c r="E104">
        <v>4</v>
      </c>
      <c r="F104">
        <v>4</v>
      </c>
    </row>
    <row r="105" spans="1:6" x14ac:dyDescent="0.2">
      <c r="A105">
        <v>104</v>
      </c>
      <c r="C105">
        <v>72</v>
      </c>
      <c r="D105" t="s">
        <v>105</v>
      </c>
      <c r="E105">
        <v>5</v>
      </c>
      <c r="F105">
        <v>4</v>
      </c>
    </row>
    <row r="106" spans="1:6" x14ac:dyDescent="0.2">
      <c r="A106">
        <v>105</v>
      </c>
      <c r="C106">
        <v>16</v>
      </c>
      <c r="D106" t="s">
        <v>111</v>
      </c>
      <c r="E106">
        <v>2</v>
      </c>
      <c r="F106">
        <v>2</v>
      </c>
    </row>
    <row r="107" spans="1:6" x14ac:dyDescent="0.2">
      <c r="A107">
        <v>106</v>
      </c>
      <c r="C107">
        <v>60</v>
      </c>
      <c r="D107" t="s">
        <v>111</v>
      </c>
      <c r="E107">
        <v>4</v>
      </c>
      <c r="F107">
        <v>4</v>
      </c>
    </row>
    <row r="108" spans="1:6" x14ac:dyDescent="0.2">
      <c r="A108">
        <v>107</v>
      </c>
      <c r="C108">
        <v>87</v>
      </c>
      <c r="D108" t="s">
        <v>97</v>
      </c>
      <c r="E108">
        <v>3</v>
      </c>
      <c r="F108">
        <v>2</v>
      </c>
    </row>
    <row r="109" spans="1:6" x14ac:dyDescent="0.2">
      <c r="A109">
        <v>108</v>
      </c>
      <c r="C109">
        <v>100</v>
      </c>
      <c r="D109" t="s">
        <v>97</v>
      </c>
      <c r="E109">
        <v>7</v>
      </c>
      <c r="F109">
        <v>5</v>
      </c>
    </row>
    <row r="110" spans="1:6" x14ac:dyDescent="0.2">
      <c r="A110">
        <v>109</v>
      </c>
      <c r="B110">
        <v>100</v>
      </c>
      <c r="C110">
        <v>100</v>
      </c>
      <c r="D110" t="s">
        <v>125</v>
      </c>
      <c r="E110">
        <v>4</v>
      </c>
      <c r="F110">
        <v>3</v>
      </c>
    </row>
    <row r="111" spans="1:6" x14ac:dyDescent="0.2">
      <c r="A111">
        <v>110</v>
      </c>
      <c r="C111">
        <v>79</v>
      </c>
      <c r="D111" t="s">
        <v>105</v>
      </c>
      <c r="E111">
        <v>8</v>
      </c>
      <c r="F111">
        <v>6</v>
      </c>
    </row>
    <row r="112" spans="1:6" x14ac:dyDescent="0.2">
      <c r="A112">
        <v>111</v>
      </c>
      <c r="B112">
        <v>60</v>
      </c>
      <c r="C112">
        <v>66</v>
      </c>
      <c r="D112" t="s">
        <v>125</v>
      </c>
      <c r="E112">
        <v>6</v>
      </c>
      <c r="F112">
        <v>5</v>
      </c>
    </row>
    <row r="113" spans="1:6" x14ac:dyDescent="0.2">
      <c r="A113">
        <v>112</v>
      </c>
      <c r="C113">
        <v>100</v>
      </c>
      <c r="D113" t="s">
        <v>105</v>
      </c>
      <c r="E113">
        <v>7</v>
      </c>
      <c r="F113">
        <v>5</v>
      </c>
    </row>
    <row r="114" spans="1:6" x14ac:dyDescent="0.2">
      <c r="A114">
        <v>113</v>
      </c>
      <c r="C114">
        <v>62</v>
      </c>
      <c r="D114" t="s">
        <v>111</v>
      </c>
      <c r="E114">
        <v>5</v>
      </c>
      <c r="F114">
        <v>5</v>
      </c>
    </row>
    <row r="115" spans="1:6" x14ac:dyDescent="0.2">
      <c r="A115">
        <v>114</v>
      </c>
      <c r="C115">
        <v>71</v>
      </c>
      <c r="D115" t="s">
        <v>111</v>
      </c>
      <c r="E115">
        <v>4</v>
      </c>
      <c r="F115">
        <v>4</v>
      </c>
    </row>
    <row r="116" spans="1:6" x14ac:dyDescent="0.2">
      <c r="A116">
        <v>115</v>
      </c>
      <c r="C116">
        <v>66</v>
      </c>
      <c r="D116" t="s">
        <v>111</v>
      </c>
      <c r="E116">
        <v>5</v>
      </c>
      <c r="F116">
        <v>5</v>
      </c>
    </row>
    <row r="117" spans="1:6" x14ac:dyDescent="0.2">
      <c r="A117">
        <v>116</v>
      </c>
      <c r="C117">
        <v>75</v>
      </c>
      <c r="D117" t="s">
        <v>97</v>
      </c>
      <c r="E117">
        <v>8</v>
      </c>
      <c r="F117">
        <v>6</v>
      </c>
    </row>
    <row r="118" spans="1:6" x14ac:dyDescent="0.2">
      <c r="A118">
        <v>117</v>
      </c>
      <c r="C118">
        <v>78</v>
      </c>
      <c r="D118" t="s">
        <v>97</v>
      </c>
      <c r="E118">
        <v>5</v>
      </c>
      <c r="F118">
        <v>4</v>
      </c>
    </row>
    <row r="119" spans="1:6" x14ac:dyDescent="0.2">
      <c r="A119">
        <v>118</v>
      </c>
      <c r="B119">
        <v>5</v>
      </c>
      <c r="C119">
        <v>5</v>
      </c>
      <c r="D119" t="s">
        <v>125</v>
      </c>
      <c r="E119">
        <v>6</v>
      </c>
      <c r="F119">
        <v>5</v>
      </c>
    </row>
    <row r="120" spans="1:6" x14ac:dyDescent="0.2">
      <c r="A120">
        <v>119</v>
      </c>
      <c r="C120">
        <v>100</v>
      </c>
      <c r="D120" t="s">
        <v>97</v>
      </c>
      <c r="E120">
        <v>6</v>
      </c>
      <c r="F120">
        <v>5</v>
      </c>
    </row>
    <row r="121" spans="1:6" x14ac:dyDescent="0.2">
      <c r="A121">
        <v>120</v>
      </c>
      <c r="C121">
        <v>19</v>
      </c>
      <c r="D121" t="s">
        <v>105</v>
      </c>
      <c r="E121">
        <v>4</v>
      </c>
      <c r="F121">
        <v>4</v>
      </c>
    </row>
    <row r="122" spans="1:6" x14ac:dyDescent="0.2">
      <c r="A122">
        <v>121</v>
      </c>
      <c r="B122">
        <v>14</v>
      </c>
      <c r="C122">
        <v>15</v>
      </c>
      <c r="D122" t="s">
        <v>125</v>
      </c>
      <c r="E122">
        <v>5</v>
      </c>
      <c r="F122">
        <v>4</v>
      </c>
    </row>
    <row r="123" spans="1:6" x14ac:dyDescent="0.2">
      <c r="A123">
        <v>122</v>
      </c>
      <c r="C123">
        <v>30</v>
      </c>
      <c r="D123" t="s">
        <v>111</v>
      </c>
      <c r="E123">
        <v>4</v>
      </c>
      <c r="F123">
        <v>4</v>
      </c>
    </row>
    <row r="124" spans="1:6" x14ac:dyDescent="0.2">
      <c r="A124">
        <v>123</v>
      </c>
      <c r="C124">
        <v>60</v>
      </c>
      <c r="D124" t="s">
        <v>97</v>
      </c>
      <c r="E124">
        <v>8</v>
      </c>
      <c r="F124">
        <v>6</v>
      </c>
    </row>
    <row r="125" spans="1:6" x14ac:dyDescent="0.2">
      <c r="A125">
        <v>124</v>
      </c>
      <c r="B125">
        <v>61</v>
      </c>
      <c r="C125">
        <v>64</v>
      </c>
      <c r="D125" t="s">
        <v>125</v>
      </c>
      <c r="E125">
        <v>7</v>
      </c>
      <c r="F125">
        <v>5</v>
      </c>
    </row>
    <row r="126" spans="1:6" x14ac:dyDescent="0.2">
      <c r="A126">
        <v>125</v>
      </c>
      <c r="B126">
        <v>73</v>
      </c>
      <c r="C126">
        <v>77</v>
      </c>
      <c r="D126" t="s">
        <v>125</v>
      </c>
      <c r="E126">
        <v>6</v>
      </c>
      <c r="F126">
        <v>5</v>
      </c>
    </row>
    <row r="127" spans="1:6" x14ac:dyDescent="0.2">
      <c r="A127">
        <v>126</v>
      </c>
      <c r="B127">
        <v>20</v>
      </c>
      <c r="C127">
        <v>25</v>
      </c>
      <c r="D127" t="s">
        <v>125</v>
      </c>
      <c r="E127">
        <v>7</v>
      </c>
      <c r="F127">
        <v>5</v>
      </c>
    </row>
    <row r="128" spans="1:6" x14ac:dyDescent="0.2">
      <c r="A128">
        <v>127</v>
      </c>
      <c r="B128">
        <v>80</v>
      </c>
      <c r="C128">
        <v>80</v>
      </c>
      <c r="D128" t="s">
        <v>125</v>
      </c>
      <c r="E128">
        <v>6</v>
      </c>
      <c r="F128">
        <v>4</v>
      </c>
    </row>
    <row r="129" spans="1:6" x14ac:dyDescent="0.2">
      <c r="A129">
        <v>128</v>
      </c>
      <c r="B129">
        <v>20</v>
      </c>
      <c r="C129">
        <v>25</v>
      </c>
      <c r="D129" t="s">
        <v>125</v>
      </c>
      <c r="E129">
        <v>7</v>
      </c>
      <c r="F129">
        <v>5</v>
      </c>
    </row>
    <row r="130" spans="1:6" x14ac:dyDescent="0.2">
      <c r="A130">
        <v>129</v>
      </c>
      <c r="C130">
        <v>68</v>
      </c>
      <c r="D130" t="s">
        <v>111</v>
      </c>
      <c r="E130">
        <v>3</v>
      </c>
      <c r="F130">
        <v>2</v>
      </c>
    </row>
    <row r="131" spans="1:6" x14ac:dyDescent="0.2">
      <c r="A131">
        <v>130</v>
      </c>
      <c r="C131">
        <v>73</v>
      </c>
      <c r="D131" t="s">
        <v>105</v>
      </c>
      <c r="E131">
        <v>2</v>
      </c>
      <c r="F131">
        <v>2</v>
      </c>
    </row>
    <row r="132" spans="1:6" x14ac:dyDescent="0.2">
      <c r="A132">
        <v>131</v>
      </c>
      <c r="B132">
        <v>15</v>
      </c>
      <c r="C132">
        <v>0</v>
      </c>
      <c r="D132" t="s">
        <v>125</v>
      </c>
      <c r="E132">
        <v>8</v>
      </c>
      <c r="F132">
        <v>6</v>
      </c>
    </row>
    <row r="133" spans="1:6" x14ac:dyDescent="0.2">
      <c r="A133">
        <v>132</v>
      </c>
      <c r="C133">
        <v>70</v>
      </c>
      <c r="D133" t="s">
        <v>105</v>
      </c>
      <c r="E133">
        <v>7</v>
      </c>
      <c r="F133">
        <v>5</v>
      </c>
    </row>
    <row r="134" spans="1:6" x14ac:dyDescent="0.2">
      <c r="A134">
        <v>133</v>
      </c>
      <c r="C134">
        <v>33</v>
      </c>
      <c r="D134" t="s">
        <v>111</v>
      </c>
      <c r="E134">
        <v>5</v>
      </c>
      <c r="F134">
        <v>4</v>
      </c>
    </row>
    <row r="135" spans="1:6" x14ac:dyDescent="0.2">
      <c r="A135">
        <v>134</v>
      </c>
      <c r="B135">
        <v>25</v>
      </c>
      <c r="C135">
        <v>33</v>
      </c>
      <c r="D135" t="s">
        <v>125</v>
      </c>
      <c r="E135">
        <v>4</v>
      </c>
      <c r="F135">
        <v>4</v>
      </c>
    </row>
    <row r="136" spans="1:6" x14ac:dyDescent="0.2">
      <c r="A136">
        <v>135</v>
      </c>
      <c r="C136">
        <v>75</v>
      </c>
      <c r="D136" t="s">
        <v>105</v>
      </c>
      <c r="E136">
        <v>5</v>
      </c>
      <c r="F136">
        <v>4</v>
      </c>
    </row>
    <row r="137" spans="1:6" x14ac:dyDescent="0.2">
      <c r="A137">
        <v>136</v>
      </c>
      <c r="C137">
        <v>90</v>
      </c>
      <c r="D137" t="s">
        <v>105</v>
      </c>
      <c r="E137">
        <v>4</v>
      </c>
      <c r="F137">
        <v>3</v>
      </c>
    </row>
    <row r="138" spans="1:6" x14ac:dyDescent="0.2">
      <c r="A138">
        <v>137</v>
      </c>
      <c r="C138">
        <v>67</v>
      </c>
      <c r="D138" t="s">
        <v>111</v>
      </c>
      <c r="E138">
        <v>4</v>
      </c>
      <c r="F138">
        <v>3</v>
      </c>
    </row>
    <row r="139" spans="1:6" x14ac:dyDescent="0.2">
      <c r="A139">
        <v>138</v>
      </c>
      <c r="C139">
        <v>60</v>
      </c>
      <c r="D139" t="s">
        <v>105</v>
      </c>
      <c r="E139">
        <v>8</v>
      </c>
      <c r="F139">
        <v>6</v>
      </c>
    </row>
    <row r="140" spans="1:6" x14ac:dyDescent="0.2">
      <c r="A140">
        <v>139</v>
      </c>
      <c r="B140">
        <v>25</v>
      </c>
      <c r="C140">
        <v>30</v>
      </c>
      <c r="D140" t="s">
        <v>125</v>
      </c>
      <c r="E140">
        <v>5</v>
      </c>
      <c r="F140">
        <v>4</v>
      </c>
    </row>
    <row r="141" spans="1:6" x14ac:dyDescent="0.2">
      <c r="A141">
        <v>140</v>
      </c>
      <c r="C141">
        <v>100</v>
      </c>
      <c r="D141" t="s">
        <v>97</v>
      </c>
      <c r="E141">
        <v>5</v>
      </c>
      <c r="F141">
        <v>4</v>
      </c>
    </row>
    <row r="142" spans="1:6" x14ac:dyDescent="0.2">
      <c r="A142">
        <v>141</v>
      </c>
      <c r="C142">
        <v>100</v>
      </c>
      <c r="D142" t="s">
        <v>97</v>
      </c>
      <c r="E142">
        <v>6</v>
      </c>
      <c r="F142">
        <v>5</v>
      </c>
    </row>
    <row r="143" spans="1:6" x14ac:dyDescent="0.2">
      <c r="A143">
        <v>142</v>
      </c>
      <c r="B143">
        <v>30</v>
      </c>
      <c r="C143">
        <v>20</v>
      </c>
      <c r="D143" t="s">
        <v>125</v>
      </c>
      <c r="E143">
        <v>7</v>
      </c>
      <c r="F143">
        <v>5</v>
      </c>
    </row>
    <row r="144" spans="1:6" x14ac:dyDescent="0.2">
      <c r="A144">
        <v>143</v>
      </c>
      <c r="C144">
        <v>42</v>
      </c>
      <c r="D144" t="s">
        <v>111</v>
      </c>
      <c r="E144">
        <v>3</v>
      </c>
      <c r="F144">
        <v>2</v>
      </c>
    </row>
    <row r="145" spans="1:6" x14ac:dyDescent="0.2">
      <c r="A145">
        <v>144</v>
      </c>
      <c r="C145">
        <v>85</v>
      </c>
      <c r="D145" t="s">
        <v>111</v>
      </c>
      <c r="E145">
        <v>6</v>
      </c>
      <c r="F145">
        <v>6</v>
      </c>
    </row>
    <row r="146" spans="1:6" x14ac:dyDescent="0.2">
      <c r="A146">
        <v>145</v>
      </c>
      <c r="C146">
        <v>79</v>
      </c>
      <c r="D146" t="s">
        <v>105</v>
      </c>
      <c r="E146">
        <v>4</v>
      </c>
      <c r="F146">
        <v>4</v>
      </c>
    </row>
    <row r="147" spans="1:6" x14ac:dyDescent="0.2">
      <c r="A147">
        <v>146</v>
      </c>
      <c r="C147">
        <v>70</v>
      </c>
      <c r="D147" t="s">
        <v>105</v>
      </c>
      <c r="E147">
        <v>7</v>
      </c>
      <c r="F147">
        <v>5</v>
      </c>
    </row>
    <row r="148" spans="1:6" x14ac:dyDescent="0.2">
      <c r="A148">
        <v>147</v>
      </c>
      <c r="B148">
        <v>20</v>
      </c>
      <c r="C148">
        <v>25</v>
      </c>
      <c r="D148" t="s">
        <v>125</v>
      </c>
      <c r="E148">
        <v>6</v>
      </c>
      <c r="F148">
        <v>4</v>
      </c>
    </row>
    <row r="149" spans="1:6" x14ac:dyDescent="0.2">
      <c r="A149">
        <v>148</v>
      </c>
      <c r="C149">
        <v>50</v>
      </c>
      <c r="D149" t="s">
        <v>97</v>
      </c>
      <c r="E149">
        <v>3</v>
      </c>
      <c r="F149">
        <v>1</v>
      </c>
    </row>
    <row r="150" spans="1:6" x14ac:dyDescent="0.2">
      <c r="A150">
        <v>149</v>
      </c>
      <c r="C150">
        <v>100</v>
      </c>
      <c r="D150" t="s">
        <v>97</v>
      </c>
      <c r="E150">
        <v>5</v>
      </c>
      <c r="F150">
        <v>5</v>
      </c>
    </row>
    <row r="151" spans="1:6" x14ac:dyDescent="0.2">
      <c r="A151">
        <v>150</v>
      </c>
      <c r="C151">
        <v>90</v>
      </c>
      <c r="D151" t="s">
        <v>97</v>
      </c>
      <c r="E151">
        <v>6</v>
      </c>
      <c r="F151">
        <v>5</v>
      </c>
    </row>
    <row r="152" spans="1:6" x14ac:dyDescent="0.2">
      <c r="A152">
        <v>151</v>
      </c>
      <c r="C152">
        <v>81</v>
      </c>
      <c r="D152" t="s">
        <v>105</v>
      </c>
      <c r="E152">
        <v>5</v>
      </c>
      <c r="F152">
        <v>4</v>
      </c>
    </row>
    <row r="153" spans="1:6" x14ac:dyDescent="0.2">
      <c r="A153">
        <v>152</v>
      </c>
      <c r="C153">
        <v>100</v>
      </c>
      <c r="D153" t="s">
        <v>97</v>
      </c>
      <c r="E153">
        <v>6</v>
      </c>
      <c r="F153">
        <v>5</v>
      </c>
    </row>
    <row r="154" spans="1:6" x14ac:dyDescent="0.2">
      <c r="A154">
        <v>153</v>
      </c>
      <c r="B154">
        <v>12</v>
      </c>
      <c r="C154">
        <v>11</v>
      </c>
      <c r="D154" t="s">
        <v>125</v>
      </c>
      <c r="E154">
        <v>5</v>
      </c>
      <c r="F154">
        <v>4</v>
      </c>
    </row>
    <row r="155" spans="1:6" x14ac:dyDescent="0.2">
      <c r="A155">
        <v>154</v>
      </c>
      <c r="C155">
        <v>100</v>
      </c>
      <c r="D155" t="s">
        <v>111</v>
      </c>
      <c r="E155">
        <v>5</v>
      </c>
      <c r="F155">
        <v>4</v>
      </c>
    </row>
    <row r="156" spans="1:6" x14ac:dyDescent="0.2">
      <c r="A156">
        <v>155</v>
      </c>
      <c r="C156">
        <v>91</v>
      </c>
      <c r="D156" t="s">
        <v>105</v>
      </c>
      <c r="E156">
        <v>5</v>
      </c>
      <c r="F156">
        <v>4</v>
      </c>
    </row>
    <row r="157" spans="1:6" x14ac:dyDescent="0.2">
      <c r="A157">
        <v>156</v>
      </c>
      <c r="C157">
        <v>70</v>
      </c>
      <c r="D157" t="s">
        <v>105</v>
      </c>
      <c r="E157">
        <v>7</v>
      </c>
      <c r="F157">
        <v>5</v>
      </c>
    </row>
    <row r="158" spans="1:6" x14ac:dyDescent="0.2">
      <c r="A158">
        <v>157</v>
      </c>
      <c r="C158">
        <v>32</v>
      </c>
      <c r="D158" t="s">
        <v>111</v>
      </c>
      <c r="E158">
        <v>6</v>
      </c>
      <c r="F158">
        <v>5</v>
      </c>
    </row>
    <row r="159" spans="1:6" x14ac:dyDescent="0.2">
      <c r="A159">
        <v>158</v>
      </c>
      <c r="C159">
        <v>90</v>
      </c>
      <c r="D159" t="s">
        <v>97</v>
      </c>
      <c r="E159">
        <v>4</v>
      </c>
      <c r="F159">
        <v>4</v>
      </c>
    </row>
    <row r="160" spans="1:6" x14ac:dyDescent="0.2">
      <c r="A160">
        <v>159</v>
      </c>
      <c r="C160">
        <v>80</v>
      </c>
      <c r="D160" t="s">
        <v>97</v>
      </c>
      <c r="E160">
        <v>6</v>
      </c>
      <c r="F160">
        <v>5</v>
      </c>
    </row>
    <row r="161" spans="1:6" x14ac:dyDescent="0.2">
      <c r="A161">
        <v>160</v>
      </c>
      <c r="C161">
        <v>0</v>
      </c>
      <c r="D161" t="s">
        <v>111</v>
      </c>
      <c r="E161">
        <v>0</v>
      </c>
      <c r="F161">
        <v>0</v>
      </c>
    </row>
    <row r="162" spans="1:6" x14ac:dyDescent="0.2">
      <c r="A162">
        <v>161</v>
      </c>
      <c r="C162">
        <v>86</v>
      </c>
      <c r="D162" t="s">
        <v>97</v>
      </c>
      <c r="E162">
        <v>7</v>
      </c>
      <c r="F162">
        <v>5</v>
      </c>
    </row>
    <row r="163" spans="1:6" x14ac:dyDescent="0.2">
      <c r="A163">
        <v>162</v>
      </c>
      <c r="C163">
        <v>100</v>
      </c>
      <c r="D163" t="s">
        <v>97</v>
      </c>
      <c r="E163">
        <v>7</v>
      </c>
      <c r="F163">
        <v>5</v>
      </c>
    </row>
    <row r="164" spans="1:6" x14ac:dyDescent="0.2">
      <c r="A164">
        <v>163</v>
      </c>
      <c r="C164">
        <v>6</v>
      </c>
      <c r="D164" t="s">
        <v>111</v>
      </c>
      <c r="E164">
        <v>5</v>
      </c>
      <c r="F164">
        <v>5</v>
      </c>
    </row>
    <row r="165" spans="1:6" x14ac:dyDescent="0.2">
      <c r="A165">
        <v>164</v>
      </c>
      <c r="C165">
        <v>10</v>
      </c>
      <c r="D165" t="s">
        <v>111</v>
      </c>
      <c r="E165">
        <v>5</v>
      </c>
      <c r="F165">
        <v>4</v>
      </c>
    </row>
    <row r="166" spans="1:6" x14ac:dyDescent="0.2">
      <c r="A166">
        <v>165</v>
      </c>
      <c r="C166">
        <v>21</v>
      </c>
      <c r="D166" t="s">
        <v>111</v>
      </c>
      <c r="E166">
        <v>3</v>
      </c>
      <c r="F166">
        <v>2</v>
      </c>
    </row>
    <row r="167" spans="1:6" x14ac:dyDescent="0.2">
      <c r="A167">
        <v>166</v>
      </c>
      <c r="C167">
        <v>43</v>
      </c>
      <c r="D167" t="s">
        <v>111</v>
      </c>
      <c r="E167">
        <v>8</v>
      </c>
      <c r="F167">
        <v>6</v>
      </c>
    </row>
    <row r="168" spans="1:6" x14ac:dyDescent="0.2">
      <c r="A168">
        <v>167</v>
      </c>
      <c r="C168">
        <v>82</v>
      </c>
      <c r="D168" t="s">
        <v>97</v>
      </c>
      <c r="E168">
        <v>7</v>
      </c>
      <c r="F168">
        <v>5</v>
      </c>
    </row>
    <row r="169" spans="1:6" x14ac:dyDescent="0.2">
      <c r="A169">
        <v>168</v>
      </c>
      <c r="C169">
        <v>85</v>
      </c>
      <c r="D169" t="s">
        <v>111</v>
      </c>
      <c r="E169">
        <v>6</v>
      </c>
      <c r="F169">
        <v>4</v>
      </c>
    </row>
    <row r="170" spans="1:6" x14ac:dyDescent="0.2">
      <c r="A170">
        <v>169</v>
      </c>
      <c r="C170">
        <v>60</v>
      </c>
      <c r="D170" t="s">
        <v>105</v>
      </c>
      <c r="E170">
        <v>8</v>
      </c>
      <c r="F170">
        <v>6</v>
      </c>
    </row>
    <row r="171" spans="1:6" x14ac:dyDescent="0.2">
      <c r="A171">
        <v>170</v>
      </c>
      <c r="B171">
        <v>60</v>
      </c>
      <c r="C171">
        <v>60</v>
      </c>
      <c r="D171" t="s">
        <v>125</v>
      </c>
      <c r="E171">
        <v>7</v>
      </c>
      <c r="F171">
        <v>5</v>
      </c>
    </row>
    <row r="172" spans="1:6" x14ac:dyDescent="0.2">
      <c r="A172">
        <v>171</v>
      </c>
      <c r="C172">
        <v>10</v>
      </c>
      <c r="D172" t="s">
        <v>111</v>
      </c>
      <c r="E172">
        <v>8</v>
      </c>
      <c r="F172">
        <v>6</v>
      </c>
    </row>
    <row r="173" spans="1:6" x14ac:dyDescent="0.2">
      <c r="A173">
        <v>172</v>
      </c>
      <c r="B173">
        <v>64</v>
      </c>
      <c r="C173">
        <v>64</v>
      </c>
      <c r="D173" t="s">
        <v>125</v>
      </c>
      <c r="E173">
        <v>7</v>
      </c>
      <c r="F173">
        <v>6</v>
      </c>
    </row>
    <row r="174" spans="1:6" x14ac:dyDescent="0.2">
      <c r="A174">
        <v>173</v>
      </c>
      <c r="C174">
        <v>79</v>
      </c>
      <c r="D174" t="s">
        <v>97</v>
      </c>
      <c r="E174">
        <v>8</v>
      </c>
      <c r="F174">
        <v>6</v>
      </c>
    </row>
    <row r="175" spans="1:6" x14ac:dyDescent="0.2">
      <c r="A175">
        <v>174</v>
      </c>
      <c r="C175">
        <v>73</v>
      </c>
      <c r="D175" t="s">
        <v>105</v>
      </c>
      <c r="E175">
        <v>4</v>
      </c>
      <c r="F175">
        <v>3</v>
      </c>
    </row>
    <row r="176" spans="1:6" x14ac:dyDescent="0.2">
      <c r="A176">
        <v>175</v>
      </c>
      <c r="C176">
        <v>20</v>
      </c>
      <c r="D176" t="s">
        <v>111</v>
      </c>
      <c r="E176">
        <v>8</v>
      </c>
      <c r="F176">
        <v>6</v>
      </c>
    </row>
    <row r="177" spans="1:6" x14ac:dyDescent="0.2">
      <c r="A177">
        <v>176</v>
      </c>
      <c r="C177">
        <v>96</v>
      </c>
      <c r="D177" t="s">
        <v>105</v>
      </c>
      <c r="E177">
        <v>3</v>
      </c>
      <c r="F177">
        <v>3</v>
      </c>
    </row>
    <row r="178" spans="1:6" x14ac:dyDescent="0.2">
      <c r="A178">
        <v>177</v>
      </c>
      <c r="B178">
        <v>50</v>
      </c>
      <c r="C178">
        <v>50</v>
      </c>
      <c r="D178" t="s">
        <v>125</v>
      </c>
      <c r="E178">
        <v>3</v>
      </c>
      <c r="F178">
        <v>2</v>
      </c>
    </row>
    <row r="179" spans="1:6" x14ac:dyDescent="0.2">
      <c r="A179">
        <v>178</v>
      </c>
      <c r="C179">
        <v>61</v>
      </c>
      <c r="D179" t="s">
        <v>111</v>
      </c>
      <c r="E179">
        <v>4</v>
      </c>
      <c r="F179">
        <v>4</v>
      </c>
    </row>
    <row r="180" spans="1:6" x14ac:dyDescent="0.2">
      <c r="A180">
        <v>179</v>
      </c>
      <c r="B180">
        <v>91</v>
      </c>
      <c r="C180">
        <v>86</v>
      </c>
      <c r="D180" t="s">
        <v>125</v>
      </c>
      <c r="E180">
        <v>3</v>
      </c>
      <c r="F180">
        <v>3</v>
      </c>
    </row>
    <row r="181" spans="1:6" x14ac:dyDescent="0.2">
      <c r="A181">
        <v>180</v>
      </c>
      <c r="B181">
        <v>10</v>
      </c>
      <c r="C181">
        <v>10</v>
      </c>
      <c r="D181" t="s">
        <v>125</v>
      </c>
      <c r="E181">
        <v>4</v>
      </c>
      <c r="F181">
        <v>4</v>
      </c>
    </row>
    <row r="182" spans="1:6" x14ac:dyDescent="0.2">
      <c r="A182">
        <v>181</v>
      </c>
      <c r="B182">
        <v>100</v>
      </c>
      <c r="C182">
        <v>100</v>
      </c>
      <c r="D182" t="s">
        <v>125</v>
      </c>
      <c r="E182">
        <v>7</v>
      </c>
      <c r="F182">
        <v>5</v>
      </c>
    </row>
    <row r="183" spans="1:6" x14ac:dyDescent="0.2">
      <c r="A183">
        <v>182</v>
      </c>
      <c r="C183">
        <v>90</v>
      </c>
      <c r="D183" t="s">
        <v>97</v>
      </c>
      <c r="E183">
        <v>5</v>
      </c>
      <c r="F183">
        <v>5</v>
      </c>
    </row>
    <row r="184" spans="1:6" x14ac:dyDescent="0.2">
      <c r="A184">
        <v>183</v>
      </c>
      <c r="B184">
        <v>25</v>
      </c>
      <c r="C184">
        <v>25</v>
      </c>
      <c r="D184" t="s">
        <v>125</v>
      </c>
      <c r="E184">
        <v>0</v>
      </c>
      <c r="F184">
        <v>0</v>
      </c>
    </row>
    <row r="185" spans="1:6" x14ac:dyDescent="0.2">
      <c r="A185">
        <v>184</v>
      </c>
      <c r="C185">
        <v>100</v>
      </c>
      <c r="D185" t="s">
        <v>105</v>
      </c>
      <c r="E185">
        <v>4</v>
      </c>
      <c r="F185">
        <v>4</v>
      </c>
    </row>
    <row r="186" spans="1:6" x14ac:dyDescent="0.2">
      <c r="A186">
        <v>185</v>
      </c>
      <c r="C186">
        <v>80</v>
      </c>
      <c r="D186" t="s">
        <v>97</v>
      </c>
      <c r="E186">
        <v>2</v>
      </c>
      <c r="F186">
        <v>2</v>
      </c>
    </row>
    <row r="187" spans="1:6" x14ac:dyDescent="0.2">
      <c r="A187">
        <v>186</v>
      </c>
      <c r="C187">
        <v>91</v>
      </c>
      <c r="D187" t="s">
        <v>111</v>
      </c>
      <c r="E187">
        <v>4</v>
      </c>
      <c r="F187">
        <v>4</v>
      </c>
    </row>
    <row r="188" spans="1:6" x14ac:dyDescent="0.2">
      <c r="A188">
        <v>187</v>
      </c>
      <c r="C188">
        <v>90</v>
      </c>
      <c r="D188" t="s">
        <v>105</v>
      </c>
      <c r="E188">
        <v>5</v>
      </c>
      <c r="F188">
        <v>3</v>
      </c>
    </row>
    <row r="189" spans="1:6" x14ac:dyDescent="0.2">
      <c r="A189">
        <v>188</v>
      </c>
      <c r="C189">
        <v>67</v>
      </c>
      <c r="D189" t="s">
        <v>97</v>
      </c>
      <c r="E189">
        <v>7</v>
      </c>
      <c r="F189">
        <v>5</v>
      </c>
    </row>
    <row r="190" spans="1:6" x14ac:dyDescent="0.2">
      <c r="A190">
        <v>189</v>
      </c>
      <c r="C190">
        <v>80</v>
      </c>
      <c r="D190" t="s">
        <v>105</v>
      </c>
      <c r="E190">
        <v>6</v>
      </c>
      <c r="F190">
        <v>5</v>
      </c>
    </row>
    <row r="191" spans="1:6" x14ac:dyDescent="0.2">
      <c r="A191">
        <v>190</v>
      </c>
      <c r="C191">
        <v>70</v>
      </c>
      <c r="D191" t="s">
        <v>97</v>
      </c>
      <c r="E191">
        <v>7</v>
      </c>
      <c r="F191">
        <v>5</v>
      </c>
    </row>
    <row r="192" spans="1:6" x14ac:dyDescent="0.2">
      <c r="A192">
        <v>191</v>
      </c>
      <c r="B192">
        <v>70</v>
      </c>
      <c r="C192">
        <v>62</v>
      </c>
      <c r="D192" t="s">
        <v>125</v>
      </c>
      <c r="E192">
        <v>2</v>
      </c>
      <c r="F192">
        <v>1</v>
      </c>
    </row>
    <row r="193" spans="1:6" x14ac:dyDescent="0.2">
      <c r="A193">
        <v>192</v>
      </c>
      <c r="C193">
        <v>85</v>
      </c>
      <c r="D193" t="s">
        <v>105</v>
      </c>
      <c r="E193">
        <v>4</v>
      </c>
      <c r="F193">
        <v>4</v>
      </c>
    </row>
    <row r="194" spans="1:6" x14ac:dyDescent="0.2">
      <c r="A194">
        <v>193</v>
      </c>
      <c r="B194">
        <v>56</v>
      </c>
      <c r="C194">
        <v>79</v>
      </c>
      <c r="D194" t="s">
        <v>125</v>
      </c>
      <c r="E194">
        <v>2</v>
      </c>
      <c r="F194">
        <v>2</v>
      </c>
    </row>
    <row r="195" spans="1:6" x14ac:dyDescent="0.2">
      <c r="A195">
        <v>194</v>
      </c>
      <c r="C195">
        <v>91</v>
      </c>
      <c r="D195" t="s">
        <v>105</v>
      </c>
      <c r="E195">
        <v>7</v>
      </c>
      <c r="F195">
        <v>5</v>
      </c>
    </row>
    <row r="196" spans="1:6" x14ac:dyDescent="0.2">
      <c r="A196">
        <v>195</v>
      </c>
      <c r="B196">
        <v>42</v>
      </c>
      <c r="C196">
        <v>35</v>
      </c>
      <c r="D196" t="s">
        <v>125</v>
      </c>
      <c r="E196">
        <v>5</v>
      </c>
      <c r="F196">
        <v>5</v>
      </c>
    </row>
    <row r="197" spans="1:6" x14ac:dyDescent="0.2">
      <c r="A197">
        <v>196</v>
      </c>
      <c r="C197">
        <v>35</v>
      </c>
      <c r="D197" t="s">
        <v>111</v>
      </c>
      <c r="E197">
        <v>7</v>
      </c>
      <c r="F197">
        <v>5</v>
      </c>
    </row>
    <row r="198" spans="1:6" x14ac:dyDescent="0.2">
      <c r="A198">
        <v>197</v>
      </c>
      <c r="B198">
        <v>26</v>
      </c>
      <c r="C198">
        <v>20</v>
      </c>
      <c r="D198" t="s">
        <v>125</v>
      </c>
      <c r="E198">
        <v>4</v>
      </c>
      <c r="F198">
        <v>3</v>
      </c>
    </row>
    <row r="199" spans="1:6" x14ac:dyDescent="0.2">
      <c r="A199">
        <v>198</v>
      </c>
      <c r="B199">
        <v>5</v>
      </c>
      <c r="C199">
        <v>5</v>
      </c>
      <c r="D199" t="s">
        <v>125</v>
      </c>
      <c r="E199">
        <v>8</v>
      </c>
      <c r="F199">
        <v>6</v>
      </c>
    </row>
    <row r="200" spans="1:6" x14ac:dyDescent="0.2">
      <c r="A200">
        <v>199</v>
      </c>
      <c r="C200">
        <v>50</v>
      </c>
      <c r="D200" t="s">
        <v>111</v>
      </c>
      <c r="E200">
        <v>6</v>
      </c>
      <c r="F200">
        <v>6</v>
      </c>
    </row>
    <row r="201" spans="1:6" x14ac:dyDescent="0.2">
      <c r="A201">
        <v>200</v>
      </c>
      <c r="C201">
        <v>50</v>
      </c>
      <c r="D201" t="s">
        <v>111</v>
      </c>
      <c r="E201">
        <v>2</v>
      </c>
      <c r="F201">
        <v>2</v>
      </c>
    </row>
    <row r="202" spans="1:6" x14ac:dyDescent="0.2">
      <c r="A202">
        <v>201</v>
      </c>
      <c r="B202">
        <v>76</v>
      </c>
      <c r="C202">
        <v>92</v>
      </c>
      <c r="D202" t="s">
        <v>125</v>
      </c>
      <c r="E202">
        <v>5</v>
      </c>
      <c r="F202">
        <v>5</v>
      </c>
    </row>
    <row r="203" spans="1:6" x14ac:dyDescent="0.2">
      <c r="A203">
        <v>202</v>
      </c>
      <c r="C203">
        <v>72</v>
      </c>
      <c r="D203" t="s">
        <v>111</v>
      </c>
      <c r="E203">
        <v>7</v>
      </c>
      <c r="F203">
        <v>5</v>
      </c>
    </row>
    <row r="204" spans="1:6" x14ac:dyDescent="0.2">
      <c r="A204">
        <v>203</v>
      </c>
      <c r="C204">
        <v>99</v>
      </c>
      <c r="D204" t="s">
        <v>97</v>
      </c>
      <c r="E204">
        <v>4</v>
      </c>
      <c r="F204">
        <v>4</v>
      </c>
    </row>
    <row r="205" spans="1:6" x14ac:dyDescent="0.2">
      <c r="A205">
        <v>204</v>
      </c>
      <c r="C205">
        <v>75</v>
      </c>
      <c r="D205" t="s">
        <v>105</v>
      </c>
      <c r="E205">
        <v>8</v>
      </c>
      <c r="F205">
        <v>6</v>
      </c>
    </row>
    <row r="206" spans="1:6" x14ac:dyDescent="0.2">
      <c r="A206">
        <v>205</v>
      </c>
      <c r="C206">
        <v>100</v>
      </c>
      <c r="D206" t="s">
        <v>105</v>
      </c>
      <c r="E206">
        <v>3</v>
      </c>
      <c r="F206">
        <v>3</v>
      </c>
    </row>
    <row r="207" spans="1:6" x14ac:dyDescent="0.2">
      <c r="A207">
        <v>206</v>
      </c>
      <c r="C207">
        <v>29</v>
      </c>
      <c r="D207" t="s">
        <v>111</v>
      </c>
      <c r="E207">
        <v>7</v>
      </c>
      <c r="F207">
        <v>5</v>
      </c>
    </row>
    <row r="208" spans="1:6" x14ac:dyDescent="0.2">
      <c r="A208">
        <v>207</v>
      </c>
      <c r="C208">
        <v>84</v>
      </c>
      <c r="D208" t="s">
        <v>105</v>
      </c>
      <c r="E208">
        <v>6</v>
      </c>
      <c r="F208">
        <v>5</v>
      </c>
    </row>
    <row r="209" spans="1:6" x14ac:dyDescent="0.2">
      <c r="A209">
        <v>208</v>
      </c>
      <c r="B209">
        <v>50</v>
      </c>
      <c r="C209">
        <v>60</v>
      </c>
      <c r="D209" t="s">
        <v>125</v>
      </c>
      <c r="E209">
        <v>8</v>
      </c>
      <c r="F209">
        <v>6</v>
      </c>
    </row>
    <row r="210" spans="1:6" x14ac:dyDescent="0.2">
      <c r="A210">
        <v>209</v>
      </c>
      <c r="C210">
        <v>100</v>
      </c>
      <c r="D210" t="s">
        <v>105</v>
      </c>
      <c r="E210">
        <v>6</v>
      </c>
      <c r="F210">
        <v>5</v>
      </c>
    </row>
    <row r="211" spans="1:6" x14ac:dyDescent="0.2">
      <c r="A211">
        <v>210</v>
      </c>
      <c r="B211">
        <v>21</v>
      </c>
      <c r="C211">
        <v>43</v>
      </c>
      <c r="D211" t="s">
        <v>125</v>
      </c>
      <c r="E211">
        <v>4</v>
      </c>
      <c r="F211">
        <v>4</v>
      </c>
    </row>
    <row r="212" spans="1:6" x14ac:dyDescent="0.2">
      <c r="A212">
        <v>211</v>
      </c>
      <c r="B212">
        <v>70</v>
      </c>
      <c r="C212">
        <v>91</v>
      </c>
      <c r="D212" t="s">
        <v>125</v>
      </c>
      <c r="E212">
        <v>6</v>
      </c>
      <c r="F212">
        <v>5</v>
      </c>
    </row>
    <row r="213" spans="1:6" x14ac:dyDescent="0.2">
      <c r="A213">
        <v>212</v>
      </c>
      <c r="C213">
        <v>95</v>
      </c>
      <c r="D213" t="s">
        <v>111</v>
      </c>
      <c r="E213">
        <v>5</v>
      </c>
      <c r="F213">
        <v>4</v>
      </c>
    </row>
    <row r="214" spans="1:6" x14ac:dyDescent="0.2">
      <c r="A214">
        <v>213</v>
      </c>
      <c r="C214">
        <v>100</v>
      </c>
      <c r="D214" t="s">
        <v>97</v>
      </c>
      <c r="E214">
        <v>7</v>
      </c>
      <c r="F214">
        <v>5</v>
      </c>
    </row>
    <row r="215" spans="1:6" x14ac:dyDescent="0.2">
      <c r="A215">
        <v>214</v>
      </c>
      <c r="C215">
        <v>46</v>
      </c>
      <c r="D215" t="s">
        <v>111</v>
      </c>
      <c r="E215">
        <v>7</v>
      </c>
      <c r="F215">
        <v>6</v>
      </c>
    </row>
    <row r="216" spans="1:6" x14ac:dyDescent="0.2">
      <c r="A216">
        <v>215</v>
      </c>
      <c r="B216">
        <v>25</v>
      </c>
      <c r="C216">
        <v>60</v>
      </c>
      <c r="D216" t="s">
        <v>125</v>
      </c>
      <c r="E216">
        <v>3</v>
      </c>
      <c r="F216">
        <v>2</v>
      </c>
    </row>
    <row r="217" spans="1:6" x14ac:dyDescent="0.2">
      <c r="A217">
        <v>216</v>
      </c>
      <c r="C217">
        <v>40</v>
      </c>
      <c r="D217" t="s">
        <v>105</v>
      </c>
      <c r="E217">
        <v>7</v>
      </c>
      <c r="F217">
        <v>5</v>
      </c>
    </row>
    <row r="218" spans="1:6" x14ac:dyDescent="0.2">
      <c r="A218">
        <v>217</v>
      </c>
      <c r="C218">
        <v>100</v>
      </c>
      <c r="D218" t="s">
        <v>111</v>
      </c>
      <c r="E218">
        <v>1</v>
      </c>
      <c r="F218">
        <v>1</v>
      </c>
    </row>
    <row r="219" spans="1:6" x14ac:dyDescent="0.2">
      <c r="A219">
        <v>218</v>
      </c>
      <c r="C219">
        <v>75</v>
      </c>
      <c r="D219" t="s">
        <v>105</v>
      </c>
      <c r="E219">
        <v>4</v>
      </c>
      <c r="F219">
        <v>3</v>
      </c>
    </row>
    <row r="220" spans="1:6" x14ac:dyDescent="0.2">
      <c r="A220">
        <v>219</v>
      </c>
      <c r="C220">
        <v>100</v>
      </c>
      <c r="D220" t="s">
        <v>105</v>
      </c>
      <c r="E220">
        <v>7</v>
      </c>
      <c r="F220">
        <v>5</v>
      </c>
    </row>
    <row r="221" spans="1:6" x14ac:dyDescent="0.2">
      <c r="A221">
        <v>220</v>
      </c>
      <c r="C221">
        <v>61</v>
      </c>
      <c r="D221" t="s">
        <v>105</v>
      </c>
      <c r="E221">
        <v>3</v>
      </c>
      <c r="F221">
        <v>3</v>
      </c>
    </row>
    <row r="222" spans="1:6" x14ac:dyDescent="0.2">
      <c r="A222">
        <v>221</v>
      </c>
      <c r="C222">
        <v>30</v>
      </c>
      <c r="D222" t="s">
        <v>105</v>
      </c>
      <c r="E222">
        <v>7</v>
      </c>
      <c r="F222">
        <v>5</v>
      </c>
    </row>
    <row r="223" spans="1:6" x14ac:dyDescent="0.2">
      <c r="A223">
        <v>222</v>
      </c>
      <c r="B223">
        <v>55</v>
      </c>
      <c r="C223">
        <v>55</v>
      </c>
      <c r="D223" t="s">
        <v>125</v>
      </c>
      <c r="E223">
        <v>6</v>
      </c>
      <c r="F223">
        <v>5</v>
      </c>
    </row>
    <row r="224" spans="1:6" x14ac:dyDescent="0.2">
      <c r="A224">
        <v>223</v>
      </c>
      <c r="B224">
        <v>5</v>
      </c>
      <c r="C224">
        <v>1</v>
      </c>
      <c r="D224" t="s">
        <v>125</v>
      </c>
      <c r="E224">
        <v>6</v>
      </c>
      <c r="F224">
        <v>5</v>
      </c>
    </row>
    <row r="225" spans="1:6" x14ac:dyDescent="0.2">
      <c r="A225">
        <v>224</v>
      </c>
      <c r="C225">
        <v>50</v>
      </c>
      <c r="D225" t="s">
        <v>105</v>
      </c>
      <c r="E225">
        <v>7</v>
      </c>
      <c r="F225">
        <v>5</v>
      </c>
    </row>
    <row r="226" spans="1:6" x14ac:dyDescent="0.2">
      <c r="A226">
        <v>225</v>
      </c>
      <c r="C226">
        <v>90</v>
      </c>
      <c r="D226" t="s">
        <v>97</v>
      </c>
      <c r="E226">
        <v>4</v>
      </c>
      <c r="F226">
        <v>2</v>
      </c>
    </row>
    <row r="227" spans="1:6" x14ac:dyDescent="0.2">
      <c r="A227">
        <v>226</v>
      </c>
      <c r="C227">
        <v>90</v>
      </c>
      <c r="D227" t="s">
        <v>97</v>
      </c>
      <c r="E227">
        <v>3</v>
      </c>
      <c r="F227">
        <v>3</v>
      </c>
    </row>
    <row r="228" spans="1:6" x14ac:dyDescent="0.2">
      <c r="A228">
        <v>227</v>
      </c>
      <c r="C228">
        <v>47</v>
      </c>
      <c r="D228" t="s">
        <v>111</v>
      </c>
      <c r="E228">
        <v>3</v>
      </c>
      <c r="F228">
        <v>3</v>
      </c>
    </row>
    <row r="229" spans="1:6" x14ac:dyDescent="0.2">
      <c r="A229">
        <v>228</v>
      </c>
      <c r="B229">
        <v>20</v>
      </c>
      <c r="C229">
        <v>15</v>
      </c>
      <c r="D229" t="s">
        <v>125</v>
      </c>
      <c r="E229">
        <v>5</v>
      </c>
      <c r="F229">
        <v>5</v>
      </c>
    </row>
    <row r="230" spans="1:6" x14ac:dyDescent="0.2">
      <c r="A230">
        <v>229</v>
      </c>
      <c r="C230">
        <v>71</v>
      </c>
      <c r="D230" t="s">
        <v>97</v>
      </c>
      <c r="E230">
        <v>3</v>
      </c>
      <c r="F230">
        <v>3</v>
      </c>
    </row>
    <row r="231" spans="1:6" x14ac:dyDescent="0.2">
      <c r="A231">
        <v>230</v>
      </c>
      <c r="C231">
        <v>80</v>
      </c>
      <c r="D231" t="s">
        <v>97</v>
      </c>
      <c r="E231">
        <v>4</v>
      </c>
      <c r="F231">
        <v>4</v>
      </c>
    </row>
    <row r="232" spans="1:6" x14ac:dyDescent="0.2">
      <c r="A232">
        <v>231</v>
      </c>
      <c r="C232">
        <v>78</v>
      </c>
      <c r="D232" t="s">
        <v>97</v>
      </c>
      <c r="E232">
        <v>3</v>
      </c>
      <c r="F232">
        <v>2</v>
      </c>
    </row>
    <row r="233" spans="1:6" x14ac:dyDescent="0.2">
      <c r="A233">
        <v>232</v>
      </c>
      <c r="C233">
        <v>4</v>
      </c>
      <c r="D233" t="s">
        <v>111</v>
      </c>
      <c r="E233">
        <v>5</v>
      </c>
      <c r="F233">
        <v>5</v>
      </c>
    </row>
    <row r="234" spans="1:6" x14ac:dyDescent="0.2">
      <c r="A234">
        <v>233</v>
      </c>
      <c r="C234">
        <v>100</v>
      </c>
      <c r="D234" t="s">
        <v>105</v>
      </c>
      <c r="E234">
        <v>3</v>
      </c>
      <c r="F234">
        <v>2</v>
      </c>
    </row>
    <row r="235" spans="1:6" x14ac:dyDescent="0.2">
      <c r="A235">
        <v>234</v>
      </c>
      <c r="B235">
        <v>100</v>
      </c>
      <c r="C235">
        <v>100</v>
      </c>
      <c r="D235" t="s">
        <v>125</v>
      </c>
      <c r="E235">
        <v>7</v>
      </c>
      <c r="F235">
        <v>5</v>
      </c>
    </row>
    <row r="236" spans="1:6" x14ac:dyDescent="0.2">
      <c r="A236">
        <v>235</v>
      </c>
      <c r="C236">
        <v>0</v>
      </c>
      <c r="D236" t="s">
        <v>105</v>
      </c>
      <c r="E236">
        <v>2</v>
      </c>
      <c r="F236">
        <v>2</v>
      </c>
    </row>
    <row r="237" spans="1:6" x14ac:dyDescent="0.2">
      <c r="A237">
        <v>236</v>
      </c>
      <c r="B237">
        <v>7</v>
      </c>
      <c r="C237">
        <v>5</v>
      </c>
      <c r="D237" t="s">
        <v>125</v>
      </c>
      <c r="E237">
        <v>8</v>
      </c>
      <c r="F237">
        <v>6</v>
      </c>
    </row>
    <row r="238" spans="1:6" x14ac:dyDescent="0.2">
      <c r="A238">
        <v>237</v>
      </c>
      <c r="C238">
        <v>0</v>
      </c>
      <c r="D238" t="s">
        <v>105</v>
      </c>
      <c r="E238">
        <v>2</v>
      </c>
      <c r="F238">
        <v>2</v>
      </c>
    </row>
    <row r="239" spans="1:6" x14ac:dyDescent="0.2">
      <c r="A239">
        <v>238</v>
      </c>
      <c r="C239">
        <v>91</v>
      </c>
      <c r="D239" t="s">
        <v>97</v>
      </c>
      <c r="E239">
        <v>5</v>
      </c>
      <c r="F239">
        <v>3</v>
      </c>
    </row>
    <row r="240" spans="1:6" x14ac:dyDescent="0.2">
      <c r="A240">
        <v>239</v>
      </c>
      <c r="C240">
        <v>77</v>
      </c>
      <c r="D240" t="s">
        <v>105</v>
      </c>
      <c r="E240">
        <v>5</v>
      </c>
      <c r="F240">
        <v>5</v>
      </c>
    </row>
    <row r="241" spans="1:6" x14ac:dyDescent="0.2">
      <c r="A241">
        <v>240</v>
      </c>
      <c r="C241">
        <v>51</v>
      </c>
      <c r="D241" t="s">
        <v>97</v>
      </c>
      <c r="E241">
        <v>5</v>
      </c>
      <c r="F241">
        <v>5</v>
      </c>
    </row>
    <row r="242" spans="1:6" x14ac:dyDescent="0.2">
      <c r="A242">
        <v>241</v>
      </c>
      <c r="C242">
        <v>82</v>
      </c>
      <c r="D242" t="s">
        <v>97</v>
      </c>
      <c r="E242">
        <v>3</v>
      </c>
      <c r="F242">
        <v>3</v>
      </c>
    </row>
    <row r="243" spans="1:6" x14ac:dyDescent="0.2">
      <c r="A243">
        <v>242</v>
      </c>
      <c r="C243">
        <v>20</v>
      </c>
      <c r="D243" t="s">
        <v>111</v>
      </c>
      <c r="E243">
        <v>7</v>
      </c>
      <c r="F243">
        <v>5</v>
      </c>
    </row>
    <row r="244" spans="1:6" x14ac:dyDescent="0.2">
      <c r="A244">
        <v>243</v>
      </c>
      <c r="C244">
        <v>100</v>
      </c>
      <c r="D244" t="s">
        <v>97</v>
      </c>
      <c r="E244">
        <v>5</v>
      </c>
      <c r="F244">
        <v>5</v>
      </c>
    </row>
    <row r="245" spans="1:6" x14ac:dyDescent="0.2">
      <c r="A245">
        <v>244</v>
      </c>
      <c r="C245">
        <v>82</v>
      </c>
      <c r="D245" t="s">
        <v>97</v>
      </c>
      <c r="E245">
        <v>4</v>
      </c>
      <c r="F245">
        <v>3</v>
      </c>
    </row>
    <row r="246" spans="1:6" x14ac:dyDescent="0.2">
      <c r="A246">
        <v>245</v>
      </c>
      <c r="C246">
        <v>74</v>
      </c>
      <c r="D246" t="s">
        <v>97</v>
      </c>
      <c r="E246">
        <v>6</v>
      </c>
      <c r="F246">
        <v>4</v>
      </c>
    </row>
    <row r="247" spans="1:6" x14ac:dyDescent="0.2">
      <c r="A247">
        <v>246</v>
      </c>
      <c r="C247">
        <v>56</v>
      </c>
      <c r="D247" t="s">
        <v>111</v>
      </c>
      <c r="E247">
        <v>5</v>
      </c>
      <c r="F247">
        <v>5</v>
      </c>
    </row>
    <row r="248" spans="1:6" x14ac:dyDescent="0.2">
      <c r="A248">
        <v>247</v>
      </c>
      <c r="C248">
        <v>50</v>
      </c>
      <c r="D248" t="s">
        <v>105</v>
      </c>
      <c r="E248">
        <v>6</v>
      </c>
      <c r="F248">
        <v>5</v>
      </c>
    </row>
    <row r="249" spans="1:6" x14ac:dyDescent="0.2">
      <c r="A249">
        <v>248</v>
      </c>
      <c r="C249">
        <v>70</v>
      </c>
      <c r="D249" t="s">
        <v>97</v>
      </c>
      <c r="E249">
        <v>4</v>
      </c>
      <c r="F249">
        <v>4</v>
      </c>
    </row>
    <row r="250" spans="1:6" x14ac:dyDescent="0.2">
      <c r="A250">
        <v>249</v>
      </c>
      <c r="C250">
        <v>73</v>
      </c>
      <c r="D250" t="s">
        <v>111</v>
      </c>
      <c r="E250">
        <v>6</v>
      </c>
      <c r="F250">
        <v>4</v>
      </c>
    </row>
    <row r="251" spans="1:6" x14ac:dyDescent="0.2">
      <c r="A251">
        <v>250</v>
      </c>
      <c r="C251">
        <v>10</v>
      </c>
      <c r="D251" t="s">
        <v>111</v>
      </c>
      <c r="E251">
        <v>6</v>
      </c>
      <c r="F251">
        <v>6</v>
      </c>
    </row>
    <row r="252" spans="1:6" x14ac:dyDescent="0.2">
      <c r="A252">
        <v>251</v>
      </c>
      <c r="C252">
        <v>50</v>
      </c>
      <c r="D252" t="s">
        <v>105</v>
      </c>
      <c r="E252">
        <v>4</v>
      </c>
      <c r="F252">
        <v>4</v>
      </c>
    </row>
    <row r="253" spans="1:6" x14ac:dyDescent="0.2">
      <c r="A253">
        <v>252</v>
      </c>
      <c r="C253">
        <v>57</v>
      </c>
      <c r="D253" t="s">
        <v>97</v>
      </c>
      <c r="E253">
        <v>7</v>
      </c>
      <c r="F253">
        <v>5</v>
      </c>
    </row>
    <row r="254" spans="1:6" x14ac:dyDescent="0.2">
      <c r="A254">
        <v>253</v>
      </c>
      <c r="B254">
        <v>0</v>
      </c>
      <c r="C254">
        <v>20</v>
      </c>
      <c r="D254" t="s">
        <v>125</v>
      </c>
      <c r="E254">
        <v>7</v>
      </c>
      <c r="F254">
        <v>5</v>
      </c>
    </row>
    <row r="255" spans="1:6" x14ac:dyDescent="0.2">
      <c r="A255">
        <v>254</v>
      </c>
      <c r="B255">
        <v>80</v>
      </c>
      <c r="C255">
        <v>55</v>
      </c>
      <c r="D255" t="s">
        <v>125</v>
      </c>
      <c r="E255">
        <v>6</v>
      </c>
      <c r="F255">
        <v>4</v>
      </c>
    </row>
    <row r="256" spans="1:6" x14ac:dyDescent="0.2">
      <c r="A256">
        <v>255</v>
      </c>
      <c r="C256">
        <v>89</v>
      </c>
      <c r="D256" t="s">
        <v>111</v>
      </c>
      <c r="E256">
        <v>2</v>
      </c>
      <c r="F256">
        <v>2</v>
      </c>
    </row>
    <row r="257" spans="1:6" x14ac:dyDescent="0.2">
      <c r="A257">
        <v>256</v>
      </c>
      <c r="C257">
        <v>71</v>
      </c>
      <c r="D257" t="s">
        <v>97</v>
      </c>
      <c r="E257">
        <v>5</v>
      </c>
      <c r="F257">
        <v>5</v>
      </c>
    </row>
    <row r="258" spans="1:6" x14ac:dyDescent="0.2">
      <c r="A258">
        <v>257</v>
      </c>
      <c r="C258">
        <v>85</v>
      </c>
      <c r="D258" t="s">
        <v>111</v>
      </c>
      <c r="E258">
        <v>5</v>
      </c>
      <c r="F258">
        <v>4</v>
      </c>
    </row>
    <row r="259" spans="1:6" x14ac:dyDescent="0.2">
      <c r="A259">
        <v>258</v>
      </c>
      <c r="B259">
        <v>30</v>
      </c>
      <c r="C259">
        <v>11</v>
      </c>
      <c r="D259" t="s">
        <v>125</v>
      </c>
      <c r="E259">
        <v>6</v>
      </c>
      <c r="F259">
        <v>5</v>
      </c>
    </row>
    <row r="260" spans="1:6" x14ac:dyDescent="0.2">
      <c r="A260">
        <v>259</v>
      </c>
      <c r="C260">
        <v>50</v>
      </c>
      <c r="D260" t="s">
        <v>111</v>
      </c>
      <c r="E260">
        <v>8</v>
      </c>
      <c r="F260">
        <v>6</v>
      </c>
    </row>
    <row r="261" spans="1:6" x14ac:dyDescent="0.2">
      <c r="A261">
        <v>260</v>
      </c>
      <c r="B261">
        <v>70</v>
      </c>
      <c r="C261">
        <v>94</v>
      </c>
      <c r="D261" t="s">
        <v>125</v>
      </c>
      <c r="E261">
        <v>4</v>
      </c>
      <c r="F261">
        <v>4</v>
      </c>
    </row>
    <row r="262" spans="1:6" x14ac:dyDescent="0.2">
      <c r="A262">
        <v>261</v>
      </c>
      <c r="C262">
        <v>87</v>
      </c>
      <c r="D262" t="s">
        <v>105</v>
      </c>
      <c r="E262">
        <v>7</v>
      </c>
      <c r="F262">
        <v>5</v>
      </c>
    </row>
    <row r="263" spans="1:6" x14ac:dyDescent="0.2">
      <c r="A263">
        <v>262</v>
      </c>
      <c r="C263">
        <v>68</v>
      </c>
      <c r="D263" t="s">
        <v>105</v>
      </c>
      <c r="E263">
        <v>7</v>
      </c>
      <c r="F263">
        <v>6</v>
      </c>
    </row>
    <row r="264" spans="1:6" x14ac:dyDescent="0.2">
      <c r="A264">
        <v>263</v>
      </c>
      <c r="C264">
        <v>100</v>
      </c>
      <c r="D264" t="s">
        <v>105</v>
      </c>
      <c r="E264">
        <v>6</v>
      </c>
      <c r="F264">
        <v>5</v>
      </c>
    </row>
    <row r="265" spans="1:6" x14ac:dyDescent="0.2">
      <c r="A265">
        <v>264</v>
      </c>
      <c r="C265">
        <v>100</v>
      </c>
      <c r="D265" t="s">
        <v>105</v>
      </c>
      <c r="E265">
        <v>4</v>
      </c>
      <c r="F265">
        <v>3</v>
      </c>
    </row>
    <row r="266" spans="1:6" x14ac:dyDescent="0.2">
      <c r="A266">
        <v>265</v>
      </c>
      <c r="C266">
        <v>90</v>
      </c>
      <c r="D266" t="s">
        <v>97</v>
      </c>
      <c r="E266">
        <v>7</v>
      </c>
      <c r="F266">
        <v>5</v>
      </c>
    </row>
    <row r="267" spans="1:6" x14ac:dyDescent="0.2">
      <c r="A267">
        <v>266</v>
      </c>
      <c r="C267">
        <v>50</v>
      </c>
      <c r="D267" t="s">
        <v>97</v>
      </c>
      <c r="E267">
        <v>2</v>
      </c>
      <c r="F267">
        <v>2</v>
      </c>
    </row>
    <row r="268" spans="1:6" x14ac:dyDescent="0.2">
      <c r="A268">
        <v>267</v>
      </c>
      <c r="C268">
        <v>71</v>
      </c>
      <c r="D268" t="s">
        <v>97</v>
      </c>
      <c r="E268">
        <v>5</v>
      </c>
      <c r="F268">
        <v>5</v>
      </c>
    </row>
    <row r="269" spans="1:6" x14ac:dyDescent="0.2">
      <c r="A269">
        <v>268</v>
      </c>
      <c r="C269">
        <v>18</v>
      </c>
      <c r="D269" t="s">
        <v>105</v>
      </c>
      <c r="E269">
        <v>2</v>
      </c>
      <c r="F269">
        <v>1</v>
      </c>
    </row>
    <row r="270" spans="1:6" x14ac:dyDescent="0.2">
      <c r="A270">
        <v>269</v>
      </c>
      <c r="C270">
        <v>100</v>
      </c>
      <c r="D270" t="s">
        <v>105</v>
      </c>
      <c r="E270">
        <v>7</v>
      </c>
      <c r="F270">
        <v>5</v>
      </c>
    </row>
    <row r="271" spans="1:6" x14ac:dyDescent="0.2">
      <c r="A271">
        <v>270</v>
      </c>
      <c r="C271">
        <v>90</v>
      </c>
      <c r="D271" t="s">
        <v>111</v>
      </c>
      <c r="E271">
        <v>4</v>
      </c>
      <c r="F271">
        <v>4</v>
      </c>
    </row>
    <row r="272" spans="1:6" x14ac:dyDescent="0.2">
      <c r="A272">
        <v>271</v>
      </c>
      <c r="C272">
        <v>80</v>
      </c>
      <c r="D272" t="s">
        <v>97</v>
      </c>
      <c r="E272">
        <v>7</v>
      </c>
      <c r="F272">
        <v>5</v>
      </c>
    </row>
    <row r="273" spans="1:6" x14ac:dyDescent="0.2">
      <c r="A273">
        <v>272</v>
      </c>
      <c r="C273">
        <v>60</v>
      </c>
      <c r="D273" t="s">
        <v>97</v>
      </c>
      <c r="E273">
        <v>6</v>
      </c>
      <c r="F273">
        <v>5</v>
      </c>
    </row>
    <row r="274" spans="1:6" x14ac:dyDescent="0.2">
      <c r="A274">
        <v>273</v>
      </c>
      <c r="C274">
        <v>60</v>
      </c>
      <c r="D274" t="s">
        <v>105</v>
      </c>
      <c r="E274">
        <v>7</v>
      </c>
      <c r="F274">
        <v>5</v>
      </c>
    </row>
    <row r="275" spans="1:6" x14ac:dyDescent="0.2">
      <c r="A275">
        <v>274</v>
      </c>
      <c r="C275">
        <v>50</v>
      </c>
      <c r="D275" t="s">
        <v>97</v>
      </c>
      <c r="E275">
        <v>7</v>
      </c>
      <c r="F275">
        <v>5</v>
      </c>
    </row>
    <row r="276" spans="1:6" x14ac:dyDescent="0.2">
      <c r="A276">
        <v>275</v>
      </c>
      <c r="C276">
        <v>100</v>
      </c>
      <c r="D276" t="s">
        <v>97</v>
      </c>
      <c r="E276">
        <v>3</v>
      </c>
      <c r="F276">
        <v>3</v>
      </c>
    </row>
    <row r="277" spans="1:6" x14ac:dyDescent="0.2">
      <c r="A277">
        <v>276</v>
      </c>
      <c r="C277">
        <v>35</v>
      </c>
      <c r="D277" t="s">
        <v>105</v>
      </c>
      <c r="E277">
        <v>8</v>
      </c>
      <c r="F277">
        <v>6</v>
      </c>
    </row>
    <row r="278" spans="1:6" x14ac:dyDescent="0.2">
      <c r="A278">
        <v>277</v>
      </c>
      <c r="C278">
        <v>68</v>
      </c>
      <c r="D278" t="s">
        <v>111</v>
      </c>
      <c r="E278">
        <v>7</v>
      </c>
      <c r="F278">
        <v>5</v>
      </c>
    </row>
    <row r="279" spans="1:6" x14ac:dyDescent="0.2">
      <c r="A279">
        <v>278</v>
      </c>
      <c r="B279">
        <v>17</v>
      </c>
      <c r="C279">
        <v>6</v>
      </c>
      <c r="D279" t="s">
        <v>125</v>
      </c>
      <c r="E279">
        <v>8</v>
      </c>
      <c r="F279">
        <v>6</v>
      </c>
    </row>
    <row r="280" spans="1:6" x14ac:dyDescent="0.2">
      <c r="A280">
        <v>279</v>
      </c>
      <c r="C280">
        <v>100</v>
      </c>
      <c r="D280" t="s">
        <v>111</v>
      </c>
      <c r="E280">
        <v>5</v>
      </c>
      <c r="F280">
        <v>5</v>
      </c>
    </row>
    <row r="281" spans="1:6" x14ac:dyDescent="0.2">
      <c r="A281">
        <v>280</v>
      </c>
      <c r="B281">
        <v>20</v>
      </c>
      <c r="C281">
        <v>30</v>
      </c>
      <c r="D281" t="s">
        <v>125</v>
      </c>
      <c r="E281">
        <v>7</v>
      </c>
      <c r="F281">
        <v>5</v>
      </c>
    </row>
    <row r="282" spans="1:6" x14ac:dyDescent="0.2">
      <c r="A282">
        <v>281</v>
      </c>
      <c r="C282">
        <v>82</v>
      </c>
      <c r="D282" t="s">
        <v>111</v>
      </c>
      <c r="E282">
        <v>6</v>
      </c>
      <c r="F282">
        <v>4</v>
      </c>
    </row>
    <row r="283" spans="1:6" x14ac:dyDescent="0.2">
      <c r="A283">
        <v>282</v>
      </c>
      <c r="B283">
        <v>27</v>
      </c>
      <c r="C283">
        <v>15</v>
      </c>
      <c r="D283" t="s">
        <v>125</v>
      </c>
      <c r="E283">
        <v>5</v>
      </c>
      <c r="F283">
        <v>5</v>
      </c>
    </row>
    <row r="284" spans="1:6" x14ac:dyDescent="0.2">
      <c r="A284">
        <v>283</v>
      </c>
      <c r="C284">
        <v>15</v>
      </c>
      <c r="D284" t="s">
        <v>111</v>
      </c>
      <c r="E284">
        <v>8</v>
      </c>
      <c r="F284">
        <v>6</v>
      </c>
    </row>
    <row r="285" spans="1:6" x14ac:dyDescent="0.2">
      <c r="A285">
        <v>284</v>
      </c>
      <c r="C285">
        <v>77</v>
      </c>
      <c r="D285" t="s">
        <v>97</v>
      </c>
      <c r="E285">
        <v>6</v>
      </c>
      <c r="F285">
        <v>5</v>
      </c>
    </row>
    <row r="286" spans="1:6" x14ac:dyDescent="0.2">
      <c r="A286">
        <v>285</v>
      </c>
      <c r="C286">
        <v>100</v>
      </c>
      <c r="D286" t="s">
        <v>97</v>
      </c>
      <c r="E286">
        <v>7</v>
      </c>
      <c r="F286">
        <v>6</v>
      </c>
    </row>
    <row r="287" spans="1:6" x14ac:dyDescent="0.2">
      <c r="A287">
        <v>286</v>
      </c>
      <c r="B287">
        <v>10</v>
      </c>
      <c r="C287">
        <v>9</v>
      </c>
      <c r="D287" t="s">
        <v>125</v>
      </c>
      <c r="E287">
        <v>5</v>
      </c>
      <c r="F287">
        <v>5</v>
      </c>
    </row>
    <row r="288" spans="1:6" x14ac:dyDescent="0.2">
      <c r="A288">
        <v>287</v>
      </c>
      <c r="C288">
        <v>79</v>
      </c>
      <c r="D288" t="s">
        <v>111</v>
      </c>
      <c r="E288">
        <v>3</v>
      </c>
      <c r="F288">
        <v>2</v>
      </c>
    </row>
    <row r="289" spans="1:6" x14ac:dyDescent="0.2">
      <c r="A289">
        <v>288</v>
      </c>
      <c r="B289">
        <v>40</v>
      </c>
      <c r="C289">
        <v>60</v>
      </c>
      <c r="D289" t="s">
        <v>125</v>
      </c>
      <c r="E289">
        <v>7</v>
      </c>
      <c r="F289">
        <v>5</v>
      </c>
    </row>
    <row r="290" spans="1:6" x14ac:dyDescent="0.2">
      <c r="A290">
        <v>289</v>
      </c>
      <c r="C290">
        <v>88</v>
      </c>
      <c r="D290" t="s">
        <v>97</v>
      </c>
      <c r="E290">
        <v>3</v>
      </c>
      <c r="F290">
        <v>3</v>
      </c>
    </row>
    <row r="291" spans="1:6" x14ac:dyDescent="0.2">
      <c r="A291">
        <v>290</v>
      </c>
      <c r="C291">
        <v>28</v>
      </c>
      <c r="D291" t="s">
        <v>111</v>
      </c>
      <c r="E291">
        <v>6</v>
      </c>
      <c r="F291">
        <v>5</v>
      </c>
    </row>
    <row r="292" spans="1:6" x14ac:dyDescent="0.2">
      <c r="A292">
        <v>291</v>
      </c>
      <c r="C292">
        <v>45</v>
      </c>
      <c r="D292" t="s">
        <v>105</v>
      </c>
      <c r="E292">
        <v>8</v>
      </c>
      <c r="F292">
        <v>6</v>
      </c>
    </row>
    <row r="293" spans="1:6" x14ac:dyDescent="0.2">
      <c r="A293">
        <v>292</v>
      </c>
      <c r="C293">
        <v>40</v>
      </c>
      <c r="D293" t="s">
        <v>111</v>
      </c>
      <c r="E293">
        <v>5</v>
      </c>
      <c r="F293">
        <v>5</v>
      </c>
    </row>
    <row r="294" spans="1:6" x14ac:dyDescent="0.2">
      <c r="A294">
        <v>293</v>
      </c>
      <c r="C294">
        <v>100</v>
      </c>
      <c r="D294" t="s">
        <v>97</v>
      </c>
      <c r="E294">
        <v>2</v>
      </c>
      <c r="F294">
        <v>2</v>
      </c>
    </row>
    <row r="295" spans="1:6" x14ac:dyDescent="0.2">
      <c r="A295">
        <v>294</v>
      </c>
      <c r="C295">
        <v>0</v>
      </c>
      <c r="D295" t="s">
        <v>111</v>
      </c>
      <c r="E295">
        <v>7</v>
      </c>
      <c r="F295">
        <v>5</v>
      </c>
    </row>
    <row r="296" spans="1:6" x14ac:dyDescent="0.2">
      <c r="A296">
        <v>295</v>
      </c>
      <c r="C296">
        <v>90</v>
      </c>
      <c r="D296" t="s">
        <v>97</v>
      </c>
      <c r="E296">
        <v>7</v>
      </c>
      <c r="F296">
        <v>5</v>
      </c>
    </row>
    <row r="297" spans="1:6" x14ac:dyDescent="0.2">
      <c r="A297">
        <v>296</v>
      </c>
      <c r="C297">
        <v>38</v>
      </c>
      <c r="D297" t="s">
        <v>105</v>
      </c>
      <c r="E297">
        <v>5</v>
      </c>
      <c r="F297">
        <v>3</v>
      </c>
    </row>
    <row r="298" spans="1:6" x14ac:dyDescent="0.2">
      <c r="A298">
        <v>297</v>
      </c>
      <c r="C298">
        <v>100</v>
      </c>
      <c r="D298" t="s">
        <v>111</v>
      </c>
      <c r="E298">
        <v>5</v>
      </c>
      <c r="F298">
        <v>5</v>
      </c>
    </row>
    <row r="299" spans="1:6" x14ac:dyDescent="0.2">
      <c r="A299">
        <v>298</v>
      </c>
      <c r="C299">
        <v>41</v>
      </c>
      <c r="D299" t="s">
        <v>111</v>
      </c>
      <c r="E299">
        <v>6</v>
      </c>
      <c r="F299">
        <v>5</v>
      </c>
    </row>
    <row r="300" spans="1:6" x14ac:dyDescent="0.2">
      <c r="A300">
        <v>299</v>
      </c>
      <c r="B300">
        <v>30</v>
      </c>
      <c r="C300">
        <v>30</v>
      </c>
      <c r="D300" t="s">
        <v>125</v>
      </c>
      <c r="E300">
        <v>7</v>
      </c>
      <c r="F300">
        <v>5</v>
      </c>
    </row>
    <row r="301" spans="1:6" x14ac:dyDescent="0.2">
      <c r="A301">
        <v>300</v>
      </c>
      <c r="C301">
        <v>40</v>
      </c>
      <c r="D301" t="s">
        <v>111</v>
      </c>
      <c r="E301">
        <v>6</v>
      </c>
      <c r="F301">
        <v>5</v>
      </c>
    </row>
    <row r="302" spans="1:6" x14ac:dyDescent="0.2">
      <c r="A302">
        <v>301</v>
      </c>
      <c r="B302">
        <v>80</v>
      </c>
      <c r="C302">
        <v>90</v>
      </c>
      <c r="D302" t="s">
        <v>125</v>
      </c>
      <c r="E302">
        <v>5</v>
      </c>
      <c r="F302">
        <v>4</v>
      </c>
    </row>
    <row r="303" spans="1:6" x14ac:dyDescent="0.2">
      <c r="A303">
        <v>302</v>
      </c>
      <c r="B303">
        <v>81</v>
      </c>
      <c r="C303">
        <v>98</v>
      </c>
      <c r="D303" t="s">
        <v>125</v>
      </c>
      <c r="E303">
        <v>3</v>
      </c>
      <c r="F303">
        <v>3</v>
      </c>
    </row>
    <row r="304" spans="1:6" x14ac:dyDescent="0.2">
      <c r="A304">
        <v>303</v>
      </c>
      <c r="C304">
        <v>100</v>
      </c>
      <c r="D304" t="s">
        <v>105</v>
      </c>
      <c r="E304">
        <v>5</v>
      </c>
      <c r="F304">
        <v>3</v>
      </c>
    </row>
    <row r="305" spans="1:6" x14ac:dyDescent="0.2">
      <c r="A305">
        <v>304</v>
      </c>
      <c r="C305">
        <v>64</v>
      </c>
      <c r="D305" t="s">
        <v>105</v>
      </c>
      <c r="E305">
        <v>6</v>
      </c>
      <c r="F305">
        <v>4</v>
      </c>
    </row>
    <row r="306" spans="1:6" x14ac:dyDescent="0.2">
      <c r="A306">
        <v>305</v>
      </c>
      <c r="C306">
        <v>85</v>
      </c>
      <c r="D306" t="s">
        <v>97</v>
      </c>
      <c r="E306">
        <v>5</v>
      </c>
      <c r="F306">
        <v>3</v>
      </c>
    </row>
    <row r="307" spans="1:6" x14ac:dyDescent="0.2">
      <c r="A307">
        <v>306</v>
      </c>
      <c r="B307">
        <v>40</v>
      </c>
      <c r="C307">
        <v>19</v>
      </c>
      <c r="D307" t="s">
        <v>125</v>
      </c>
      <c r="E307">
        <v>7</v>
      </c>
      <c r="F307">
        <v>6</v>
      </c>
    </row>
    <row r="308" spans="1:6" x14ac:dyDescent="0.2">
      <c r="A308">
        <v>307</v>
      </c>
      <c r="B308">
        <v>71</v>
      </c>
      <c r="C308">
        <v>71</v>
      </c>
      <c r="D308" t="s">
        <v>125</v>
      </c>
      <c r="E308">
        <v>7</v>
      </c>
      <c r="F308">
        <v>5</v>
      </c>
    </row>
    <row r="309" spans="1:6" x14ac:dyDescent="0.2">
      <c r="A309">
        <v>308</v>
      </c>
      <c r="C309">
        <v>52</v>
      </c>
      <c r="D309" t="s">
        <v>111</v>
      </c>
      <c r="E309">
        <v>4</v>
      </c>
      <c r="F309">
        <v>3</v>
      </c>
    </row>
    <row r="310" spans="1:6" x14ac:dyDescent="0.2">
      <c r="A310">
        <v>309</v>
      </c>
      <c r="B310">
        <v>30</v>
      </c>
      <c r="C310">
        <v>35</v>
      </c>
      <c r="D310" t="s">
        <v>125</v>
      </c>
      <c r="E310">
        <v>8</v>
      </c>
      <c r="F310">
        <v>6</v>
      </c>
    </row>
    <row r="311" spans="1:6" x14ac:dyDescent="0.2">
      <c r="A311">
        <v>310</v>
      </c>
      <c r="C311">
        <v>39</v>
      </c>
      <c r="D311" t="s">
        <v>97</v>
      </c>
      <c r="E311">
        <v>2</v>
      </c>
      <c r="F311">
        <v>2</v>
      </c>
    </row>
    <row r="312" spans="1:6" x14ac:dyDescent="0.2">
      <c r="A312">
        <v>311</v>
      </c>
      <c r="C312">
        <v>60</v>
      </c>
      <c r="D312" t="s">
        <v>105</v>
      </c>
      <c r="E312">
        <v>5</v>
      </c>
      <c r="F312">
        <v>5</v>
      </c>
    </row>
    <row r="313" spans="1:6" x14ac:dyDescent="0.2">
      <c r="A313">
        <v>312</v>
      </c>
      <c r="C313">
        <v>54</v>
      </c>
      <c r="D313" t="s">
        <v>111</v>
      </c>
      <c r="E313">
        <v>6</v>
      </c>
      <c r="F313">
        <v>4</v>
      </c>
    </row>
    <row r="314" spans="1:6" x14ac:dyDescent="0.2">
      <c r="A314">
        <v>313</v>
      </c>
      <c r="B314">
        <v>76</v>
      </c>
      <c r="C314">
        <v>75</v>
      </c>
      <c r="D314" t="s">
        <v>125</v>
      </c>
      <c r="E314">
        <v>2</v>
      </c>
      <c r="F314">
        <v>2</v>
      </c>
    </row>
    <row r="315" spans="1:6" x14ac:dyDescent="0.2">
      <c r="A315">
        <v>314</v>
      </c>
      <c r="C315">
        <v>32</v>
      </c>
      <c r="D315" t="s">
        <v>111</v>
      </c>
      <c r="E315">
        <v>7</v>
      </c>
      <c r="F315">
        <v>6</v>
      </c>
    </row>
    <row r="316" spans="1:6" x14ac:dyDescent="0.2">
      <c r="A316">
        <v>315</v>
      </c>
      <c r="C316">
        <v>70</v>
      </c>
      <c r="D316" t="s">
        <v>111</v>
      </c>
      <c r="E316">
        <v>7</v>
      </c>
      <c r="F316">
        <v>5</v>
      </c>
    </row>
    <row r="317" spans="1:6" x14ac:dyDescent="0.2">
      <c r="A317">
        <v>316</v>
      </c>
      <c r="C317">
        <v>80</v>
      </c>
      <c r="D317" t="s">
        <v>105</v>
      </c>
      <c r="E317">
        <v>7</v>
      </c>
      <c r="F317">
        <v>6</v>
      </c>
    </row>
    <row r="318" spans="1:6" x14ac:dyDescent="0.2">
      <c r="A318">
        <v>317</v>
      </c>
      <c r="C318">
        <v>0</v>
      </c>
      <c r="D318" t="s">
        <v>111</v>
      </c>
      <c r="E318">
        <v>4</v>
      </c>
      <c r="F318">
        <v>4</v>
      </c>
    </row>
    <row r="319" spans="1:6" x14ac:dyDescent="0.2">
      <c r="A319">
        <v>318</v>
      </c>
      <c r="C319">
        <v>77</v>
      </c>
      <c r="D319" t="s">
        <v>111</v>
      </c>
      <c r="E319">
        <v>3</v>
      </c>
      <c r="F319">
        <v>3</v>
      </c>
    </row>
    <row r="320" spans="1:6" x14ac:dyDescent="0.2">
      <c r="A320">
        <v>319</v>
      </c>
      <c r="C320">
        <v>15</v>
      </c>
      <c r="D320" t="s">
        <v>111</v>
      </c>
      <c r="E320">
        <v>6</v>
      </c>
      <c r="F320">
        <v>5</v>
      </c>
    </row>
    <row r="321" spans="1:6" x14ac:dyDescent="0.2">
      <c r="A321">
        <v>320</v>
      </c>
      <c r="C321">
        <v>65</v>
      </c>
      <c r="D321" t="s">
        <v>105</v>
      </c>
      <c r="E321">
        <v>3</v>
      </c>
      <c r="F321">
        <v>2</v>
      </c>
    </row>
    <row r="322" spans="1:6" x14ac:dyDescent="0.2">
      <c r="A322">
        <v>321</v>
      </c>
      <c r="C322">
        <v>68</v>
      </c>
      <c r="D322" t="s">
        <v>97</v>
      </c>
      <c r="E322">
        <v>6</v>
      </c>
      <c r="F322">
        <v>5</v>
      </c>
    </row>
    <row r="323" spans="1:6" x14ac:dyDescent="0.2">
      <c r="A323">
        <v>322</v>
      </c>
      <c r="C323">
        <v>61</v>
      </c>
      <c r="D323" t="s">
        <v>105</v>
      </c>
      <c r="E323">
        <v>8</v>
      </c>
      <c r="F323">
        <v>6</v>
      </c>
    </row>
    <row r="324" spans="1:6" x14ac:dyDescent="0.2">
      <c r="A324">
        <v>323</v>
      </c>
      <c r="C324">
        <v>85</v>
      </c>
      <c r="D324" t="s">
        <v>105</v>
      </c>
      <c r="E324">
        <v>6</v>
      </c>
      <c r="F324">
        <v>5</v>
      </c>
    </row>
    <row r="325" spans="1:6" x14ac:dyDescent="0.2">
      <c r="A325">
        <v>324</v>
      </c>
      <c r="B325">
        <v>76</v>
      </c>
      <c r="C325">
        <v>70</v>
      </c>
      <c r="D325" t="s">
        <v>125</v>
      </c>
      <c r="E325">
        <v>3</v>
      </c>
      <c r="F325">
        <v>3</v>
      </c>
    </row>
    <row r="326" spans="1:6" x14ac:dyDescent="0.2">
      <c r="A326">
        <v>325</v>
      </c>
      <c r="B326">
        <v>6</v>
      </c>
      <c r="C326">
        <v>5</v>
      </c>
      <c r="D326" t="s">
        <v>125</v>
      </c>
      <c r="E326">
        <v>7</v>
      </c>
      <c r="F326">
        <v>5</v>
      </c>
    </row>
    <row r="327" spans="1:6" x14ac:dyDescent="0.2">
      <c r="A327">
        <v>326</v>
      </c>
      <c r="B327">
        <v>25</v>
      </c>
      <c r="C327">
        <v>20</v>
      </c>
      <c r="D327" t="s">
        <v>125</v>
      </c>
      <c r="E327">
        <v>7</v>
      </c>
      <c r="F327">
        <v>5</v>
      </c>
    </row>
    <row r="328" spans="1:6" x14ac:dyDescent="0.2">
      <c r="A328">
        <v>327</v>
      </c>
      <c r="C328">
        <v>94</v>
      </c>
      <c r="D328" t="s">
        <v>97</v>
      </c>
      <c r="E328">
        <v>6</v>
      </c>
      <c r="F328">
        <v>5</v>
      </c>
    </row>
    <row r="329" spans="1:6" x14ac:dyDescent="0.2">
      <c r="A329">
        <v>328</v>
      </c>
      <c r="C329">
        <v>73</v>
      </c>
      <c r="D329" t="s">
        <v>97</v>
      </c>
      <c r="E329">
        <v>7</v>
      </c>
      <c r="F329">
        <v>5</v>
      </c>
    </row>
    <row r="330" spans="1:6" x14ac:dyDescent="0.2">
      <c r="A330">
        <v>329</v>
      </c>
      <c r="C330">
        <v>100</v>
      </c>
      <c r="D330" t="s">
        <v>97</v>
      </c>
      <c r="E330">
        <v>7</v>
      </c>
      <c r="F330">
        <v>5</v>
      </c>
    </row>
    <row r="331" spans="1:6" x14ac:dyDescent="0.2">
      <c r="A331">
        <v>330</v>
      </c>
      <c r="C331">
        <v>10</v>
      </c>
      <c r="D331" t="s">
        <v>111</v>
      </c>
      <c r="E331">
        <v>8</v>
      </c>
      <c r="F331">
        <v>6</v>
      </c>
    </row>
    <row r="332" spans="1:6" x14ac:dyDescent="0.2">
      <c r="A332">
        <v>331</v>
      </c>
      <c r="C332">
        <v>51</v>
      </c>
      <c r="D332" t="s">
        <v>97</v>
      </c>
      <c r="E332">
        <v>6</v>
      </c>
      <c r="F332">
        <v>5</v>
      </c>
    </row>
    <row r="333" spans="1:6" x14ac:dyDescent="0.2">
      <c r="A333">
        <v>332</v>
      </c>
      <c r="B333">
        <v>0</v>
      </c>
      <c r="C333">
        <v>0</v>
      </c>
      <c r="D333" t="s">
        <v>125</v>
      </c>
      <c r="E333">
        <v>5</v>
      </c>
      <c r="F333">
        <v>5</v>
      </c>
    </row>
    <row r="334" spans="1:6" x14ac:dyDescent="0.2">
      <c r="A334">
        <v>333</v>
      </c>
      <c r="B334">
        <v>100</v>
      </c>
      <c r="C334">
        <v>100</v>
      </c>
      <c r="D334" t="s">
        <v>125</v>
      </c>
      <c r="E334">
        <v>6</v>
      </c>
      <c r="F334">
        <v>5</v>
      </c>
    </row>
    <row r="335" spans="1:6" x14ac:dyDescent="0.2">
      <c r="A335">
        <v>334</v>
      </c>
      <c r="C335">
        <v>71</v>
      </c>
      <c r="D335" t="s">
        <v>97</v>
      </c>
      <c r="E335">
        <v>2</v>
      </c>
      <c r="F335">
        <v>2</v>
      </c>
    </row>
    <row r="336" spans="1:6" x14ac:dyDescent="0.2">
      <c r="A336">
        <v>335</v>
      </c>
      <c r="C336">
        <v>60</v>
      </c>
      <c r="D336" t="s">
        <v>105</v>
      </c>
      <c r="E336">
        <v>5</v>
      </c>
      <c r="F336">
        <v>5</v>
      </c>
    </row>
    <row r="337" spans="1:6" x14ac:dyDescent="0.2">
      <c r="A337">
        <v>336</v>
      </c>
      <c r="C337">
        <v>100</v>
      </c>
      <c r="D337" t="s">
        <v>105</v>
      </c>
      <c r="E337">
        <v>4</v>
      </c>
      <c r="F337">
        <v>4</v>
      </c>
    </row>
    <row r="338" spans="1:6" x14ac:dyDescent="0.2">
      <c r="A338">
        <v>337</v>
      </c>
      <c r="C338">
        <v>60</v>
      </c>
      <c r="D338" t="s">
        <v>111</v>
      </c>
      <c r="E338">
        <v>5</v>
      </c>
      <c r="F338">
        <v>5</v>
      </c>
    </row>
    <row r="339" spans="1:6" x14ac:dyDescent="0.2">
      <c r="A339">
        <v>338</v>
      </c>
      <c r="C339">
        <v>61</v>
      </c>
      <c r="D339" t="s">
        <v>105</v>
      </c>
      <c r="E339">
        <v>5</v>
      </c>
      <c r="F339">
        <v>5</v>
      </c>
    </row>
    <row r="340" spans="1:6" x14ac:dyDescent="0.2">
      <c r="A340">
        <v>339</v>
      </c>
      <c r="C340">
        <v>92</v>
      </c>
      <c r="D340" t="s">
        <v>97</v>
      </c>
      <c r="E340">
        <v>7</v>
      </c>
      <c r="F340">
        <v>5</v>
      </c>
    </row>
    <row r="341" spans="1:6" x14ac:dyDescent="0.2">
      <c r="A341">
        <v>342</v>
      </c>
      <c r="B341">
        <v>50</v>
      </c>
      <c r="C341">
        <v>50</v>
      </c>
      <c r="D341" t="s">
        <v>125</v>
      </c>
      <c r="E341">
        <v>3</v>
      </c>
      <c r="F341">
        <v>3</v>
      </c>
    </row>
    <row r="342" spans="1:6" x14ac:dyDescent="0.2">
      <c r="A342">
        <v>343</v>
      </c>
      <c r="C342">
        <v>100</v>
      </c>
      <c r="D342" t="s">
        <v>111</v>
      </c>
      <c r="E342">
        <v>4</v>
      </c>
      <c r="F342">
        <v>3</v>
      </c>
    </row>
    <row r="343" spans="1:6" x14ac:dyDescent="0.2">
      <c r="A343">
        <v>344</v>
      </c>
      <c r="B343">
        <v>15</v>
      </c>
      <c r="C343">
        <v>25</v>
      </c>
      <c r="D343" t="s">
        <v>125</v>
      </c>
      <c r="E343">
        <v>5</v>
      </c>
      <c r="F343">
        <v>4</v>
      </c>
    </row>
    <row r="344" spans="1:6" x14ac:dyDescent="0.2">
      <c r="A344">
        <v>345</v>
      </c>
      <c r="C344">
        <v>70</v>
      </c>
      <c r="D344" t="s">
        <v>105</v>
      </c>
      <c r="E344">
        <v>7</v>
      </c>
      <c r="F344">
        <v>5</v>
      </c>
    </row>
    <row r="345" spans="1:6" x14ac:dyDescent="0.2">
      <c r="A345">
        <v>346</v>
      </c>
      <c r="C345">
        <v>10</v>
      </c>
      <c r="D345" t="s">
        <v>111</v>
      </c>
      <c r="E345">
        <v>7</v>
      </c>
      <c r="F345">
        <v>5</v>
      </c>
    </row>
    <row r="346" spans="1:6" x14ac:dyDescent="0.2">
      <c r="A346">
        <v>347</v>
      </c>
      <c r="C346">
        <v>20</v>
      </c>
      <c r="D346" t="s">
        <v>111</v>
      </c>
      <c r="E346">
        <v>6</v>
      </c>
      <c r="F346">
        <v>4</v>
      </c>
    </row>
    <row r="347" spans="1:6" x14ac:dyDescent="0.2">
      <c r="A347">
        <v>348</v>
      </c>
      <c r="B347">
        <v>14</v>
      </c>
      <c r="C347">
        <v>7</v>
      </c>
      <c r="D347" t="s">
        <v>125</v>
      </c>
      <c r="E347">
        <v>7</v>
      </c>
      <c r="F347">
        <v>5</v>
      </c>
    </row>
    <row r="348" spans="1:6" x14ac:dyDescent="0.2">
      <c r="A348">
        <v>349</v>
      </c>
      <c r="B348">
        <v>81</v>
      </c>
      <c r="C348">
        <v>79</v>
      </c>
      <c r="D348" t="s">
        <v>125</v>
      </c>
      <c r="E348">
        <v>4</v>
      </c>
      <c r="F348">
        <v>4</v>
      </c>
    </row>
    <row r="349" spans="1:6" x14ac:dyDescent="0.2">
      <c r="A349">
        <v>350</v>
      </c>
      <c r="B349">
        <v>75</v>
      </c>
      <c r="C349">
        <v>61</v>
      </c>
      <c r="D349" t="s">
        <v>125</v>
      </c>
      <c r="E349">
        <v>5</v>
      </c>
      <c r="F349">
        <v>5</v>
      </c>
    </row>
    <row r="350" spans="1:6" x14ac:dyDescent="0.2">
      <c r="A350">
        <v>351</v>
      </c>
      <c r="C350">
        <v>79</v>
      </c>
      <c r="D350" t="s">
        <v>97</v>
      </c>
      <c r="E350">
        <v>5</v>
      </c>
      <c r="F350">
        <v>3</v>
      </c>
    </row>
    <row r="351" spans="1:6" x14ac:dyDescent="0.2">
      <c r="A351">
        <v>352</v>
      </c>
      <c r="C351">
        <v>100</v>
      </c>
      <c r="D351" t="s">
        <v>105</v>
      </c>
      <c r="E351">
        <v>5</v>
      </c>
      <c r="F351">
        <v>5</v>
      </c>
    </row>
    <row r="352" spans="1:6" x14ac:dyDescent="0.2">
      <c r="A352">
        <v>353</v>
      </c>
      <c r="C352">
        <v>60</v>
      </c>
      <c r="D352" t="s">
        <v>97</v>
      </c>
      <c r="E352">
        <v>7</v>
      </c>
      <c r="F352">
        <v>5</v>
      </c>
    </row>
    <row r="353" spans="1:6" x14ac:dyDescent="0.2">
      <c r="A353">
        <v>354</v>
      </c>
      <c r="C353">
        <v>96</v>
      </c>
      <c r="D353" t="s">
        <v>105</v>
      </c>
      <c r="E353">
        <v>3</v>
      </c>
      <c r="F353">
        <v>3</v>
      </c>
    </row>
    <row r="354" spans="1:6" x14ac:dyDescent="0.2">
      <c r="A354">
        <v>355</v>
      </c>
      <c r="C354">
        <v>90</v>
      </c>
      <c r="D354" t="s">
        <v>97</v>
      </c>
      <c r="E354">
        <v>5</v>
      </c>
      <c r="F354">
        <v>4</v>
      </c>
    </row>
    <row r="355" spans="1:6" x14ac:dyDescent="0.2">
      <c r="A355">
        <v>356</v>
      </c>
      <c r="C355">
        <v>49</v>
      </c>
      <c r="D355" t="s">
        <v>97</v>
      </c>
      <c r="E355">
        <v>5</v>
      </c>
      <c r="F355">
        <v>3</v>
      </c>
    </row>
    <row r="356" spans="1:6" x14ac:dyDescent="0.2">
      <c r="A356">
        <v>357</v>
      </c>
      <c r="C356">
        <v>80</v>
      </c>
      <c r="D356" t="s">
        <v>97</v>
      </c>
      <c r="E356">
        <v>7</v>
      </c>
      <c r="F356">
        <v>5</v>
      </c>
    </row>
    <row r="357" spans="1:6" x14ac:dyDescent="0.2">
      <c r="A357">
        <v>358</v>
      </c>
      <c r="B357">
        <v>80</v>
      </c>
      <c r="C357">
        <v>82</v>
      </c>
      <c r="D357" t="s">
        <v>125</v>
      </c>
      <c r="E357">
        <v>4</v>
      </c>
      <c r="F357">
        <v>3</v>
      </c>
    </row>
    <row r="358" spans="1:6" x14ac:dyDescent="0.2">
      <c r="A358">
        <v>359</v>
      </c>
      <c r="C358">
        <v>45</v>
      </c>
      <c r="D358" t="s">
        <v>111</v>
      </c>
      <c r="E358">
        <v>7</v>
      </c>
      <c r="F358">
        <v>5</v>
      </c>
    </row>
    <row r="359" spans="1:6" x14ac:dyDescent="0.2">
      <c r="A359">
        <v>360</v>
      </c>
      <c r="B359">
        <v>81</v>
      </c>
      <c r="C359">
        <v>86</v>
      </c>
      <c r="D359" t="s">
        <v>125</v>
      </c>
      <c r="E359">
        <v>6</v>
      </c>
      <c r="F359">
        <v>6</v>
      </c>
    </row>
    <row r="360" spans="1:6" x14ac:dyDescent="0.2">
      <c r="A360">
        <v>361</v>
      </c>
      <c r="C360">
        <v>88</v>
      </c>
      <c r="D360" t="s">
        <v>105</v>
      </c>
      <c r="E360">
        <v>7</v>
      </c>
      <c r="F360">
        <v>5</v>
      </c>
    </row>
    <row r="361" spans="1:6" x14ac:dyDescent="0.2">
      <c r="A361">
        <v>362</v>
      </c>
      <c r="C361">
        <v>15</v>
      </c>
      <c r="D361" t="s">
        <v>111</v>
      </c>
      <c r="E361">
        <v>7</v>
      </c>
      <c r="F361">
        <v>5</v>
      </c>
    </row>
    <row r="362" spans="1:6" x14ac:dyDescent="0.2">
      <c r="A362">
        <v>363</v>
      </c>
      <c r="C362">
        <v>100</v>
      </c>
      <c r="D362" t="s">
        <v>105</v>
      </c>
      <c r="E362">
        <v>7</v>
      </c>
      <c r="F362">
        <v>5</v>
      </c>
    </row>
    <row r="363" spans="1:6" x14ac:dyDescent="0.2">
      <c r="A363">
        <v>364</v>
      </c>
      <c r="B363">
        <v>85</v>
      </c>
      <c r="C363">
        <v>90</v>
      </c>
      <c r="D363" t="s">
        <v>125</v>
      </c>
      <c r="E363">
        <v>7</v>
      </c>
      <c r="F363">
        <v>5</v>
      </c>
    </row>
    <row r="364" spans="1:6" x14ac:dyDescent="0.2">
      <c r="A364">
        <v>365</v>
      </c>
      <c r="C364">
        <v>70</v>
      </c>
      <c r="D364" t="s">
        <v>111</v>
      </c>
      <c r="E364">
        <v>5</v>
      </c>
      <c r="F364">
        <v>4</v>
      </c>
    </row>
    <row r="365" spans="1:6" x14ac:dyDescent="0.2">
      <c r="A365">
        <v>366</v>
      </c>
      <c r="C365">
        <v>100</v>
      </c>
      <c r="D365" t="s">
        <v>105</v>
      </c>
      <c r="E365">
        <v>4</v>
      </c>
      <c r="F365">
        <v>4</v>
      </c>
    </row>
    <row r="366" spans="1:6" x14ac:dyDescent="0.2">
      <c r="A366">
        <v>367</v>
      </c>
      <c r="C366">
        <v>70</v>
      </c>
      <c r="D366" t="s">
        <v>105</v>
      </c>
      <c r="E366">
        <v>8</v>
      </c>
      <c r="F366">
        <v>6</v>
      </c>
    </row>
    <row r="367" spans="1:6" x14ac:dyDescent="0.2">
      <c r="A367">
        <v>368</v>
      </c>
      <c r="B367">
        <v>5</v>
      </c>
      <c r="C367">
        <v>1</v>
      </c>
      <c r="D367" t="s">
        <v>125</v>
      </c>
      <c r="E367">
        <v>8</v>
      </c>
      <c r="F367">
        <v>6</v>
      </c>
    </row>
    <row r="368" spans="1:6" x14ac:dyDescent="0.2">
      <c r="A368">
        <v>369</v>
      </c>
      <c r="C368">
        <v>0</v>
      </c>
      <c r="D368" t="s">
        <v>111</v>
      </c>
      <c r="E368">
        <v>6</v>
      </c>
      <c r="F368">
        <v>5</v>
      </c>
    </row>
    <row r="369" spans="1:6" x14ac:dyDescent="0.2">
      <c r="A369">
        <v>370</v>
      </c>
      <c r="C369">
        <v>66</v>
      </c>
      <c r="D369" t="s">
        <v>105</v>
      </c>
      <c r="E369">
        <v>4</v>
      </c>
      <c r="F369">
        <v>4</v>
      </c>
    </row>
    <row r="370" spans="1:6" x14ac:dyDescent="0.2">
      <c r="A370">
        <v>371</v>
      </c>
      <c r="C370">
        <v>47</v>
      </c>
      <c r="D370" t="s">
        <v>97</v>
      </c>
      <c r="E370">
        <v>4</v>
      </c>
      <c r="F370">
        <v>3</v>
      </c>
    </row>
    <row r="371" spans="1:6" x14ac:dyDescent="0.2">
      <c r="A371">
        <v>372</v>
      </c>
      <c r="B371">
        <v>74</v>
      </c>
      <c r="C371">
        <v>93</v>
      </c>
      <c r="D371" t="s">
        <v>125</v>
      </c>
      <c r="E371">
        <v>3</v>
      </c>
      <c r="F371">
        <v>1</v>
      </c>
    </row>
    <row r="372" spans="1:6" x14ac:dyDescent="0.2">
      <c r="A372">
        <v>373</v>
      </c>
      <c r="C372">
        <v>79</v>
      </c>
      <c r="D372" t="s">
        <v>105</v>
      </c>
      <c r="E372">
        <v>3</v>
      </c>
      <c r="F372">
        <v>2</v>
      </c>
    </row>
    <row r="373" spans="1:6" x14ac:dyDescent="0.2">
      <c r="A373">
        <v>374</v>
      </c>
      <c r="B373">
        <v>65</v>
      </c>
      <c r="C373">
        <v>70</v>
      </c>
      <c r="D373" t="s">
        <v>125</v>
      </c>
      <c r="E373">
        <v>6</v>
      </c>
      <c r="F373">
        <v>5</v>
      </c>
    </row>
    <row r="374" spans="1:6" x14ac:dyDescent="0.2">
      <c r="A374">
        <v>375</v>
      </c>
      <c r="C374">
        <v>82</v>
      </c>
      <c r="D374" t="s">
        <v>111</v>
      </c>
      <c r="E374">
        <v>4</v>
      </c>
      <c r="F374">
        <v>3</v>
      </c>
    </row>
    <row r="375" spans="1:6" x14ac:dyDescent="0.2">
      <c r="A375">
        <v>376</v>
      </c>
      <c r="C375">
        <v>88</v>
      </c>
      <c r="D375" t="s">
        <v>97</v>
      </c>
      <c r="E375">
        <v>2</v>
      </c>
      <c r="F375">
        <v>2</v>
      </c>
    </row>
    <row r="376" spans="1:6" x14ac:dyDescent="0.2">
      <c r="A376">
        <v>377</v>
      </c>
      <c r="C376">
        <v>65</v>
      </c>
      <c r="D376" t="s">
        <v>111</v>
      </c>
      <c r="E376">
        <v>6</v>
      </c>
      <c r="F376">
        <v>5</v>
      </c>
    </row>
    <row r="377" spans="1:6" x14ac:dyDescent="0.2">
      <c r="A377">
        <v>378</v>
      </c>
      <c r="C377">
        <v>37</v>
      </c>
      <c r="D377" t="s">
        <v>111</v>
      </c>
      <c r="E377">
        <v>3</v>
      </c>
      <c r="F377">
        <v>3</v>
      </c>
    </row>
    <row r="378" spans="1:6" x14ac:dyDescent="0.2">
      <c r="A378">
        <v>379</v>
      </c>
      <c r="C378">
        <v>64</v>
      </c>
      <c r="D378" t="s">
        <v>105</v>
      </c>
      <c r="E378">
        <v>2</v>
      </c>
      <c r="F378">
        <v>1</v>
      </c>
    </row>
    <row r="379" spans="1:6" x14ac:dyDescent="0.2">
      <c r="A379">
        <v>380</v>
      </c>
      <c r="C379">
        <v>25</v>
      </c>
      <c r="D379" t="s">
        <v>105</v>
      </c>
      <c r="E379">
        <v>6</v>
      </c>
      <c r="F379">
        <v>4</v>
      </c>
    </row>
    <row r="380" spans="1:6" x14ac:dyDescent="0.2">
      <c r="A380">
        <v>381</v>
      </c>
      <c r="B380">
        <v>25</v>
      </c>
      <c r="C380">
        <v>24</v>
      </c>
      <c r="D380" t="s">
        <v>125</v>
      </c>
      <c r="E380">
        <v>7</v>
      </c>
      <c r="F380">
        <v>5</v>
      </c>
    </row>
    <row r="381" spans="1:6" x14ac:dyDescent="0.2">
      <c r="A381">
        <v>382</v>
      </c>
      <c r="C381">
        <v>82</v>
      </c>
      <c r="D381" t="s">
        <v>105</v>
      </c>
      <c r="E381">
        <v>4</v>
      </c>
      <c r="F381">
        <v>4</v>
      </c>
    </row>
    <row r="382" spans="1:6" x14ac:dyDescent="0.2">
      <c r="A382">
        <v>383</v>
      </c>
      <c r="C382">
        <v>90</v>
      </c>
      <c r="D382" t="s">
        <v>105</v>
      </c>
      <c r="E382">
        <v>7</v>
      </c>
      <c r="F382">
        <v>5</v>
      </c>
    </row>
    <row r="383" spans="1:6" x14ac:dyDescent="0.2">
      <c r="A383">
        <v>384</v>
      </c>
      <c r="C383">
        <v>40</v>
      </c>
      <c r="D383" t="s">
        <v>111</v>
      </c>
      <c r="E383">
        <v>6</v>
      </c>
      <c r="F383">
        <v>5</v>
      </c>
    </row>
    <row r="384" spans="1:6" x14ac:dyDescent="0.2">
      <c r="A384">
        <v>385</v>
      </c>
      <c r="C384">
        <v>100</v>
      </c>
      <c r="D384" t="s">
        <v>97</v>
      </c>
      <c r="E384">
        <v>3</v>
      </c>
      <c r="F384">
        <v>3</v>
      </c>
    </row>
    <row r="385" spans="1:6" x14ac:dyDescent="0.2">
      <c r="A385">
        <v>386</v>
      </c>
      <c r="C385">
        <v>95</v>
      </c>
      <c r="D385" t="s">
        <v>111</v>
      </c>
      <c r="E385">
        <v>5</v>
      </c>
      <c r="F385">
        <v>4</v>
      </c>
    </row>
    <row r="386" spans="1:6" x14ac:dyDescent="0.2">
      <c r="A386">
        <v>387</v>
      </c>
      <c r="C386">
        <v>100</v>
      </c>
      <c r="D386" t="s">
        <v>97</v>
      </c>
      <c r="E386">
        <v>7</v>
      </c>
      <c r="F386">
        <v>5</v>
      </c>
    </row>
    <row r="387" spans="1:6" x14ac:dyDescent="0.2">
      <c r="A387">
        <v>388</v>
      </c>
      <c r="C387">
        <v>90</v>
      </c>
      <c r="D387" t="s">
        <v>97</v>
      </c>
      <c r="E387">
        <v>7</v>
      </c>
      <c r="F387">
        <v>5</v>
      </c>
    </row>
    <row r="388" spans="1:6" x14ac:dyDescent="0.2">
      <c r="A388">
        <v>389</v>
      </c>
      <c r="C388">
        <v>100</v>
      </c>
      <c r="D388" t="s">
        <v>105</v>
      </c>
      <c r="E388">
        <v>2</v>
      </c>
      <c r="F388">
        <v>2</v>
      </c>
    </row>
    <row r="389" spans="1:6" x14ac:dyDescent="0.2">
      <c r="A389">
        <v>390</v>
      </c>
      <c r="C389">
        <v>85</v>
      </c>
      <c r="D389" t="s">
        <v>97</v>
      </c>
      <c r="E389">
        <v>6</v>
      </c>
      <c r="F389">
        <v>5</v>
      </c>
    </row>
    <row r="390" spans="1:6" x14ac:dyDescent="0.2">
      <c r="A390">
        <v>391</v>
      </c>
      <c r="C390">
        <v>16</v>
      </c>
      <c r="D390" t="s">
        <v>105</v>
      </c>
      <c r="E390">
        <v>6</v>
      </c>
      <c r="F390">
        <v>5</v>
      </c>
    </row>
    <row r="391" spans="1:6" x14ac:dyDescent="0.2">
      <c r="A391">
        <v>392</v>
      </c>
      <c r="B391">
        <v>41</v>
      </c>
      <c r="C391">
        <v>49</v>
      </c>
      <c r="D391" t="s">
        <v>125</v>
      </c>
      <c r="E391">
        <v>6</v>
      </c>
      <c r="F391">
        <v>5</v>
      </c>
    </row>
    <row r="392" spans="1:6" x14ac:dyDescent="0.2">
      <c r="A392">
        <v>393</v>
      </c>
      <c r="C392">
        <v>65</v>
      </c>
      <c r="D392" t="s">
        <v>97</v>
      </c>
      <c r="E392">
        <v>7</v>
      </c>
      <c r="F392">
        <v>5</v>
      </c>
    </row>
    <row r="393" spans="1:6" x14ac:dyDescent="0.2">
      <c r="A393">
        <v>394</v>
      </c>
      <c r="B393">
        <v>70</v>
      </c>
      <c r="C393">
        <v>85</v>
      </c>
      <c r="D393" t="s">
        <v>125</v>
      </c>
      <c r="E393">
        <v>4</v>
      </c>
      <c r="F393">
        <v>2</v>
      </c>
    </row>
    <row r="394" spans="1:6" x14ac:dyDescent="0.2">
      <c r="A394">
        <v>395</v>
      </c>
      <c r="C394">
        <v>70</v>
      </c>
      <c r="D394" t="s">
        <v>105</v>
      </c>
      <c r="E394">
        <v>6</v>
      </c>
      <c r="F394">
        <v>4</v>
      </c>
    </row>
    <row r="395" spans="1:6" x14ac:dyDescent="0.2">
      <c r="A395">
        <v>396</v>
      </c>
      <c r="C395">
        <v>100</v>
      </c>
      <c r="D395" t="s">
        <v>97</v>
      </c>
      <c r="E395">
        <v>1</v>
      </c>
      <c r="F395">
        <v>1</v>
      </c>
    </row>
    <row r="396" spans="1:6" x14ac:dyDescent="0.2">
      <c r="A396">
        <v>397</v>
      </c>
      <c r="B396">
        <v>43</v>
      </c>
      <c r="C396">
        <v>42</v>
      </c>
      <c r="D396" t="s">
        <v>125</v>
      </c>
      <c r="E396">
        <v>7</v>
      </c>
      <c r="F396">
        <v>5</v>
      </c>
    </row>
    <row r="397" spans="1:6" x14ac:dyDescent="0.2">
      <c r="A397">
        <v>398</v>
      </c>
      <c r="B397">
        <v>60</v>
      </c>
      <c r="C397">
        <v>60</v>
      </c>
      <c r="D397" t="s">
        <v>125</v>
      </c>
      <c r="E397">
        <v>6</v>
      </c>
      <c r="F397">
        <v>5</v>
      </c>
    </row>
    <row r="398" spans="1:6" x14ac:dyDescent="0.2">
      <c r="A398">
        <v>399</v>
      </c>
      <c r="B398">
        <v>82</v>
      </c>
      <c r="C398">
        <v>97</v>
      </c>
      <c r="D398" t="s">
        <v>125</v>
      </c>
      <c r="E398">
        <v>6</v>
      </c>
      <c r="F398">
        <v>4</v>
      </c>
    </row>
    <row r="399" spans="1:6" x14ac:dyDescent="0.2">
      <c r="A399">
        <v>400</v>
      </c>
      <c r="C399">
        <v>34</v>
      </c>
      <c r="D399" t="s">
        <v>105</v>
      </c>
      <c r="E399">
        <v>7</v>
      </c>
      <c r="F399">
        <v>5</v>
      </c>
    </row>
    <row r="402" spans="3:4" x14ac:dyDescent="0.2">
      <c r="C402" t="s">
        <v>1967</v>
      </c>
      <c r="D402">
        <f>COUNTIF(D2:D399,"LargeEffectNoPrompt")</f>
        <v>101</v>
      </c>
    </row>
    <row r="403" spans="3:4" x14ac:dyDescent="0.2">
      <c r="C403" t="s">
        <v>1968</v>
      </c>
      <c r="D403">
        <f>COUNTIF(D2:D399,"NoEffectSize")</f>
        <v>97</v>
      </c>
    </row>
    <row r="404" spans="3:4" x14ac:dyDescent="0.2">
      <c r="C404" t="s">
        <v>1969</v>
      </c>
      <c r="D404">
        <f>COUNTIF(D2:D399,"SmallEffectNoPrompt")</f>
        <v>100</v>
      </c>
    </row>
    <row r="405" spans="3:4" x14ac:dyDescent="0.2">
      <c r="C405" t="s">
        <v>1970</v>
      </c>
      <c r="D405">
        <f>COUNTIF(D2:D399,"SmallEffectWithPrompt")</f>
        <v>100</v>
      </c>
    </row>
  </sheetData>
  <pageMargins left="0.7" right="0.7" top="0.75" bottom="0.75" header="0.3" footer="0.3"/>
  <pageSetup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94FC-C20F-6A40-B774-7E6B6CDCCD15}">
  <dimension ref="A1:G399"/>
  <sheetViews>
    <sheetView tabSelected="1" workbookViewId="0">
      <selection activeCell="G6" sqref="G6"/>
    </sheetView>
  </sheetViews>
  <sheetFormatPr baseColWidth="10" defaultRowHeight="16" x14ac:dyDescent="0.2"/>
  <sheetData>
    <row r="1" spans="1:7" x14ac:dyDescent="0.2">
      <c r="A1" t="s">
        <v>1918</v>
      </c>
      <c r="B1" t="s">
        <v>1928</v>
      </c>
      <c r="C1" t="s">
        <v>1917</v>
      </c>
      <c r="D1" t="s">
        <v>1973</v>
      </c>
      <c r="F1" t="s">
        <v>1917</v>
      </c>
      <c r="G1" t="s">
        <v>1975</v>
      </c>
    </row>
    <row r="2" spans="1:7" x14ac:dyDescent="0.2">
      <c r="A2">
        <v>1</v>
      </c>
      <c r="B2">
        <v>100</v>
      </c>
      <c r="C2" t="s">
        <v>105</v>
      </c>
      <c r="D2">
        <v>5</v>
      </c>
      <c r="F2" t="s">
        <v>1974</v>
      </c>
      <c r="G2">
        <f>CORREL(B2:B102,D2:D102)</f>
        <v>2.3061488255729779E-2</v>
      </c>
    </row>
    <row r="3" spans="1:7" x14ac:dyDescent="0.2">
      <c r="A3">
        <v>7</v>
      </c>
      <c r="B3">
        <v>95</v>
      </c>
      <c r="C3" t="s">
        <v>105</v>
      </c>
      <c r="D3">
        <v>5</v>
      </c>
      <c r="F3" t="s">
        <v>1976</v>
      </c>
      <c r="G3">
        <f>CORREL(B103:B199,D103:D199)</f>
        <v>-1.0428193353434709E-2</v>
      </c>
    </row>
    <row r="4" spans="1:7" x14ac:dyDescent="0.2">
      <c r="A4">
        <v>8</v>
      </c>
      <c r="B4">
        <v>85</v>
      </c>
      <c r="C4" t="s">
        <v>105</v>
      </c>
      <c r="D4">
        <v>1</v>
      </c>
      <c r="F4" t="s">
        <v>1977</v>
      </c>
      <c r="G4">
        <f>CORREL(B200:B299,D200:D299)</f>
        <v>-0.28186448147737675</v>
      </c>
    </row>
    <row r="5" spans="1:7" x14ac:dyDescent="0.2">
      <c r="A5">
        <v>9</v>
      </c>
      <c r="B5">
        <v>92</v>
      </c>
      <c r="C5" t="s">
        <v>105</v>
      </c>
      <c r="D5">
        <v>3</v>
      </c>
      <c r="F5" t="s">
        <v>1978</v>
      </c>
      <c r="G5">
        <f>CORREL(B300:B399,D300:D399)</f>
        <v>-0.28490561405835235</v>
      </c>
    </row>
    <row r="6" spans="1:7" x14ac:dyDescent="0.2">
      <c r="A6">
        <v>17</v>
      </c>
      <c r="B6">
        <v>90</v>
      </c>
      <c r="C6" t="s">
        <v>105</v>
      </c>
      <c r="D6">
        <v>4</v>
      </c>
    </row>
    <row r="7" spans="1:7" x14ac:dyDescent="0.2">
      <c r="A7">
        <v>18</v>
      </c>
      <c r="B7">
        <v>50</v>
      </c>
      <c r="C7" t="s">
        <v>105</v>
      </c>
      <c r="D7">
        <v>5</v>
      </c>
    </row>
    <row r="8" spans="1:7" x14ac:dyDescent="0.2">
      <c r="A8">
        <v>23</v>
      </c>
      <c r="B8">
        <v>89</v>
      </c>
      <c r="C8" t="s">
        <v>105</v>
      </c>
      <c r="D8">
        <v>5</v>
      </c>
    </row>
    <row r="9" spans="1:7" x14ac:dyDescent="0.2">
      <c r="A9">
        <v>24</v>
      </c>
      <c r="B9">
        <v>69</v>
      </c>
      <c r="C9" t="s">
        <v>105</v>
      </c>
      <c r="D9">
        <v>4</v>
      </c>
    </row>
    <row r="10" spans="1:7" x14ac:dyDescent="0.2">
      <c r="A10">
        <v>37</v>
      </c>
      <c r="B10">
        <v>70</v>
      </c>
      <c r="C10" t="s">
        <v>105</v>
      </c>
      <c r="D10">
        <v>6</v>
      </c>
    </row>
    <row r="11" spans="1:7" x14ac:dyDescent="0.2">
      <c r="A11">
        <v>40</v>
      </c>
      <c r="B11">
        <v>60</v>
      </c>
      <c r="C11" t="s">
        <v>105</v>
      </c>
      <c r="D11">
        <v>6</v>
      </c>
    </row>
    <row r="12" spans="1:7" x14ac:dyDescent="0.2">
      <c r="A12">
        <v>45</v>
      </c>
      <c r="B12">
        <v>85</v>
      </c>
      <c r="C12" t="s">
        <v>105</v>
      </c>
      <c r="D12">
        <v>6</v>
      </c>
    </row>
    <row r="13" spans="1:7" x14ac:dyDescent="0.2">
      <c r="A13">
        <v>52</v>
      </c>
      <c r="B13">
        <v>90</v>
      </c>
      <c r="C13" t="s">
        <v>105</v>
      </c>
      <c r="D13">
        <v>3</v>
      </c>
    </row>
    <row r="14" spans="1:7" x14ac:dyDescent="0.2">
      <c r="A14">
        <v>55</v>
      </c>
      <c r="B14">
        <v>75</v>
      </c>
      <c r="C14" t="s">
        <v>105</v>
      </c>
      <c r="D14">
        <v>6</v>
      </c>
    </row>
    <row r="15" spans="1:7" x14ac:dyDescent="0.2">
      <c r="A15">
        <v>56</v>
      </c>
      <c r="B15">
        <v>100</v>
      </c>
      <c r="C15" t="s">
        <v>105</v>
      </c>
      <c r="D15">
        <v>6</v>
      </c>
    </row>
    <row r="16" spans="1:7" x14ac:dyDescent="0.2">
      <c r="A16">
        <v>57</v>
      </c>
      <c r="B16">
        <v>79</v>
      </c>
      <c r="C16" t="s">
        <v>105</v>
      </c>
      <c r="D16">
        <v>6</v>
      </c>
    </row>
    <row r="17" spans="1:4" x14ac:dyDescent="0.2">
      <c r="A17">
        <v>58</v>
      </c>
      <c r="B17">
        <v>80</v>
      </c>
      <c r="C17" t="s">
        <v>105</v>
      </c>
      <c r="D17">
        <v>5</v>
      </c>
    </row>
    <row r="18" spans="1:4" x14ac:dyDescent="0.2">
      <c r="A18">
        <v>60</v>
      </c>
      <c r="B18">
        <v>80</v>
      </c>
      <c r="C18" t="s">
        <v>105</v>
      </c>
      <c r="D18">
        <v>5</v>
      </c>
    </row>
    <row r="19" spans="1:4" x14ac:dyDescent="0.2">
      <c r="A19">
        <v>67</v>
      </c>
      <c r="B19">
        <v>80</v>
      </c>
      <c r="C19" t="s">
        <v>105</v>
      </c>
      <c r="D19">
        <v>4</v>
      </c>
    </row>
    <row r="20" spans="1:4" x14ac:dyDescent="0.2">
      <c r="A20">
        <v>69</v>
      </c>
      <c r="B20">
        <v>100</v>
      </c>
      <c r="C20" t="s">
        <v>105</v>
      </c>
      <c r="D20">
        <v>2</v>
      </c>
    </row>
    <row r="21" spans="1:4" x14ac:dyDescent="0.2">
      <c r="A21">
        <v>78</v>
      </c>
      <c r="B21">
        <v>100</v>
      </c>
      <c r="C21" t="s">
        <v>105</v>
      </c>
      <c r="D21">
        <v>5</v>
      </c>
    </row>
    <row r="22" spans="1:4" x14ac:dyDescent="0.2">
      <c r="A22">
        <v>79</v>
      </c>
      <c r="B22">
        <v>70</v>
      </c>
      <c r="C22" t="s">
        <v>105</v>
      </c>
      <c r="D22">
        <v>5</v>
      </c>
    </row>
    <row r="23" spans="1:4" x14ac:dyDescent="0.2">
      <c r="A23">
        <v>83</v>
      </c>
      <c r="B23">
        <v>80</v>
      </c>
      <c r="C23" t="s">
        <v>105</v>
      </c>
      <c r="D23">
        <v>5</v>
      </c>
    </row>
    <row r="24" spans="1:4" x14ac:dyDescent="0.2">
      <c r="A24">
        <v>93</v>
      </c>
      <c r="B24">
        <v>95</v>
      </c>
      <c r="C24" t="s">
        <v>105</v>
      </c>
      <c r="D24">
        <v>4</v>
      </c>
    </row>
    <row r="25" spans="1:4" x14ac:dyDescent="0.2">
      <c r="A25">
        <v>95</v>
      </c>
      <c r="B25">
        <v>70</v>
      </c>
      <c r="C25" t="s">
        <v>105</v>
      </c>
      <c r="D25">
        <v>5</v>
      </c>
    </row>
    <row r="26" spans="1:4" x14ac:dyDescent="0.2">
      <c r="A26">
        <v>99</v>
      </c>
      <c r="B26">
        <v>80</v>
      </c>
      <c r="C26" t="s">
        <v>105</v>
      </c>
      <c r="D26">
        <v>4</v>
      </c>
    </row>
    <row r="27" spans="1:4" x14ac:dyDescent="0.2">
      <c r="A27">
        <v>102</v>
      </c>
      <c r="B27">
        <v>70</v>
      </c>
      <c r="C27" t="s">
        <v>105</v>
      </c>
      <c r="D27">
        <v>3</v>
      </c>
    </row>
    <row r="28" spans="1:4" x14ac:dyDescent="0.2">
      <c r="A28">
        <v>104</v>
      </c>
      <c r="B28">
        <v>72</v>
      </c>
      <c r="C28" t="s">
        <v>105</v>
      </c>
      <c r="D28">
        <v>4</v>
      </c>
    </row>
    <row r="29" spans="1:4" x14ac:dyDescent="0.2">
      <c r="A29">
        <v>110</v>
      </c>
      <c r="B29">
        <v>79</v>
      </c>
      <c r="C29" t="s">
        <v>105</v>
      </c>
      <c r="D29">
        <v>6</v>
      </c>
    </row>
    <row r="30" spans="1:4" x14ac:dyDescent="0.2">
      <c r="A30">
        <v>112</v>
      </c>
      <c r="B30">
        <v>100</v>
      </c>
      <c r="C30" t="s">
        <v>105</v>
      </c>
      <c r="D30">
        <v>5</v>
      </c>
    </row>
    <row r="31" spans="1:4" x14ac:dyDescent="0.2">
      <c r="A31">
        <v>120</v>
      </c>
      <c r="B31">
        <v>19</v>
      </c>
      <c r="C31" t="s">
        <v>105</v>
      </c>
      <c r="D31">
        <v>4</v>
      </c>
    </row>
    <row r="32" spans="1:4" x14ac:dyDescent="0.2">
      <c r="A32">
        <v>130</v>
      </c>
      <c r="B32">
        <v>73</v>
      </c>
      <c r="C32" t="s">
        <v>105</v>
      </c>
      <c r="D32">
        <v>2</v>
      </c>
    </row>
    <row r="33" spans="1:4" x14ac:dyDescent="0.2">
      <c r="A33">
        <v>132</v>
      </c>
      <c r="B33">
        <v>70</v>
      </c>
      <c r="C33" t="s">
        <v>105</v>
      </c>
      <c r="D33">
        <v>5</v>
      </c>
    </row>
    <row r="34" spans="1:4" x14ac:dyDescent="0.2">
      <c r="A34">
        <v>135</v>
      </c>
      <c r="B34">
        <v>75</v>
      </c>
      <c r="C34" t="s">
        <v>105</v>
      </c>
      <c r="D34">
        <v>4</v>
      </c>
    </row>
    <row r="35" spans="1:4" x14ac:dyDescent="0.2">
      <c r="A35">
        <v>136</v>
      </c>
      <c r="B35">
        <v>90</v>
      </c>
      <c r="C35" t="s">
        <v>105</v>
      </c>
      <c r="D35">
        <v>3</v>
      </c>
    </row>
    <row r="36" spans="1:4" x14ac:dyDescent="0.2">
      <c r="A36">
        <v>138</v>
      </c>
      <c r="B36">
        <v>60</v>
      </c>
      <c r="C36" t="s">
        <v>105</v>
      </c>
      <c r="D36">
        <v>6</v>
      </c>
    </row>
    <row r="37" spans="1:4" x14ac:dyDescent="0.2">
      <c r="A37">
        <v>145</v>
      </c>
      <c r="B37">
        <v>79</v>
      </c>
      <c r="C37" t="s">
        <v>105</v>
      </c>
      <c r="D37">
        <v>4</v>
      </c>
    </row>
    <row r="38" spans="1:4" x14ac:dyDescent="0.2">
      <c r="A38">
        <v>146</v>
      </c>
      <c r="B38">
        <v>70</v>
      </c>
      <c r="C38" t="s">
        <v>105</v>
      </c>
      <c r="D38">
        <v>5</v>
      </c>
    </row>
    <row r="39" spans="1:4" x14ac:dyDescent="0.2">
      <c r="A39">
        <v>151</v>
      </c>
      <c r="B39">
        <v>81</v>
      </c>
      <c r="C39" t="s">
        <v>105</v>
      </c>
      <c r="D39">
        <v>4</v>
      </c>
    </row>
    <row r="40" spans="1:4" x14ac:dyDescent="0.2">
      <c r="A40">
        <v>155</v>
      </c>
      <c r="B40">
        <v>91</v>
      </c>
      <c r="C40" t="s">
        <v>105</v>
      </c>
      <c r="D40">
        <v>4</v>
      </c>
    </row>
    <row r="41" spans="1:4" x14ac:dyDescent="0.2">
      <c r="A41">
        <v>156</v>
      </c>
      <c r="B41">
        <v>70</v>
      </c>
      <c r="C41" t="s">
        <v>105</v>
      </c>
      <c r="D41">
        <v>5</v>
      </c>
    </row>
    <row r="42" spans="1:4" x14ac:dyDescent="0.2">
      <c r="A42">
        <v>169</v>
      </c>
      <c r="B42">
        <v>60</v>
      </c>
      <c r="C42" t="s">
        <v>105</v>
      </c>
      <c r="D42">
        <v>6</v>
      </c>
    </row>
    <row r="43" spans="1:4" x14ac:dyDescent="0.2">
      <c r="A43">
        <v>174</v>
      </c>
      <c r="B43">
        <v>73</v>
      </c>
      <c r="C43" t="s">
        <v>105</v>
      </c>
      <c r="D43">
        <v>3</v>
      </c>
    </row>
    <row r="44" spans="1:4" x14ac:dyDescent="0.2">
      <c r="A44">
        <v>176</v>
      </c>
      <c r="B44">
        <v>96</v>
      </c>
      <c r="C44" t="s">
        <v>105</v>
      </c>
      <c r="D44">
        <v>3</v>
      </c>
    </row>
    <row r="45" spans="1:4" x14ac:dyDescent="0.2">
      <c r="A45">
        <v>184</v>
      </c>
      <c r="B45">
        <v>100</v>
      </c>
      <c r="C45" t="s">
        <v>105</v>
      </c>
      <c r="D45">
        <v>4</v>
      </c>
    </row>
    <row r="46" spans="1:4" x14ac:dyDescent="0.2">
      <c r="A46">
        <v>187</v>
      </c>
      <c r="B46">
        <v>90</v>
      </c>
      <c r="C46" t="s">
        <v>105</v>
      </c>
      <c r="D46">
        <v>3</v>
      </c>
    </row>
    <row r="47" spans="1:4" x14ac:dyDescent="0.2">
      <c r="A47">
        <v>189</v>
      </c>
      <c r="B47">
        <v>80</v>
      </c>
      <c r="C47" t="s">
        <v>105</v>
      </c>
      <c r="D47">
        <v>5</v>
      </c>
    </row>
    <row r="48" spans="1:4" x14ac:dyDescent="0.2">
      <c r="A48">
        <v>192</v>
      </c>
      <c r="B48">
        <v>85</v>
      </c>
      <c r="C48" t="s">
        <v>105</v>
      </c>
      <c r="D48">
        <v>4</v>
      </c>
    </row>
    <row r="49" spans="1:4" x14ac:dyDescent="0.2">
      <c r="A49">
        <v>194</v>
      </c>
      <c r="B49">
        <v>91</v>
      </c>
      <c r="C49" t="s">
        <v>105</v>
      </c>
      <c r="D49">
        <v>5</v>
      </c>
    </row>
    <row r="50" spans="1:4" x14ac:dyDescent="0.2">
      <c r="A50">
        <v>204</v>
      </c>
      <c r="B50">
        <v>75</v>
      </c>
      <c r="C50" t="s">
        <v>105</v>
      </c>
      <c r="D50">
        <v>6</v>
      </c>
    </row>
    <row r="51" spans="1:4" x14ac:dyDescent="0.2">
      <c r="A51">
        <v>205</v>
      </c>
      <c r="B51">
        <v>100</v>
      </c>
      <c r="C51" t="s">
        <v>105</v>
      </c>
      <c r="D51">
        <v>3</v>
      </c>
    </row>
    <row r="52" spans="1:4" x14ac:dyDescent="0.2">
      <c r="A52">
        <v>207</v>
      </c>
      <c r="B52">
        <v>84</v>
      </c>
      <c r="C52" t="s">
        <v>105</v>
      </c>
      <c r="D52">
        <v>5</v>
      </c>
    </row>
    <row r="53" spans="1:4" x14ac:dyDescent="0.2">
      <c r="A53">
        <v>209</v>
      </c>
      <c r="B53">
        <v>100</v>
      </c>
      <c r="C53" t="s">
        <v>105</v>
      </c>
      <c r="D53">
        <v>5</v>
      </c>
    </row>
    <row r="54" spans="1:4" x14ac:dyDescent="0.2">
      <c r="A54">
        <v>216</v>
      </c>
      <c r="B54">
        <v>40</v>
      </c>
      <c r="C54" t="s">
        <v>105</v>
      </c>
      <c r="D54">
        <v>5</v>
      </c>
    </row>
    <row r="55" spans="1:4" x14ac:dyDescent="0.2">
      <c r="A55">
        <v>218</v>
      </c>
      <c r="B55">
        <v>75</v>
      </c>
      <c r="C55" t="s">
        <v>105</v>
      </c>
      <c r="D55">
        <v>3</v>
      </c>
    </row>
    <row r="56" spans="1:4" x14ac:dyDescent="0.2">
      <c r="A56">
        <v>219</v>
      </c>
      <c r="B56">
        <v>100</v>
      </c>
      <c r="C56" t="s">
        <v>105</v>
      </c>
      <c r="D56">
        <v>5</v>
      </c>
    </row>
    <row r="57" spans="1:4" x14ac:dyDescent="0.2">
      <c r="A57">
        <v>220</v>
      </c>
      <c r="B57">
        <v>61</v>
      </c>
      <c r="C57" t="s">
        <v>105</v>
      </c>
      <c r="D57">
        <v>3</v>
      </c>
    </row>
    <row r="58" spans="1:4" x14ac:dyDescent="0.2">
      <c r="A58">
        <v>221</v>
      </c>
      <c r="B58">
        <v>30</v>
      </c>
      <c r="C58" t="s">
        <v>105</v>
      </c>
      <c r="D58">
        <v>5</v>
      </c>
    </row>
    <row r="59" spans="1:4" x14ac:dyDescent="0.2">
      <c r="A59">
        <v>224</v>
      </c>
      <c r="B59">
        <v>50</v>
      </c>
      <c r="C59" t="s">
        <v>105</v>
      </c>
      <c r="D59">
        <v>5</v>
      </c>
    </row>
    <row r="60" spans="1:4" x14ac:dyDescent="0.2">
      <c r="A60">
        <v>233</v>
      </c>
      <c r="B60">
        <v>100</v>
      </c>
      <c r="C60" t="s">
        <v>105</v>
      </c>
      <c r="D60">
        <v>2</v>
      </c>
    </row>
    <row r="61" spans="1:4" x14ac:dyDescent="0.2">
      <c r="A61">
        <v>235</v>
      </c>
      <c r="B61">
        <v>0</v>
      </c>
      <c r="C61" t="s">
        <v>105</v>
      </c>
      <c r="D61">
        <v>2</v>
      </c>
    </row>
    <row r="62" spans="1:4" x14ac:dyDescent="0.2">
      <c r="A62">
        <v>237</v>
      </c>
      <c r="B62">
        <v>0</v>
      </c>
      <c r="C62" t="s">
        <v>105</v>
      </c>
      <c r="D62">
        <v>2</v>
      </c>
    </row>
    <row r="63" spans="1:4" x14ac:dyDescent="0.2">
      <c r="A63">
        <v>239</v>
      </c>
      <c r="B63">
        <v>77</v>
      </c>
      <c r="C63" t="s">
        <v>105</v>
      </c>
      <c r="D63">
        <v>5</v>
      </c>
    </row>
    <row r="64" spans="1:4" x14ac:dyDescent="0.2">
      <c r="A64">
        <v>247</v>
      </c>
      <c r="B64">
        <v>50</v>
      </c>
      <c r="C64" t="s">
        <v>105</v>
      </c>
      <c r="D64">
        <v>5</v>
      </c>
    </row>
    <row r="65" spans="1:4" x14ac:dyDescent="0.2">
      <c r="A65">
        <v>251</v>
      </c>
      <c r="B65">
        <v>50</v>
      </c>
      <c r="C65" t="s">
        <v>105</v>
      </c>
      <c r="D65">
        <v>4</v>
      </c>
    </row>
    <row r="66" spans="1:4" x14ac:dyDescent="0.2">
      <c r="A66">
        <v>261</v>
      </c>
      <c r="B66">
        <v>87</v>
      </c>
      <c r="C66" t="s">
        <v>105</v>
      </c>
      <c r="D66">
        <v>5</v>
      </c>
    </row>
    <row r="67" spans="1:4" x14ac:dyDescent="0.2">
      <c r="A67">
        <v>262</v>
      </c>
      <c r="B67">
        <v>68</v>
      </c>
      <c r="C67" t="s">
        <v>105</v>
      </c>
      <c r="D67">
        <v>6</v>
      </c>
    </row>
    <row r="68" spans="1:4" x14ac:dyDescent="0.2">
      <c r="A68">
        <v>263</v>
      </c>
      <c r="B68">
        <v>100</v>
      </c>
      <c r="C68" t="s">
        <v>105</v>
      </c>
      <c r="D68">
        <v>5</v>
      </c>
    </row>
    <row r="69" spans="1:4" x14ac:dyDescent="0.2">
      <c r="A69">
        <v>264</v>
      </c>
      <c r="B69">
        <v>100</v>
      </c>
      <c r="C69" t="s">
        <v>105</v>
      </c>
      <c r="D69">
        <v>3</v>
      </c>
    </row>
    <row r="70" spans="1:4" x14ac:dyDescent="0.2">
      <c r="A70">
        <v>268</v>
      </c>
      <c r="B70">
        <v>18</v>
      </c>
      <c r="C70" t="s">
        <v>105</v>
      </c>
      <c r="D70">
        <v>1</v>
      </c>
    </row>
    <row r="71" spans="1:4" x14ac:dyDescent="0.2">
      <c r="A71">
        <v>269</v>
      </c>
      <c r="B71">
        <v>100</v>
      </c>
      <c r="C71" t="s">
        <v>105</v>
      </c>
      <c r="D71">
        <v>5</v>
      </c>
    </row>
    <row r="72" spans="1:4" x14ac:dyDescent="0.2">
      <c r="A72">
        <v>273</v>
      </c>
      <c r="B72">
        <v>60</v>
      </c>
      <c r="C72" t="s">
        <v>105</v>
      </c>
      <c r="D72">
        <v>5</v>
      </c>
    </row>
    <row r="73" spans="1:4" x14ac:dyDescent="0.2">
      <c r="A73">
        <v>276</v>
      </c>
      <c r="B73">
        <v>35</v>
      </c>
      <c r="C73" t="s">
        <v>105</v>
      </c>
      <c r="D73">
        <v>6</v>
      </c>
    </row>
    <row r="74" spans="1:4" x14ac:dyDescent="0.2">
      <c r="A74">
        <v>291</v>
      </c>
      <c r="B74">
        <v>45</v>
      </c>
      <c r="C74" t="s">
        <v>105</v>
      </c>
      <c r="D74">
        <v>6</v>
      </c>
    </row>
    <row r="75" spans="1:4" x14ac:dyDescent="0.2">
      <c r="A75">
        <v>296</v>
      </c>
      <c r="B75">
        <v>38</v>
      </c>
      <c r="C75" t="s">
        <v>105</v>
      </c>
      <c r="D75">
        <v>3</v>
      </c>
    </row>
    <row r="76" spans="1:4" x14ac:dyDescent="0.2">
      <c r="A76">
        <v>303</v>
      </c>
      <c r="B76">
        <v>100</v>
      </c>
      <c r="C76" t="s">
        <v>105</v>
      </c>
      <c r="D76">
        <v>3</v>
      </c>
    </row>
    <row r="77" spans="1:4" x14ac:dyDescent="0.2">
      <c r="A77">
        <v>304</v>
      </c>
      <c r="B77">
        <v>64</v>
      </c>
      <c r="C77" t="s">
        <v>105</v>
      </c>
      <c r="D77">
        <v>4</v>
      </c>
    </row>
    <row r="78" spans="1:4" x14ac:dyDescent="0.2">
      <c r="A78">
        <v>311</v>
      </c>
      <c r="B78">
        <v>60</v>
      </c>
      <c r="C78" t="s">
        <v>105</v>
      </c>
      <c r="D78">
        <v>5</v>
      </c>
    </row>
    <row r="79" spans="1:4" x14ac:dyDescent="0.2">
      <c r="A79">
        <v>316</v>
      </c>
      <c r="B79">
        <v>80</v>
      </c>
      <c r="C79" t="s">
        <v>105</v>
      </c>
      <c r="D79">
        <v>6</v>
      </c>
    </row>
    <row r="80" spans="1:4" x14ac:dyDescent="0.2">
      <c r="A80">
        <v>320</v>
      </c>
      <c r="B80">
        <v>65</v>
      </c>
      <c r="C80" t="s">
        <v>105</v>
      </c>
      <c r="D80">
        <v>2</v>
      </c>
    </row>
    <row r="81" spans="1:4" x14ac:dyDescent="0.2">
      <c r="A81">
        <v>322</v>
      </c>
      <c r="B81">
        <v>61</v>
      </c>
      <c r="C81" t="s">
        <v>105</v>
      </c>
      <c r="D81">
        <v>6</v>
      </c>
    </row>
    <row r="82" spans="1:4" x14ac:dyDescent="0.2">
      <c r="A82">
        <v>323</v>
      </c>
      <c r="B82">
        <v>85</v>
      </c>
      <c r="C82" t="s">
        <v>105</v>
      </c>
      <c r="D82">
        <v>5</v>
      </c>
    </row>
    <row r="83" spans="1:4" x14ac:dyDescent="0.2">
      <c r="A83">
        <v>335</v>
      </c>
      <c r="B83">
        <v>60</v>
      </c>
      <c r="C83" t="s">
        <v>105</v>
      </c>
      <c r="D83">
        <v>5</v>
      </c>
    </row>
    <row r="84" spans="1:4" x14ac:dyDescent="0.2">
      <c r="A84">
        <v>336</v>
      </c>
      <c r="B84">
        <v>100</v>
      </c>
      <c r="C84" t="s">
        <v>105</v>
      </c>
      <c r="D84">
        <v>4</v>
      </c>
    </row>
    <row r="85" spans="1:4" x14ac:dyDescent="0.2">
      <c r="A85">
        <v>338</v>
      </c>
      <c r="B85">
        <v>61</v>
      </c>
      <c r="C85" t="s">
        <v>105</v>
      </c>
      <c r="D85">
        <v>5</v>
      </c>
    </row>
    <row r="86" spans="1:4" x14ac:dyDescent="0.2">
      <c r="A86">
        <v>345</v>
      </c>
      <c r="B86">
        <v>70</v>
      </c>
      <c r="C86" t="s">
        <v>105</v>
      </c>
      <c r="D86">
        <v>5</v>
      </c>
    </row>
    <row r="87" spans="1:4" x14ac:dyDescent="0.2">
      <c r="A87">
        <v>352</v>
      </c>
      <c r="B87">
        <v>100</v>
      </c>
      <c r="C87" t="s">
        <v>105</v>
      </c>
      <c r="D87">
        <v>5</v>
      </c>
    </row>
    <row r="88" spans="1:4" x14ac:dyDescent="0.2">
      <c r="A88">
        <v>354</v>
      </c>
      <c r="B88">
        <v>96</v>
      </c>
      <c r="C88" t="s">
        <v>105</v>
      </c>
      <c r="D88">
        <v>3</v>
      </c>
    </row>
    <row r="89" spans="1:4" x14ac:dyDescent="0.2">
      <c r="A89">
        <v>361</v>
      </c>
      <c r="B89">
        <v>88</v>
      </c>
      <c r="C89" t="s">
        <v>105</v>
      </c>
      <c r="D89">
        <v>5</v>
      </c>
    </row>
    <row r="90" spans="1:4" x14ac:dyDescent="0.2">
      <c r="A90">
        <v>363</v>
      </c>
      <c r="B90">
        <v>100</v>
      </c>
      <c r="C90" t="s">
        <v>105</v>
      </c>
      <c r="D90">
        <v>5</v>
      </c>
    </row>
    <row r="91" spans="1:4" x14ac:dyDescent="0.2">
      <c r="A91">
        <v>366</v>
      </c>
      <c r="B91">
        <v>100</v>
      </c>
      <c r="C91" t="s">
        <v>105</v>
      </c>
      <c r="D91">
        <v>4</v>
      </c>
    </row>
    <row r="92" spans="1:4" x14ac:dyDescent="0.2">
      <c r="A92">
        <v>367</v>
      </c>
      <c r="B92">
        <v>70</v>
      </c>
      <c r="C92" t="s">
        <v>105</v>
      </c>
      <c r="D92">
        <v>6</v>
      </c>
    </row>
    <row r="93" spans="1:4" x14ac:dyDescent="0.2">
      <c r="A93">
        <v>370</v>
      </c>
      <c r="B93">
        <v>66</v>
      </c>
      <c r="C93" t="s">
        <v>105</v>
      </c>
      <c r="D93">
        <v>4</v>
      </c>
    </row>
    <row r="94" spans="1:4" x14ac:dyDescent="0.2">
      <c r="A94">
        <v>373</v>
      </c>
      <c r="B94">
        <v>79</v>
      </c>
      <c r="C94" t="s">
        <v>105</v>
      </c>
      <c r="D94">
        <v>2</v>
      </c>
    </row>
    <row r="95" spans="1:4" x14ac:dyDescent="0.2">
      <c r="A95">
        <v>379</v>
      </c>
      <c r="B95">
        <v>64</v>
      </c>
      <c r="C95" t="s">
        <v>105</v>
      </c>
      <c r="D95">
        <v>1</v>
      </c>
    </row>
    <row r="96" spans="1:4" x14ac:dyDescent="0.2">
      <c r="A96">
        <v>380</v>
      </c>
      <c r="B96">
        <v>25</v>
      </c>
      <c r="C96" t="s">
        <v>105</v>
      </c>
      <c r="D96">
        <v>4</v>
      </c>
    </row>
    <row r="97" spans="1:4" x14ac:dyDescent="0.2">
      <c r="A97">
        <v>382</v>
      </c>
      <c r="B97">
        <v>82</v>
      </c>
      <c r="C97" t="s">
        <v>105</v>
      </c>
      <c r="D97">
        <v>4</v>
      </c>
    </row>
    <row r="98" spans="1:4" x14ac:dyDescent="0.2">
      <c r="A98">
        <v>383</v>
      </c>
      <c r="B98">
        <v>90</v>
      </c>
      <c r="C98" t="s">
        <v>105</v>
      </c>
      <c r="D98">
        <v>5</v>
      </c>
    </row>
    <row r="99" spans="1:4" x14ac:dyDescent="0.2">
      <c r="A99">
        <v>389</v>
      </c>
      <c r="B99">
        <v>100</v>
      </c>
      <c r="C99" t="s">
        <v>105</v>
      </c>
      <c r="D99">
        <v>2</v>
      </c>
    </row>
    <row r="100" spans="1:4" x14ac:dyDescent="0.2">
      <c r="A100">
        <v>391</v>
      </c>
      <c r="B100">
        <v>16</v>
      </c>
      <c r="C100" t="s">
        <v>105</v>
      </c>
      <c r="D100">
        <v>5</v>
      </c>
    </row>
    <row r="101" spans="1:4" x14ac:dyDescent="0.2">
      <c r="A101">
        <v>395</v>
      </c>
      <c r="B101">
        <v>70</v>
      </c>
      <c r="C101" t="s">
        <v>105</v>
      </c>
      <c r="D101">
        <v>4</v>
      </c>
    </row>
    <row r="102" spans="1:4" x14ac:dyDescent="0.2">
      <c r="A102">
        <v>400</v>
      </c>
      <c r="B102">
        <v>34</v>
      </c>
      <c r="C102" t="s">
        <v>105</v>
      </c>
      <c r="D102">
        <v>5</v>
      </c>
    </row>
    <row r="103" spans="1:4" x14ac:dyDescent="0.2">
      <c r="A103">
        <v>5</v>
      </c>
      <c r="B103">
        <v>73</v>
      </c>
      <c r="C103" t="s">
        <v>97</v>
      </c>
      <c r="D103">
        <v>3</v>
      </c>
    </row>
    <row r="104" spans="1:4" x14ac:dyDescent="0.2">
      <c r="A104">
        <v>11</v>
      </c>
      <c r="B104">
        <v>92</v>
      </c>
      <c r="C104" t="s">
        <v>97</v>
      </c>
      <c r="D104">
        <v>4</v>
      </c>
    </row>
    <row r="105" spans="1:4" x14ac:dyDescent="0.2">
      <c r="A105">
        <v>14</v>
      </c>
      <c r="B105">
        <v>100</v>
      </c>
      <c r="C105" t="s">
        <v>97</v>
      </c>
      <c r="D105">
        <v>3</v>
      </c>
    </row>
    <row r="106" spans="1:4" x14ac:dyDescent="0.2">
      <c r="A106">
        <v>15</v>
      </c>
      <c r="B106">
        <v>94</v>
      </c>
      <c r="C106" t="s">
        <v>97</v>
      </c>
      <c r="D106">
        <v>1</v>
      </c>
    </row>
    <row r="107" spans="1:4" x14ac:dyDescent="0.2">
      <c r="A107">
        <v>19</v>
      </c>
      <c r="B107">
        <v>97</v>
      </c>
      <c r="C107" t="s">
        <v>97</v>
      </c>
      <c r="D107">
        <v>4</v>
      </c>
    </row>
    <row r="108" spans="1:4" x14ac:dyDescent="0.2">
      <c r="A108">
        <v>22</v>
      </c>
      <c r="B108">
        <v>71</v>
      </c>
      <c r="C108" t="s">
        <v>97</v>
      </c>
      <c r="D108">
        <v>4</v>
      </c>
    </row>
    <row r="109" spans="1:4" x14ac:dyDescent="0.2">
      <c r="A109">
        <v>25</v>
      </c>
      <c r="B109">
        <v>70</v>
      </c>
      <c r="C109" t="s">
        <v>97</v>
      </c>
      <c r="D109">
        <v>6</v>
      </c>
    </row>
    <row r="110" spans="1:4" x14ac:dyDescent="0.2">
      <c r="A110">
        <v>31</v>
      </c>
      <c r="B110">
        <v>65</v>
      </c>
      <c r="C110" t="s">
        <v>97</v>
      </c>
      <c r="D110">
        <v>5</v>
      </c>
    </row>
    <row r="111" spans="1:4" x14ac:dyDescent="0.2">
      <c r="A111">
        <v>32</v>
      </c>
      <c r="B111">
        <v>81</v>
      </c>
      <c r="C111" t="s">
        <v>97</v>
      </c>
      <c r="D111">
        <v>5</v>
      </c>
    </row>
    <row r="112" spans="1:4" x14ac:dyDescent="0.2">
      <c r="A112">
        <v>34</v>
      </c>
      <c r="B112">
        <v>100</v>
      </c>
      <c r="C112" t="s">
        <v>97</v>
      </c>
      <c r="D112">
        <v>3</v>
      </c>
    </row>
    <row r="113" spans="1:4" x14ac:dyDescent="0.2">
      <c r="A113">
        <v>35</v>
      </c>
      <c r="B113">
        <v>82</v>
      </c>
      <c r="C113" t="s">
        <v>97</v>
      </c>
      <c r="D113">
        <v>5</v>
      </c>
    </row>
    <row r="114" spans="1:4" x14ac:dyDescent="0.2">
      <c r="A114">
        <v>38</v>
      </c>
      <c r="B114">
        <v>96</v>
      </c>
      <c r="C114" t="s">
        <v>97</v>
      </c>
      <c r="D114">
        <v>4</v>
      </c>
    </row>
    <row r="115" spans="1:4" x14ac:dyDescent="0.2">
      <c r="A115">
        <v>41</v>
      </c>
      <c r="B115">
        <v>30</v>
      </c>
      <c r="C115" t="s">
        <v>97</v>
      </c>
      <c r="D115">
        <v>4</v>
      </c>
    </row>
    <row r="116" spans="1:4" x14ac:dyDescent="0.2">
      <c r="A116">
        <v>43</v>
      </c>
      <c r="B116">
        <v>91</v>
      </c>
      <c r="C116" t="s">
        <v>97</v>
      </c>
      <c r="D116">
        <v>5</v>
      </c>
    </row>
    <row r="117" spans="1:4" x14ac:dyDescent="0.2">
      <c r="A117">
        <v>48</v>
      </c>
      <c r="B117">
        <v>90</v>
      </c>
      <c r="C117" t="s">
        <v>97</v>
      </c>
      <c r="D117">
        <v>4</v>
      </c>
    </row>
    <row r="118" spans="1:4" x14ac:dyDescent="0.2">
      <c r="A118">
        <v>49</v>
      </c>
      <c r="B118">
        <v>83</v>
      </c>
      <c r="C118" t="s">
        <v>97</v>
      </c>
      <c r="D118">
        <v>5</v>
      </c>
    </row>
    <row r="119" spans="1:4" x14ac:dyDescent="0.2">
      <c r="A119">
        <v>61</v>
      </c>
      <c r="B119">
        <v>85</v>
      </c>
      <c r="C119" t="s">
        <v>97</v>
      </c>
      <c r="D119">
        <v>5</v>
      </c>
    </row>
    <row r="120" spans="1:4" x14ac:dyDescent="0.2">
      <c r="A120">
        <v>63</v>
      </c>
      <c r="B120">
        <v>10</v>
      </c>
      <c r="C120" t="s">
        <v>97</v>
      </c>
      <c r="D120">
        <v>6</v>
      </c>
    </row>
    <row r="121" spans="1:4" x14ac:dyDescent="0.2">
      <c r="A121">
        <v>65</v>
      </c>
      <c r="B121">
        <v>76</v>
      </c>
      <c r="C121" t="s">
        <v>97</v>
      </c>
      <c r="D121">
        <v>5</v>
      </c>
    </row>
    <row r="122" spans="1:4" x14ac:dyDescent="0.2">
      <c r="A122">
        <v>71</v>
      </c>
      <c r="B122">
        <v>81</v>
      </c>
      <c r="C122" t="s">
        <v>97</v>
      </c>
      <c r="D122">
        <v>6</v>
      </c>
    </row>
    <row r="123" spans="1:4" x14ac:dyDescent="0.2">
      <c r="A123">
        <v>84</v>
      </c>
      <c r="B123">
        <v>81</v>
      </c>
      <c r="C123" t="s">
        <v>97</v>
      </c>
      <c r="D123">
        <v>4</v>
      </c>
    </row>
    <row r="124" spans="1:4" x14ac:dyDescent="0.2">
      <c r="A124">
        <v>87</v>
      </c>
      <c r="B124">
        <v>74</v>
      </c>
      <c r="C124" t="s">
        <v>97</v>
      </c>
      <c r="D124">
        <v>1</v>
      </c>
    </row>
    <row r="125" spans="1:4" x14ac:dyDescent="0.2">
      <c r="A125">
        <v>94</v>
      </c>
      <c r="B125">
        <v>100</v>
      </c>
      <c r="C125" t="s">
        <v>97</v>
      </c>
      <c r="D125">
        <v>5</v>
      </c>
    </row>
    <row r="126" spans="1:4" x14ac:dyDescent="0.2">
      <c r="A126">
        <v>97</v>
      </c>
      <c r="B126">
        <v>85</v>
      </c>
      <c r="C126" t="s">
        <v>97</v>
      </c>
      <c r="D126">
        <v>4</v>
      </c>
    </row>
    <row r="127" spans="1:4" x14ac:dyDescent="0.2">
      <c r="A127">
        <v>100</v>
      </c>
      <c r="B127">
        <v>95</v>
      </c>
      <c r="C127" t="s">
        <v>97</v>
      </c>
      <c r="D127">
        <v>6</v>
      </c>
    </row>
    <row r="128" spans="1:4" x14ac:dyDescent="0.2">
      <c r="A128">
        <v>107</v>
      </c>
      <c r="B128">
        <v>87</v>
      </c>
      <c r="C128" t="s">
        <v>97</v>
      </c>
      <c r="D128">
        <v>2</v>
      </c>
    </row>
    <row r="129" spans="1:4" x14ac:dyDescent="0.2">
      <c r="A129">
        <v>108</v>
      </c>
      <c r="B129">
        <v>100</v>
      </c>
      <c r="C129" t="s">
        <v>97</v>
      </c>
      <c r="D129">
        <v>5</v>
      </c>
    </row>
    <row r="130" spans="1:4" x14ac:dyDescent="0.2">
      <c r="A130">
        <v>116</v>
      </c>
      <c r="B130">
        <v>75</v>
      </c>
      <c r="C130" t="s">
        <v>97</v>
      </c>
      <c r="D130">
        <v>6</v>
      </c>
    </row>
    <row r="131" spans="1:4" x14ac:dyDescent="0.2">
      <c r="A131">
        <v>117</v>
      </c>
      <c r="B131">
        <v>78</v>
      </c>
      <c r="C131" t="s">
        <v>97</v>
      </c>
      <c r="D131">
        <v>4</v>
      </c>
    </row>
    <row r="132" spans="1:4" x14ac:dyDescent="0.2">
      <c r="A132">
        <v>119</v>
      </c>
      <c r="B132">
        <v>100</v>
      </c>
      <c r="C132" t="s">
        <v>97</v>
      </c>
      <c r="D132">
        <v>5</v>
      </c>
    </row>
    <row r="133" spans="1:4" x14ac:dyDescent="0.2">
      <c r="A133">
        <v>123</v>
      </c>
      <c r="B133">
        <v>60</v>
      </c>
      <c r="C133" t="s">
        <v>97</v>
      </c>
      <c r="D133">
        <v>6</v>
      </c>
    </row>
    <row r="134" spans="1:4" x14ac:dyDescent="0.2">
      <c r="A134">
        <v>140</v>
      </c>
      <c r="B134">
        <v>100</v>
      </c>
      <c r="C134" t="s">
        <v>97</v>
      </c>
      <c r="D134">
        <v>4</v>
      </c>
    </row>
    <row r="135" spans="1:4" x14ac:dyDescent="0.2">
      <c r="A135">
        <v>141</v>
      </c>
      <c r="B135">
        <v>100</v>
      </c>
      <c r="C135" t="s">
        <v>97</v>
      </c>
      <c r="D135">
        <v>5</v>
      </c>
    </row>
    <row r="136" spans="1:4" x14ac:dyDescent="0.2">
      <c r="A136">
        <v>148</v>
      </c>
      <c r="B136">
        <v>50</v>
      </c>
      <c r="C136" t="s">
        <v>97</v>
      </c>
      <c r="D136">
        <v>1</v>
      </c>
    </row>
    <row r="137" spans="1:4" x14ac:dyDescent="0.2">
      <c r="A137">
        <v>149</v>
      </c>
      <c r="B137">
        <v>100</v>
      </c>
      <c r="C137" t="s">
        <v>97</v>
      </c>
      <c r="D137">
        <v>5</v>
      </c>
    </row>
    <row r="138" spans="1:4" x14ac:dyDescent="0.2">
      <c r="A138">
        <v>150</v>
      </c>
      <c r="B138">
        <v>90</v>
      </c>
      <c r="C138" t="s">
        <v>97</v>
      </c>
      <c r="D138">
        <v>5</v>
      </c>
    </row>
    <row r="139" spans="1:4" x14ac:dyDescent="0.2">
      <c r="A139">
        <v>152</v>
      </c>
      <c r="B139">
        <v>100</v>
      </c>
      <c r="C139" t="s">
        <v>97</v>
      </c>
      <c r="D139">
        <v>5</v>
      </c>
    </row>
    <row r="140" spans="1:4" x14ac:dyDescent="0.2">
      <c r="A140">
        <v>158</v>
      </c>
      <c r="B140">
        <v>90</v>
      </c>
      <c r="C140" t="s">
        <v>97</v>
      </c>
      <c r="D140">
        <v>4</v>
      </c>
    </row>
    <row r="141" spans="1:4" x14ac:dyDescent="0.2">
      <c r="A141">
        <v>159</v>
      </c>
      <c r="B141">
        <v>80</v>
      </c>
      <c r="C141" t="s">
        <v>97</v>
      </c>
      <c r="D141">
        <v>5</v>
      </c>
    </row>
    <row r="142" spans="1:4" x14ac:dyDescent="0.2">
      <c r="A142">
        <v>161</v>
      </c>
      <c r="B142">
        <v>86</v>
      </c>
      <c r="C142" t="s">
        <v>97</v>
      </c>
      <c r="D142">
        <v>5</v>
      </c>
    </row>
    <row r="143" spans="1:4" x14ac:dyDescent="0.2">
      <c r="A143">
        <v>162</v>
      </c>
      <c r="B143">
        <v>100</v>
      </c>
      <c r="C143" t="s">
        <v>97</v>
      </c>
      <c r="D143">
        <v>5</v>
      </c>
    </row>
    <row r="144" spans="1:4" x14ac:dyDescent="0.2">
      <c r="A144">
        <v>167</v>
      </c>
      <c r="B144">
        <v>82</v>
      </c>
      <c r="C144" t="s">
        <v>97</v>
      </c>
      <c r="D144">
        <v>5</v>
      </c>
    </row>
    <row r="145" spans="1:4" x14ac:dyDescent="0.2">
      <c r="A145">
        <v>173</v>
      </c>
      <c r="B145">
        <v>79</v>
      </c>
      <c r="C145" t="s">
        <v>97</v>
      </c>
      <c r="D145">
        <v>6</v>
      </c>
    </row>
    <row r="146" spans="1:4" x14ac:dyDescent="0.2">
      <c r="A146">
        <v>182</v>
      </c>
      <c r="B146">
        <v>90</v>
      </c>
      <c r="C146" t="s">
        <v>97</v>
      </c>
      <c r="D146">
        <v>5</v>
      </c>
    </row>
    <row r="147" spans="1:4" x14ac:dyDescent="0.2">
      <c r="A147">
        <v>185</v>
      </c>
      <c r="B147">
        <v>80</v>
      </c>
      <c r="C147" t="s">
        <v>97</v>
      </c>
      <c r="D147">
        <v>2</v>
      </c>
    </row>
    <row r="148" spans="1:4" x14ac:dyDescent="0.2">
      <c r="A148">
        <v>188</v>
      </c>
      <c r="B148">
        <v>67</v>
      </c>
      <c r="C148" t="s">
        <v>97</v>
      </c>
      <c r="D148">
        <v>5</v>
      </c>
    </row>
    <row r="149" spans="1:4" x14ac:dyDescent="0.2">
      <c r="A149">
        <v>190</v>
      </c>
      <c r="B149">
        <v>70</v>
      </c>
      <c r="C149" t="s">
        <v>97</v>
      </c>
      <c r="D149">
        <v>5</v>
      </c>
    </row>
    <row r="150" spans="1:4" x14ac:dyDescent="0.2">
      <c r="A150">
        <v>203</v>
      </c>
      <c r="B150">
        <v>99</v>
      </c>
      <c r="C150" t="s">
        <v>97</v>
      </c>
      <c r="D150">
        <v>4</v>
      </c>
    </row>
    <row r="151" spans="1:4" x14ac:dyDescent="0.2">
      <c r="A151">
        <v>213</v>
      </c>
      <c r="B151">
        <v>100</v>
      </c>
      <c r="C151" t="s">
        <v>97</v>
      </c>
      <c r="D151">
        <v>5</v>
      </c>
    </row>
    <row r="152" spans="1:4" x14ac:dyDescent="0.2">
      <c r="A152">
        <v>225</v>
      </c>
      <c r="B152">
        <v>90</v>
      </c>
      <c r="C152" t="s">
        <v>97</v>
      </c>
      <c r="D152">
        <v>2</v>
      </c>
    </row>
    <row r="153" spans="1:4" x14ac:dyDescent="0.2">
      <c r="A153">
        <v>226</v>
      </c>
      <c r="B153">
        <v>90</v>
      </c>
      <c r="C153" t="s">
        <v>97</v>
      </c>
      <c r="D153">
        <v>3</v>
      </c>
    </row>
    <row r="154" spans="1:4" x14ac:dyDescent="0.2">
      <c r="A154">
        <v>229</v>
      </c>
      <c r="B154">
        <v>71</v>
      </c>
      <c r="C154" t="s">
        <v>97</v>
      </c>
      <c r="D154">
        <v>3</v>
      </c>
    </row>
    <row r="155" spans="1:4" x14ac:dyDescent="0.2">
      <c r="A155">
        <v>230</v>
      </c>
      <c r="B155">
        <v>80</v>
      </c>
      <c r="C155" t="s">
        <v>97</v>
      </c>
      <c r="D155">
        <v>4</v>
      </c>
    </row>
    <row r="156" spans="1:4" x14ac:dyDescent="0.2">
      <c r="A156">
        <v>231</v>
      </c>
      <c r="B156">
        <v>78</v>
      </c>
      <c r="C156" t="s">
        <v>97</v>
      </c>
      <c r="D156">
        <v>2</v>
      </c>
    </row>
    <row r="157" spans="1:4" x14ac:dyDescent="0.2">
      <c r="A157">
        <v>238</v>
      </c>
      <c r="B157">
        <v>91</v>
      </c>
      <c r="C157" t="s">
        <v>97</v>
      </c>
      <c r="D157">
        <v>3</v>
      </c>
    </row>
    <row r="158" spans="1:4" x14ac:dyDescent="0.2">
      <c r="A158">
        <v>240</v>
      </c>
      <c r="B158">
        <v>51</v>
      </c>
      <c r="C158" t="s">
        <v>97</v>
      </c>
      <c r="D158">
        <v>5</v>
      </c>
    </row>
    <row r="159" spans="1:4" x14ac:dyDescent="0.2">
      <c r="A159">
        <v>241</v>
      </c>
      <c r="B159">
        <v>82</v>
      </c>
      <c r="C159" t="s">
        <v>97</v>
      </c>
      <c r="D159">
        <v>3</v>
      </c>
    </row>
    <row r="160" spans="1:4" x14ac:dyDescent="0.2">
      <c r="A160">
        <v>243</v>
      </c>
      <c r="B160">
        <v>100</v>
      </c>
      <c r="C160" t="s">
        <v>97</v>
      </c>
      <c r="D160">
        <v>5</v>
      </c>
    </row>
    <row r="161" spans="1:4" x14ac:dyDescent="0.2">
      <c r="A161">
        <v>244</v>
      </c>
      <c r="B161">
        <v>82</v>
      </c>
      <c r="C161" t="s">
        <v>97</v>
      </c>
      <c r="D161">
        <v>3</v>
      </c>
    </row>
    <row r="162" spans="1:4" x14ac:dyDescent="0.2">
      <c r="A162">
        <v>245</v>
      </c>
      <c r="B162">
        <v>74</v>
      </c>
      <c r="C162" t="s">
        <v>97</v>
      </c>
      <c r="D162">
        <v>4</v>
      </c>
    </row>
    <row r="163" spans="1:4" x14ac:dyDescent="0.2">
      <c r="A163">
        <v>248</v>
      </c>
      <c r="B163">
        <v>70</v>
      </c>
      <c r="C163" t="s">
        <v>97</v>
      </c>
      <c r="D163">
        <v>4</v>
      </c>
    </row>
    <row r="164" spans="1:4" x14ac:dyDescent="0.2">
      <c r="A164">
        <v>252</v>
      </c>
      <c r="B164">
        <v>57</v>
      </c>
      <c r="C164" t="s">
        <v>97</v>
      </c>
      <c r="D164">
        <v>5</v>
      </c>
    </row>
    <row r="165" spans="1:4" x14ac:dyDescent="0.2">
      <c r="A165">
        <v>256</v>
      </c>
      <c r="B165">
        <v>71</v>
      </c>
      <c r="C165" t="s">
        <v>97</v>
      </c>
      <c r="D165">
        <v>5</v>
      </c>
    </row>
    <row r="166" spans="1:4" x14ac:dyDescent="0.2">
      <c r="A166">
        <v>265</v>
      </c>
      <c r="B166">
        <v>90</v>
      </c>
      <c r="C166" t="s">
        <v>97</v>
      </c>
      <c r="D166">
        <v>5</v>
      </c>
    </row>
    <row r="167" spans="1:4" x14ac:dyDescent="0.2">
      <c r="A167">
        <v>266</v>
      </c>
      <c r="B167">
        <v>50</v>
      </c>
      <c r="C167" t="s">
        <v>97</v>
      </c>
      <c r="D167">
        <v>2</v>
      </c>
    </row>
    <row r="168" spans="1:4" x14ac:dyDescent="0.2">
      <c r="A168">
        <v>267</v>
      </c>
      <c r="B168">
        <v>71</v>
      </c>
      <c r="C168" t="s">
        <v>97</v>
      </c>
      <c r="D168">
        <v>5</v>
      </c>
    </row>
    <row r="169" spans="1:4" x14ac:dyDescent="0.2">
      <c r="A169">
        <v>271</v>
      </c>
      <c r="B169">
        <v>80</v>
      </c>
      <c r="C169" t="s">
        <v>97</v>
      </c>
      <c r="D169">
        <v>5</v>
      </c>
    </row>
    <row r="170" spans="1:4" x14ac:dyDescent="0.2">
      <c r="A170">
        <v>272</v>
      </c>
      <c r="B170">
        <v>60</v>
      </c>
      <c r="C170" t="s">
        <v>97</v>
      </c>
      <c r="D170">
        <v>5</v>
      </c>
    </row>
    <row r="171" spans="1:4" x14ac:dyDescent="0.2">
      <c r="A171">
        <v>274</v>
      </c>
      <c r="B171">
        <v>50</v>
      </c>
      <c r="C171" t="s">
        <v>97</v>
      </c>
      <c r="D171">
        <v>5</v>
      </c>
    </row>
    <row r="172" spans="1:4" x14ac:dyDescent="0.2">
      <c r="A172">
        <v>275</v>
      </c>
      <c r="B172">
        <v>100</v>
      </c>
      <c r="C172" t="s">
        <v>97</v>
      </c>
      <c r="D172">
        <v>3</v>
      </c>
    </row>
    <row r="173" spans="1:4" x14ac:dyDescent="0.2">
      <c r="A173">
        <v>284</v>
      </c>
      <c r="B173">
        <v>77</v>
      </c>
      <c r="C173" t="s">
        <v>97</v>
      </c>
      <c r="D173">
        <v>5</v>
      </c>
    </row>
    <row r="174" spans="1:4" x14ac:dyDescent="0.2">
      <c r="A174">
        <v>285</v>
      </c>
      <c r="B174">
        <v>100</v>
      </c>
      <c r="C174" t="s">
        <v>97</v>
      </c>
      <c r="D174">
        <v>6</v>
      </c>
    </row>
    <row r="175" spans="1:4" x14ac:dyDescent="0.2">
      <c r="A175">
        <v>289</v>
      </c>
      <c r="B175">
        <v>88</v>
      </c>
      <c r="C175" t="s">
        <v>97</v>
      </c>
      <c r="D175">
        <v>3</v>
      </c>
    </row>
    <row r="176" spans="1:4" x14ac:dyDescent="0.2">
      <c r="A176">
        <v>293</v>
      </c>
      <c r="B176">
        <v>100</v>
      </c>
      <c r="C176" t="s">
        <v>97</v>
      </c>
      <c r="D176">
        <v>2</v>
      </c>
    </row>
    <row r="177" spans="1:4" x14ac:dyDescent="0.2">
      <c r="A177">
        <v>295</v>
      </c>
      <c r="B177">
        <v>90</v>
      </c>
      <c r="C177" t="s">
        <v>97</v>
      </c>
      <c r="D177">
        <v>5</v>
      </c>
    </row>
    <row r="178" spans="1:4" x14ac:dyDescent="0.2">
      <c r="A178">
        <v>305</v>
      </c>
      <c r="B178">
        <v>85</v>
      </c>
      <c r="C178" t="s">
        <v>97</v>
      </c>
      <c r="D178">
        <v>3</v>
      </c>
    </row>
    <row r="179" spans="1:4" x14ac:dyDescent="0.2">
      <c r="A179">
        <v>310</v>
      </c>
      <c r="B179">
        <v>39</v>
      </c>
      <c r="C179" t="s">
        <v>97</v>
      </c>
      <c r="D179">
        <v>2</v>
      </c>
    </row>
    <row r="180" spans="1:4" x14ac:dyDescent="0.2">
      <c r="A180">
        <v>321</v>
      </c>
      <c r="B180">
        <v>68</v>
      </c>
      <c r="C180" t="s">
        <v>97</v>
      </c>
      <c r="D180">
        <v>5</v>
      </c>
    </row>
    <row r="181" spans="1:4" x14ac:dyDescent="0.2">
      <c r="A181">
        <v>327</v>
      </c>
      <c r="B181">
        <v>94</v>
      </c>
      <c r="C181" t="s">
        <v>97</v>
      </c>
      <c r="D181">
        <v>5</v>
      </c>
    </row>
    <row r="182" spans="1:4" x14ac:dyDescent="0.2">
      <c r="A182">
        <v>328</v>
      </c>
      <c r="B182">
        <v>73</v>
      </c>
      <c r="C182" t="s">
        <v>97</v>
      </c>
      <c r="D182">
        <v>5</v>
      </c>
    </row>
    <row r="183" spans="1:4" x14ac:dyDescent="0.2">
      <c r="A183">
        <v>329</v>
      </c>
      <c r="B183">
        <v>100</v>
      </c>
      <c r="C183" t="s">
        <v>97</v>
      </c>
      <c r="D183">
        <v>5</v>
      </c>
    </row>
    <row r="184" spans="1:4" x14ac:dyDescent="0.2">
      <c r="A184">
        <v>331</v>
      </c>
      <c r="B184">
        <v>51</v>
      </c>
      <c r="C184" t="s">
        <v>97</v>
      </c>
      <c r="D184">
        <v>5</v>
      </c>
    </row>
    <row r="185" spans="1:4" x14ac:dyDescent="0.2">
      <c r="A185">
        <v>334</v>
      </c>
      <c r="B185">
        <v>71</v>
      </c>
      <c r="C185" t="s">
        <v>97</v>
      </c>
      <c r="D185">
        <v>2</v>
      </c>
    </row>
    <row r="186" spans="1:4" x14ac:dyDescent="0.2">
      <c r="A186">
        <v>339</v>
      </c>
      <c r="B186">
        <v>92</v>
      </c>
      <c r="C186" t="s">
        <v>97</v>
      </c>
      <c r="D186">
        <v>5</v>
      </c>
    </row>
    <row r="187" spans="1:4" x14ac:dyDescent="0.2">
      <c r="A187">
        <v>351</v>
      </c>
      <c r="B187">
        <v>79</v>
      </c>
      <c r="C187" t="s">
        <v>97</v>
      </c>
      <c r="D187">
        <v>3</v>
      </c>
    </row>
    <row r="188" spans="1:4" x14ac:dyDescent="0.2">
      <c r="A188">
        <v>353</v>
      </c>
      <c r="B188">
        <v>60</v>
      </c>
      <c r="C188" t="s">
        <v>97</v>
      </c>
      <c r="D188">
        <v>5</v>
      </c>
    </row>
    <row r="189" spans="1:4" x14ac:dyDescent="0.2">
      <c r="A189">
        <v>355</v>
      </c>
      <c r="B189">
        <v>90</v>
      </c>
      <c r="C189" t="s">
        <v>97</v>
      </c>
      <c r="D189">
        <v>4</v>
      </c>
    </row>
    <row r="190" spans="1:4" x14ac:dyDescent="0.2">
      <c r="A190">
        <v>356</v>
      </c>
      <c r="B190">
        <v>49</v>
      </c>
      <c r="C190" t="s">
        <v>97</v>
      </c>
      <c r="D190">
        <v>3</v>
      </c>
    </row>
    <row r="191" spans="1:4" x14ac:dyDescent="0.2">
      <c r="A191">
        <v>357</v>
      </c>
      <c r="B191">
        <v>80</v>
      </c>
      <c r="C191" t="s">
        <v>97</v>
      </c>
      <c r="D191">
        <v>5</v>
      </c>
    </row>
    <row r="192" spans="1:4" x14ac:dyDescent="0.2">
      <c r="A192">
        <v>371</v>
      </c>
      <c r="B192">
        <v>47</v>
      </c>
      <c r="C192" t="s">
        <v>97</v>
      </c>
      <c r="D192">
        <v>3</v>
      </c>
    </row>
    <row r="193" spans="1:4" x14ac:dyDescent="0.2">
      <c r="A193">
        <v>376</v>
      </c>
      <c r="B193">
        <v>88</v>
      </c>
      <c r="C193" t="s">
        <v>97</v>
      </c>
      <c r="D193">
        <v>2</v>
      </c>
    </row>
    <row r="194" spans="1:4" x14ac:dyDescent="0.2">
      <c r="A194">
        <v>385</v>
      </c>
      <c r="B194">
        <v>100</v>
      </c>
      <c r="C194" t="s">
        <v>97</v>
      </c>
      <c r="D194">
        <v>3</v>
      </c>
    </row>
    <row r="195" spans="1:4" x14ac:dyDescent="0.2">
      <c r="A195">
        <v>387</v>
      </c>
      <c r="B195">
        <v>100</v>
      </c>
      <c r="C195" t="s">
        <v>97</v>
      </c>
      <c r="D195">
        <v>5</v>
      </c>
    </row>
    <row r="196" spans="1:4" x14ac:dyDescent="0.2">
      <c r="A196">
        <v>388</v>
      </c>
      <c r="B196">
        <v>90</v>
      </c>
      <c r="C196" t="s">
        <v>97</v>
      </c>
      <c r="D196">
        <v>5</v>
      </c>
    </row>
    <row r="197" spans="1:4" x14ac:dyDescent="0.2">
      <c r="A197">
        <v>390</v>
      </c>
      <c r="B197">
        <v>85</v>
      </c>
      <c r="C197" t="s">
        <v>97</v>
      </c>
      <c r="D197">
        <v>5</v>
      </c>
    </row>
    <row r="198" spans="1:4" x14ac:dyDescent="0.2">
      <c r="A198">
        <v>393</v>
      </c>
      <c r="B198">
        <v>65</v>
      </c>
      <c r="C198" t="s">
        <v>97</v>
      </c>
      <c r="D198">
        <v>5</v>
      </c>
    </row>
    <row r="199" spans="1:4" x14ac:dyDescent="0.2">
      <c r="A199">
        <v>396</v>
      </c>
      <c r="B199">
        <v>100</v>
      </c>
      <c r="C199" t="s">
        <v>97</v>
      </c>
      <c r="D199">
        <v>1</v>
      </c>
    </row>
    <row r="200" spans="1:4" x14ac:dyDescent="0.2">
      <c r="A200">
        <v>2</v>
      </c>
      <c r="B200">
        <v>15</v>
      </c>
      <c r="C200" t="s">
        <v>111</v>
      </c>
      <c r="D200">
        <v>5</v>
      </c>
    </row>
    <row r="201" spans="1:4" x14ac:dyDescent="0.2">
      <c r="A201">
        <v>3</v>
      </c>
      <c r="B201">
        <v>5</v>
      </c>
      <c r="C201" t="s">
        <v>111</v>
      </c>
      <c r="D201">
        <v>5</v>
      </c>
    </row>
    <row r="202" spans="1:4" x14ac:dyDescent="0.2">
      <c r="A202">
        <v>10</v>
      </c>
      <c r="B202">
        <v>5</v>
      </c>
      <c r="C202" t="s">
        <v>111</v>
      </c>
      <c r="D202">
        <v>5</v>
      </c>
    </row>
    <row r="203" spans="1:4" x14ac:dyDescent="0.2">
      <c r="A203">
        <v>16</v>
      </c>
      <c r="B203">
        <v>40</v>
      </c>
      <c r="C203" t="s">
        <v>111</v>
      </c>
      <c r="D203">
        <v>3</v>
      </c>
    </row>
    <row r="204" spans="1:4" x14ac:dyDescent="0.2">
      <c r="A204">
        <v>27</v>
      </c>
      <c r="B204">
        <v>31</v>
      </c>
      <c r="C204" t="s">
        <v>111</v>
      </c>
      <c r="D204">
        <v>5</v>
      </c>
    </row>
    <row r="205" spans="1:4" x14ac:dyDescent="0.2">
      <c r="A205">
        <v>28</v>
      </c>
      <c r="B205">
        <v>9</v>
      </c>
      <c r="C205" t="s">
        <v>111</v>
      </c>
      <c r="D205">
        <v>5</v>
      </c>
    </row>
    <row r="206" spans="1:4" x14ac:dyDescent="0.2">
      <c r="A206">
        <v>29</v>
      </c>
      <c r="B206">
        <v>60</v>
      </c>
      <c r="C206" t="s">
        <v>111</v>
      </c>
      <c r="D206">
        <v>6</v>
      </c>
    </row>
    <row r="207" spans="1:4" x14ac:dyDescent="0.2">
      <c r="A207">
        <v>33</v>
      </c>
      <c r="B207">
        <v>15</v>
      </c>
      <c r="C207" t="s">
        <v>111</v>
      </c>
      <c r="D207">
        <v>6</v>
      </c>
    </row>
    <row r="208" spans="1:4" x14ac:dyDescent="0.2">
      <c r="A208">
        <v>42</v>
      </c>
      <c r="B208">
        <v>60</v>
      </c>
      <c r="C208" t="s">
        <v>111</v>
      </c>
      <c r="D208">
        <v>6</v>
      </c>
    </row>
    <row r="209" spans="1:4" x14ac:dyDescent="0.2">
      <c r="A209">
        <v>44</v>
      </c>
      <c r="B209">
        <v>13</v>
      </c>
      <c r="C209" t="s">
        <v>111</v>
      </c>
      <c r="D209">
        <v>5</v>
      </c>
    </row>
    <row r="210" spans="1:4" x14ac:dyDescent="0.2">
      <c r="A210">
        <v>46</v>
      </c>
      <c r="B210">
        <v>20</v>
      </c>
      <c r="C210" t="s">
        <v>111</v>
      </c>
      <c r="D210">
        <v>4</v>
      </c>
    </row>
    <row r="211" spans="1:4" x14ac:dyDescent="0.2">
      <c r="A211">
        <v>47</v>
      </c>
      <c r="B211">
        <v>37</v>
      </c>
      <c r="C211" t="s">
        <v>111</v>
      </c>
      <c r="D211">
        <v>5</v>
      </c>
    </row>
    <row r="212" spans="1:4" x14ac:dyDescent="0.2">
      <c r="A212">
        <v>51</v>
      </c>
      <c r="B212">
        <v>16</v>
      </c>
      <c r="C212" t="s">
        <v>111</v>
      </c>
      <c r="D212">
        <v>6</v>
      </c>
    </row>
    <row r="213" spans="1:4" x14ac:dyDescent="0.2">
      <c r="A213">
        <v>53</v>
      </c>
      <c r="B213">
        <v>25</v>
      </c>
      <c r="C213" t="s">
        <v>111</v>
      </c>
      <c r="D213">
        <v>3</v>
      </c>
    </row>
    <row r="214" spans="1:4" x14ac:dyDescent="0.2">
      <c r="A214">
        <v>54</v>
      </c>
      <c r="B214">
        <v>13</v>
      </c>
      <c r="C214" t="s">
        <v>111</v>
      </c>
      <c r="D214">
        <v>3</v>
      </c>
    </row>
    <row r="215" spans="1:4" x14ac:dyDescent="0.2">
      <c r="A215">
        <v>62</v>
      </c>
      <c r="B215">
        <v>27</v>
      </c>
      <c r="C215" t="s">
        <v>111</v>
      </c>
      <c r="D215">
        <v>6</v>
      </c>
    </row>
    <row r="216" spans="1:4" x14ac:dyDescent="0.2">
      <c r="A216">
        <v>64</v>
      </c>
      <c r="B216">
        <v>40</v>
      </c>
      <c r="C216" t="s">
        <v>111</v>
      </c>
      <c r="D216">
        <v>4</v>
      </c>
    </row>
    <row r="217" spans="1:4" x14ac:dyDescent="0.2">
      <c r="A217">
        <v>73</v>
      </c>
      <c r="B217">
        <v>0</v>
      </c>
      <c r="C217" t="s">
        <v>111</v>
      </c>
      <c r="D217">
        <v>5</v>
      </c>
    </row>
    <row r="218" spans="1:4" x14ac:dyDescent="0.2">
      <c r="A218">
        <v>75</v>
      </c>
      <c r="B218">
        <v>10</v>
      </c>
      <c r="C218" t="s">
        <v>111</v>
      </c>
      <c r="D218">
        <v>5</v>
      </c>
    </row>
    <row r="219" spans="1:4" x14ac:dyDescent="0.2">
      <c r="A219">
        <v>77</v>
      </c>
      <c r="B219">
        <v>82</v>
      </c>
      <c r="C219" t="s">
        <v>111</v>
      </c>
      <c r="D219">
        <v>3</v>
      </c>
    </row>
    <row r="220" spans="1:4" x14ac:dyDescent="0.2">
      <c r="A220">
        <v>81</v>
      </c>
      <c r="B220">
        <v>23</v>
      </c>
      <c r="C220" t="s">
        <v>111</v>
      </c>
      <c r="D220">
        <v>5</v>
      </c>
    </row>
    <row r="221" spans="1:4" x14ac:dyDescent="0.2">
      <c r="A221">
        <v>88</v>
      </c>
      <c r="B221">
        <v>20</v>
      </c>
      <c r="C221" t="s">
        <v>111</v>
      </c>
      <c r="D221">
        <v>4</v>
      </c>
    </row>
    <row r="222" spans="1:4" x14ac:dyDescent="0.2">
      <c r="A222">
        <v>89</v>
      </c>
      <c r="B222">
        <v>100</v>
      </c>
      <c r="C222" t="s">
        <v>111</v>
      </c>
      <c r="D222">
        <v>3</v>
      </c>
    </row>
    <row r="223" spans="1:4" x14ac:dyDescent="0.2">
      <c r="A223">
        <v>90</v>
      </c>
      <c r="B223">
        <v>51</v>
      </c>
      <c r="C223" t="s">
        <v>111</v>
      </c>
      <c r="D223">
        <v>4</v>
      </c>
    </row>
    <row r="224" spans="1:4" x14ac:dyDescent="0.2">
      <c r="A224">
        <v>91</v>
      </c>
      <c r="B224">
        <v>12</v>
      </c>
      <c r="C224" t="s">
        <v>111</v>
      </c>
      <c r="D224">
        <v>5</v>
      </c>
    </row>
    <row r="225" spans="1:4" x14ac:dyDescent="0.2">
      <c r="A225">
        <v>96</v>
      </c>
      <c r="B225">
        <v>100</v>
      </c>
      <c r="C225" t="s">
        <v>111</v>
      </c>
      <c r="D225">
        <v>4</v>
      </c>
    </row>
    <row r="226" spans="1:4" x14ac:dyDescent="0.2">
      <c r="A226">
        <v>98</v>
      </c>
      <c r="B226">
        <v>67</v>
      </c>
      <c r="C226" t="s">
        <v>111</v>
      </c>
      <c r="D226">
        <v>3</v>
      </c>
    </row>
    <row r="227" spans="1:4" x14ac:dyDescent="0.2">
      <c r="A227">
        <v>105</v>
      </c>
      <c r="B227">
        <v>16</v>
      </c>
      <c r="C227" t="s">
        <v>111</v>
      </c>
      <c r="D227">
        <v>2</v>
      </c>
    </row>
    <row r="228" spans="1:4" x14ac:dyDescent="0.2">
      <c r="A228">
        <v>106</v>
      </c>
      <c r="B228">
        <v>60</v>
      </c>
      <c r="C228" t="s">
        <v>111</v>
      </c>
      <c r="D228">
        <v>4</v>
      </c>
    </row>
    <row r="229" spans="1:4" x14ac:dyDescent="0.2">
      <c r="A229">
        <v>113</v>
      </c>
      <c r="B229">
        <v>62</v>
      </c>
      <c r="C229" t="s">
        <v>111</v>
      </c>
      <c r="D229">
        <v>5</v>
      </c>
    </row>
    <row r="230" spans="1:4" x14ac:dyDescent="0.2">
      <c r="A230">
        <v>114</v>
      </c>
      <c r="B230">
        <v>71</v>
      </c>
      <c r="C230" t="s">
        <v>111</v>
      </c>
      <c r="D230">
        <v>4</v>
      </c>
    </row>
    <row r="231" spans="1:4" x14ac:dyDescent="0.2">
      <c r="A231">
        <v>115</v>
      </c>
      <c r="B231">
        <v>66</v>
      </c>
      <c r="C231" t="s">
        <v>111</v>
      </c>
      <c r="D231">
        <v>5</v>
      </c>
    </row>
    <row r="232" spans="1:4" x14ac:dyDescent="0.2">
      <c r="A232">
        <v>122</v>
      </c>
      <c r="B232">
        <v>30</v>
      </c>
      <c r="C232" t="s">
        <v>111</v>
      </c>
      <c r="D232">
        <v>4</v>
      </c>
    </row>
    <row r="233" spans="1:4" x14ac:dyDescent="0.2">
      <c r="A233">
        <v>129</v>
      </c>
      <c r="B233">
        <v>68</v>
      </c>
      <c r="C233" t="s">
        <v>111</v>
      </c>
      <c r="D233">
        <v>2</v>
      </c>
    </row>
    <row r="234" spans="1:4" x14ac:dyDescent="0.2">
      <c r="A234">
        <v>133</v>
      </c>
      <c r="B234">
        <v>33</v>
      </c>
      <c r="C234" t="s">
        <v>111</v>
      </c>
      <c r="D234">
        <v>4</v>
      </c>
    </row>
    <row r="235" spans="1:4" x14ac:dyDescent="0.2">
      <c r="A235">
        <v>137</v>
      </c>
      <c r="B235">
        <v>67</v>
      </c>
      <c r="C235" t="s">
        <v>111</v>
      </c>
      <c r="D235">
        <v>3</v>
      </c>
    </row>
    <row r="236" spans="1:4" x14ac:dyDescent="0.2">
      <c r="A236">
        <v>143</v>
      </c>
      <c r="B236">
        <v>42</v>
      </c>
      <c r="C236" t="s">
        <v>111</v>
      </c>
      <c r="D236">
        <v>2</v>
      </c>
    </row>
    <row r="237" spans="1:4" x14ac:dyDescent="0.2">
      <c r="A237">
        <v>144</v>
      </c>
      <c r="B237">
        <v>85</v>
      </c>
      <c r="C237" t="s">
        <v>111</v>
      </c>
      <c r="D237">
        <v>6</v>
      </c>
    </row>
    <row r="238" spans="1:4" x14ac:dyDescent="0.2">
      <c r="A238">
        <v>154</v>
      </c>
      <c r="B238">
        <v>100</v>
      </c>
      <c r="C238" t="s">
        <v>111</v>
      </c>
      <c r="D238">
        <v>4</v>
      </c>
    </row>
    <row r="239" spans="1:4" x14ac:dyDescent="0.2">
      <c r="A239">
        <v>157</v>
      </c>
      <c r="B239">
        <v>32</v>
      </c>
      <c r="C239" t="s">
        <v>111</v>
      </c>
      <c r="D239">
        <v>5</v>
      </c>
    </row>
    <row r="240" spans="1:4" x14ac:dyDescent="0.2">
      <c r="A240">
        <v>160</v>
      </c>
      <c r="B240">
        <v>0</v>
      </c>
      <c r="C240" t="s">
        <v>111</v>
      </c>
      <c r="D240">
        <v>0</v>
      </c>
    </row>
    <row r="241" spans="1:4" x14ac:dyDescent="0.2">
      <c r="A241">
        <v>163</v>
      </c>
      <c r="B241">
        <v>6</v>
      </c>
      <c r="C241" t="s">
        <v>111</v>
      </c>
      <c r="D241">
        <v>5</v>
      </c>
    </row>
    <row r="242" spans="1:4" x14ac:dyDescent="0.2">
      <c r="A242">
        <v>164</v>
      </c>
      <c r="B242">
        <v>10</v>
      </c>
      <c r="C242" t="s">
        <v>111</v>
      </c>
      <c r="D242">
        <v>4</v>
      </c>
    </row>
    <row r="243" spans="1:4" x14ac:dyDescent="0.2">
      <c r="A243">
        <v>165</v>
      </c>
      <c r="B243">
        <v>21</v>
      </c>
      <c r="C243" t="s">
        <v>111</v>
      </c>
      <c r="D243">
        <v>2</v>
      </c>
    </row>
    <row r="244" spans="1:4" x14ac:dyDescent="0.2">
      <c r="A244">
        <v>166</v>
      </c>
      <c r="B244">
        <v>43</v>
      </c>
      <c r="C244" t="s">
        <v>111</v>
      </c>
      <c r="D244">
        <v>6</v>
      </c>
    </row>
    <row r="245" spans="1:4" x14ac:dyDescent="0.2">
      <c r="A245">
        <v>168</v>
      </c>
      <c r="B245">
        <v>85</v>
      </c>
      <c r="C245" t="s">
        <v>111</v>
      </c>
      <c r="D245">
        <v>4</v>
      </c>
    </row>
    <row r="246" spans="1:4" x14ac:dyDescent="0.2">
      <c r="A246">
        <v>171</v>
      </c>
      <c r="B246">
        <v>10</v>
      </c>
      <c r="C246" t="s">
        <v>111</v>
      </c>
      <c r="D246">
        <v>6</v>
      </c>
    </row>
    <row r="247" spans="1:4" x14ac:dyDescent="0.2">
      <c r="A247">
        <v>175</v>
      </c>
      <c r="B247">
        <v>20</v>
      </c>
      <c r="C247" t="s">
        <v>111</v>
      </c>
      <c r="D247">
        <v>6</v>
      </c>
    </row>
    <row r="248" spans="1:4" x14ac:dyDescent="0.2">
      <c r="A248">
        <v>178</v>
      </c>
      <c r="B248">
        <v>61</v>
      </c>
      <c r="C248" t="s">
        <v>111</v>
      </c>
      <c r="D248">
        <v>4</v>
      </c>
    </row>
    <row r="249" spans="1:4" x14ac:dyDescent="0.2">
      <c r="A249">
        <v>186</v>
      </c>
      <c r="B249">
        <v>91</v>
      </c>
      <c r="C249" t="s">
        <v>111</v>
      </c>
      <c r="D249">
        <v>4</v>
      </c>
    </row>
    <row r="250" spans="1:4" x14ac:dyDescent="0.2">
      <c r="A250">
        <v>196</v>
      </c>
      <c r="B250">
        <v>35</v>
      </c>
      <c r="C250" t="s">
        <v>111</v>
      </c>
      <c r="D250">
        <v>5</v>
      </c>
    </row>
    <row r="251" spans="1:4" x14ac:dyDescent="0.2">
      <c r="A251">
        <v>199</v>
      </c>
      <c r="B251">
        <v>50</v>
      </c>
      <c r="C251" t="s">
        <v>111</v>
      </c>
      <c r="D251">
        <v>6</v>
      </c>
    </row>
    <row r="252" spans="1:4" x14ac:dyDescent="0.2">
      <c r="A252">
        <v>200</v>
      </c>
      <c r="B252">
        <v>50</v>
      </c>
      <c r="C252" t="s">
        <v>111</v>
      </c>
      <c r="D252">
        <v>2</v>
      </c>
    </row>
    <row r="253" spans="1:4" x14ac:dyDescent="0.2">
      <c r="A253">
        <v>202</v>
      </c>
      <c r="B253">
        <v>72</v>
      </c>
      <c r="C253" t="s">
        <v>111</v>
      </c>
      <c r="D253">
        <v>5</v>
      </c>
    </row>
    <row r="254" spans="1:4" x14ac:dyDescent="0.2">
      <c r="A254">
        <v>206</v>
      </c>
      <c r="B254">
        <v>29</v>
      </c>
      <c r="C254" t="s">
        <v>111</v>
      </c>
      <c r="D254">
        <v>5</v>
      </c>
    </row>
    <row r="255" spans="1:4" x14ac:dyDescent="0.2">
      <c r="A255">
        <v>212</v>
      </c>
      <c r="B255">
        <v>95</v>
      </c>
      <c r="C255" t="s">
        <v>111</v>
      </c>
      <c r="D255">
        <v>4</v>
      </c>
    </row>
    <row r="256" spans="1:4" x14ac:dyDescent="0.2">
      <c r="A256">
        <v>214</v>
      </c>
      <c r="B256">
        <v>46</v>
      </c>
      <c r="C256" t="s">
        <v>111</v>
      </c>
      <c r="D256">
        <v>6</v>
      </c>
    </row>
    <row r="257" spans="1:4" x14ac:dyDescent="0.2">
      <c r="A257">
        <v>217</v>
      </c>
      <c r="B257">
        <v>100</v>
      </c>
      <c r="C257" t="s">
        <v>111</v>
      </c>
      <c r="D257">
        <v>1</v>
      </c>
    </row>
    <row r="258" spans="1:4" x14ac:dyDescent="0.2">
      <c r="A258">
        <v>227</v>
      </c>
      <c r="B258">
        <v>47</v>
      </c>
      <c r="C258" t="s">
        <v>111</v>
      </c>
      <c r="D258">
        <v>3</v>
      </c>
    </row>
    <row r="259" spans="1:4" x14ac:dyDescent="0.2">
      <c r="A259">
        <v>232</v>
      </c>
      <c r="B259">
        <v>4</v>
      </c>
      <c r="C259" t="s">
        <v>111</v>
      </c>
      <c r="D259">
        <v>5</v>
      </c>
    </row>
    <row r="260" spans="1:4" x14ac:dyDescent="0.2">
      <c r="A260">
        <v>242</v>
      </c>
      <c r="B260">
        <v>20</v>
      </c>
      <c r="C260" t="s">
        <v>111</v>
      </c>
      <c r="D260">
        <v>5</v>
      </c>
    </row>
    <row r="261" spans="1:4" x14ac:dyDescent="0.2">
      <c r="A261">
        <v>246</v>
      </c>
      <c r="B261">
        <v>56</v>
      </c>
      <c r="C261" t="s">
        <v>111</v>
      </c>
      <c r="D261">
        <v>5</v>
      </c>
    </row>
    <row r="262" spans="1:4" x14ac:dyDescent="0.2">
      <c r="A262">
        <v>249</v>
      </c>
      <c r="B262">
        <v>73</v>
      </c>
      <c r="C262" t="s">
        <v>111</v>
      </c>
      <c r="D262">
        <v>4</v>
      </c>
    </row>
    <row r="263" spans="1:4" x14ac:dyDescent="0.2">
      <c r="A263">
        <v>250</v>
      </c>
      <c r="B263">
        <v>10</v>
      </c>
      <c r="C263" t="s">
        <v>111</v>
      </c>
      <c r="D263">
        <v>6</v>
      </c>
    </row>
    <row r="264" spans="1:4" x14ac:dyDescent="0.2">
      <c r="A264">
        <v>255</v>
      </c>
      <c r="B264">
        <v>89</v>
      </c>
      <c r="C264" t="s">
        <v>111</v>
      </c>
      <c r="D264">
        <v>2</v>
      </c>
    </row>
    <row r="265" spans="1:4" x14ac:dyDescent="0.2">
      <c r="A265">
        <v>257</v>
      </c>
      <c r="B265">
        <v>85</v>
      </c>
      <c r="C265" t="s">
        <v>111</v>
      </c>
      <c r="D265">
        <v>4</v>
      </c>
    </row>
    <row r="266" spans="1:4" x14ac:dyDescent="0.2">
      <c r="A266">
        <v>259</v>
      </c>
      <c r="B266">
        <v>50</v>
      </c>
      <c r="C266" t="s">
        <v>111</v>
      </c>
      <c r="D266">
        <v>6</v>
      </c>
    </row>
    <row r="267" spans="1:4" x14ac:dyDescent="0.2">
      <c r="A267">
        <v>270</v>
      </c>
      <c r="B267">
        <v>90</v>
      </c>
      <c r="C267" t="s">
        <v>111</v>
      </c>
      <c r="D267">
        <v>4</v>
      </c>
    </row>
    <row r="268" spans="1:4" x14ac:dyDescent="0.2">
      <c r="A268">
        <v>277</v>
      </c>
      <c r="B268">
        <v>68</v>
      </c>
      <c r="C268" t="s">
        <v>111</v>
      </c>
      <c r="D268">
        <v>5</v>
      </c>
    </row>
    <row r="269" spans="1:4" x14ac:dyDescent="0.2">
      <c r="A269">
        <v>279</v>
      </c>
      <c r="B269">
        <v>100</v>
      </c>
      <c r="C269" t="s">
        <v>111</v>
      </c>
      <c r="D269">
        <v>5</v>
      </c>
    </row>
    <row r="270" spans="1:4" x14ac:dyDescent="0.2">
      <c r="A270">
        <v>281</v>
      </c>
      <c r="B270">
        <v>82</v>
      </c>
      <c r="C270" t="s">
        <v>111</v>
      </c>
      <c r="D270">
        <v>4</v>
      </c>
    </row>
    <row r="271" spans="1:4" x14ac:dyDescent="0.2">
      <c r="A271">
        <v>283</v>
      </c>
      <c r="B271">
        <v>15</v>
      </c>
      <c r="C271" t="s">
        <v>111</v>
      </c>
      <c r="D271">
        <v>6</v>
      </c>
    </row>
    <row r="272" spans="1:4" x14ac:dyDescent="0.2">
      <c r="A272">
        <v>287</v>
      </c>
      <c r="B272">
        <v>79</v>
      </c>
      <c r="C272" t="s">
        <v>111</v>
      </c>
      <c r="D272">
        <v>2</v>
      </c>
    </row>
    <row r="273" spans="1:4" x14ac:dyDescent="0.2">
      <c r="A273">
        <v>290</v>
      </c>
      <c r="B273">
        <v>28</v>
      </c>
      <c r="C273" t="s">
        <v>111</v>
      </c>
      <c r="D273">
        <v>5</v>
      </c>
    </row>
    <row r="274" spans="1:4" x14ac:dyDescent="0.2">
      <c r="A274">
        <v>292</v>
      </c>
      <c r="B274">
        <v>40</v>
      </c>
      <c r="C274" t="s">
        <v>111</v>
      </c>
      <c r="D274">
        <v>5</v>
      </c>
    </row>
    <row r="275" spans="1:4" x14ac:dyDescent="0.2">
      <c r="A275">
        <v>294</v>
      </c>
      <c r="B275">
        <v>0</v>
      </c>
      <c r="C275" t="s">
        <v>111</v>
      </c>
      <c r="D275">
        <v>5</v>
      </c>
    </row>
    <row r="276" spans="1:4" x14ac:dyDescent="0.2">
      <c r="A276">
        <v>297</v>
      </c>
      <c r="B276">
        <v>100</v>
      </c>
      <c r="C276" t="s">
        <v>111</v>
      </c>
      <c r="D276">
        <v>5</v>
      </c>
    </row>
    <row r="277" spans="1:4" x14ac:dyDescent="0.2">
      <c r="A277">
        <v>298</v>
      </c>
      <c r="B277">
        <v>41</v>
      </c>
      <c r="C277" t="s">
        <v>111</v>
      </c>
      <c r="D277">
        <v>5</v>
      </c>
    </row>
    <row r="278" spans="1:4" x14ac:dyDescent="0.2">
      <c r="A278">
        <v>300</v>
      </c>
      <c r="B278">
        <v>40</v>
      </c>
      <c r="C278" t="s">
        <v>111</v>
      </c>
      <c r="D278">
        <v>5</v>
      </c>
    </row>
    <row r="279" spans="1:4" x14ac:dyDescent="0.2">
      <c r="A279">
        <v>308</v>
      </c>
      <c r="B279">
        <v>52</v>
      </c>
      <c r="C279" t="s">
        <v>111</v>
      </c>
      <c r="D279">
        <v>3</v>
      </c>
    </row>
    <row r="280" spans="1:4" x14ac:dyDescent="0.2">
      <c r="A280">
        <v>312</v>
      </c>
      <c r="B280">
        <v>54</v>
      </c>
      <c r="C280" t="s">
        <v>111</v>
      </c>
      <c r="D280">
        <v>4</v>
      </c>
    </row>
    <row r="281" spans="1:4" x14ac:dyDescent="0.2">
      <c r="A281">
        <v>314</v>
      </c>
      <c r="B281">
        <v>32</v>
      </c>
      <c r="C281" t="s">
        <v>111</v>
      </c>
      <c r="D281">
        <v>6</v>
      </c>
    </row>
    <row r="282" spans="1:4" x14ac:dyDescent="0.2">
      <c r="A282">
        <v>315</v>
      </c>
      <c r="B282">
        <v>70</v>
      </c>
      <c r="C282" t="s">
        <v>111</v>
      </c>
      <c r="D282">
        <v>5</v>
      </c>
    </row>
    <row r="283" spans="1:4" x14ac:dyDescent="0.2">
      <c r="A283">
        <v>317</v>
      </c>
      <c r="B283">
        <v>0</v>
      </c>
      <c r="C283" t="s">
        <v>111</v>
      </c>
      <c r="D283">
        <v>4</v>
      </c>
    </row>
    <row r="284" spans="1:4" x14ac:dyDescent="0.2">
      <c r="A284">
        <v>318</v>
      </c>
      <c r="B284">
        <v>77</v>
      </c>
      <c r="C284" t="s">
        <v>111</v>
      </c>
      <c r="D284">
        <v>3</v>
      </c>
    </row>
    <row r="285" spans="1:4" x14ac:dyDescent="0.2">
      <c r="A285">
        <v>319</v>
      </c>
      <c r="B285">
        <v>15</v>
      </c>
      <c r="C285" t="s">
        <v>111</v>
      </c>
      <c r="D285">
        <v>5</v>
      </c>
    </row>
    <row r="286" spans="1:4" x14ac:dyDescent="0.2">
      <c r="A286">
        <v>330</v>
      </c>
      <c r="B286">
        <v>10</v>
      </c>
      <c r="C286" t="s">
        <v>111</v>
      </c>
      <c r="D286">
        <v>6</v>
      </c>
    </row>
    <row r="287" spans="1:4" x14ac:dyDescent="0.2">
      <c r="A287">
        <v>337</v>
      </c>
      <c r="B287">
        <v>60</v>
      </c>
      <c r="C287" t="s">
        <v>111</v>
      </c>
      <c r="D287">
        <v>5</v>
      </c>
    </row>
    <row r="288" spans="1:4" x14ac:dyDescent="0.2">
      <c r="A288">
        <v>343</v>
      </c>
      <c r="B288">
        <v>100</v>
      </c>
      <c r="C288" t="s">
        <v>111</v>
      </c>
      <c r="D288">
        <v>3</v>
      </c>
    </row>
    <row r="289" spans="1:4" x14ac:dyDescent="0.2">
      <c r="A289">
        <v>346</v>
      </c>
      <c r="B289">
        <v>10</v>
      </c>
      <c r="C289" t="s">
        <v>111</v>
      </c>
      <c r="D289">
        <v>5</v>
      </c>
    </row>
    <row r="290" spans="1:4" x14ac:dyDescent="0.2">
      <c r="A290">
        <v>347</v>
      </c>
      <c r="B290">
        <v>20</v>
      </c>
      <c r="C290" t="s">
        <v>111</v>
      </c>
      <c r="D290">
        <v>4</v>
      </c>
    </row>
    <row r="291" spans="1:4" x14ac:dyDescent="0.2">
      <c r="A291">
        <v>359</v>
      </c>
      <c r="B291">
        <v>45</v>
      </c>
      <c r="C291" t="s">
        <v>111</v>
      </c>
      <c r="D291">
        <v>5</v>
      </c>
    </row>
    <row r="292" spans="1:4" x14ac:dyDescent="0.2">
      <c r="A292">
        <v>362</v>
      </c>
      <c r="B292">
        <v>15</v>
      </c>
      <c r="C292" t="s">
        <v>111</v>
      </c>
      <c r="D292">
        <v>5</v>
      </c>
    </row>
    <row r="293" spans="1:4" x14ac:dyDescent="0.2">
      <c r="A293">
        <v>365</v>
      </c>
      <c r="B293">
        <v>70</v>
      </c>
      <c r="C293" t="s">
        <v>111</v>
      </c>
      <c r="D293">
        <v>4</v>
      </c>
    </row>
    <row r="294" spans="1:4" x14ac:dyDescent="0.2">
      <c r="A294">
        <v>369</v>
      </c>
      <c r="B294">
        <v>0</v>
      </c>
      <c r="C294" t="s">
        <v>111</v>
      </c>
      <c r="D294">
        <v>5</v>
      </c>
    </row>
    <row r="295" spans="1:4" x14ac:dyDescent="0.2">
      <c r="A295">
        <v>375</v>
      </c>
      <c r="B295">
        <v>82</v>
      </c>
      <c r="C295" t="s">
        <v>111</v>
      </c>
      <c r="D295">
        <v>3</v>
      </c>
    </row>
    <row r="296" spans="1:4" x14ac:dyDescent="0.2">
      <c r="A296">
        <v>377</v>
      </c>
      <c r="B296">
        <v>65</v>
      </c>
      <c r="C296" t="s">
        <v>111</v>
      </c>
      <c r="D296">
        <v>5</v>
      </c>
    </row>
    <row r="297" spans="1:4" x14ac:dyDescent="0.2">
      <c r="A297">
        <v>378</v>
      </c>
      <c r="B297">
        <v>37</v>
      </c>
      <c r="C297" t="s">
        <v>111</v>
      </c>
      <c r="D297">
        <v>3</v>
      </c>
    </row>
    <row r="298" spans="1:4" x14ac:dyDescent="0.2">
      <c r="A298">
        <v>384</v>
      </c>
      <c r="B298">
        <v>40</v>
      </c>
      <c r="C298" t="s">
        <v>111</v>
      </c>
      <c r="D298">
        <v>5</v>
      </c>
    </row>
    <row r="299" spans="1:4" x14ac:dyDescent="0.2">
      <c r="A299">
        <v>386</v>
      </c>
      <c r="B299">
        <v>95</v>
      </c>
      <c r="C299" t="s">
        <v>111</v>
      </c>
      <c r="D299">
        <v>4</v>
      </c>
    </row>
    <row r="300" spans="1:4" x14ac:dyDescent="0.2">
      <c r="A300">
        <v>4</v>
      </c>
      <c r="B300">
        <v>0</v>
      </c>
      <c r="C300" t="s">
        <v>125</v>
      </c>
      <c r="D300">
        <v>3</v>
      </c>
    </row>
    <row r="301" spans="1:4" x14ac:dyDescent="0.2">
      <c r="A301">
        <v>6</v>
      </c>
      <c r="B301">
        <v>61</v>
      </c>
      <c r="C301" t="s">
        <v>125</v>
      </c>
      <c r="D301">
        <v>3</v>
      </c>
    </row>
    <row r="302" spans="1:4" x14ac:dyDescent="0.2">
      <c r="A302">
        <v>12</v>
      </c>
      <c r="B302">
        <v>10</v>
      </c>
      <c r="C302" t="s">
        <v>125</v>
      </c>
      <c r="D302">
        <v>3</v>
      </c>
    </row>
    <row r="303" spans="1:4" x14ac:dyDescent="0.2">
      <c r="A303">
        <v>13</v>
      </c>
      <c r="B303">
        <v>16</v>
      </c>
      <c r="C303" t="s">
        <v>125</v>
      </c>
      <c r="D303">
        <v>5</v>
      </c>
    </row>
    <row r="304" spans="1:4" x14ac:dyDescent="0.2">
      <c r="A304">
        <v>20</v>
      </c>
      <c r="B304">
        <v>10</v>
      </c>
      <c r="C304" t="s">
        <v>125</v>
      </c>
      <c r="D304">
        <v>6</v>
      </c>
    </row>
    <row r="305" spans="1:4" x14ac:dyDescent="0.2">
      <c r="A305">
        <v>21</v>
      </c>
      <c r="B305">
        <v>75</v>
      </c>
      <c r="C305" t="s">
        <v>125</v>
      </c>
      <c r="D305">
        <v>5</v>
      </c>
    </row>
    <row r="306" spans="1:4" x14ac:dyDescent="0.2">
      <c r="A306">
        <v>26</v>
      </c>
      <c r="B306">
        <v>0</v>
      </c>
      <c r="C306" t="s">
        <v>125</v>
      </c>
      <c r="D306">
        <v>2</v>
      </c>
    </row>
    <row r="307" spans="1:4" x14ac:dyDescent="0.2">
      <c r="A307">
        <v>30</v>
      </c>
      <c r="B307">
        <v>20</v>
      </c>
      <c r="C307" t="s">
        <v>125</v>
      </c>
      <c r="D307">
        <v>4</v>
      </c>
    </row>
    <row r="308" spans="1:4" x14ac:dyDescent="0.2">
      <c r="A308">
        <v>36</v>
      </c>
      <c r="B308">
        <v>15</v>
      </c>
      <c r="C308" t="s">
        <v>125</v>
      </c>
      <c r="D308">
        <v>5</v>
      </c>
    </row>
    <row r="309" spans="1:4" x14ac:dyDescent="0.2">
      <c r="A309">
        <v>39</v>
      </c>
      <c r="B309">
        <v>3</v>
      </c>
      <c r="C309" t="s">
        <v>125</v>
      </c>
      <c r="D309">
        <v>5</v>
      </c>
    </row>
    <row r="310" spans="1:4" x14ac:dyDescent="0.2">
      <c r="A310">
        <v>50</v>
      </c>
      <c r="B310">
        <v>10</v>
      </c>
      <c r="C310" t="s">
        <v>125</v>
      </c>
      <c r="D310">
        <v>5</v>
      </c>
    </row>
    <row r="311" spans="1:4" x14ac:dyDescent="0.2">
      <c r="A311">
        <v>59</v>
      </c>
      <c r="B311">
        <v>57</v>
      </c>
      <c r="C311" t="s">
        <v>125</v>
      </c>
      <c r="D311">
        <v>3</v>
      </c>
    </row>
    <row r="312" spans="1:4" x14ac:dyDescent="0.2">
      <c r="A312">
        <v>66</v>
      </c>
      <c r="B312">
        <v>31</v>
      </c>
      <c r="C312" t="s">
        <v>125</v>
      </c>
      <c r="D312">
        <v>3</v>
      </c>
    </row>
    <row r="313" spans="1:4" x14ac:dyDescent="0.2">
      <c r="A313">
        <v>68</v>
      </c>
      <c r="B313">
        <v>65</v>
      </c>
      <c r="C313" t="s">
        <v>125</v>
      </c>
      <c r="D313">
        <v>6</v>
      </c>
    </row>
    <row r="314" spans="1:4" x14ac:dyDescent="0.2">
      <c r="A314">
        <v>70</v>
      </c>
      <c r="B314">
        <v>80</v>
      </c>
      <c r="C314" t="s">
        <v>125</v>
      </c>
      <c r="D314">
        <v>5</v>
      </c>
    </row>
    <row r="315" spans="1:4" x14ac:dyDescent="0.2">
      <c r="A315">
        <v>72</v>
      </c>
      <c r="B315">
        <v>0</v>
      </c>
      <c r="C315" t="s">
        <v>125</v>
      </c>
      <c r="D315">
        <v>6</v>
      </c>
    </row>
    <row r="316" spans="1:4" x14ac:dyDescent="0.2">
      <c r="A316">
        <v>74</v>
      </c>
      <c r="B316">
        <v>36</v>
      </c>
      <c r="C316" t="s">
        <v>125</v>
      </c>
      <c r="D316">
        <v>5</v>
      </c>
    </row>
    <row r="317" spans="1:4" x14ac:dyDescent="0.2">
      <c r="A317">
        <v>76</v>
      </c>
      <c r="B317">
        <v>20</v>
      </c>
      <c r="C317" t="s">
        <v>125</v>
      </c>
      <c r="D317">
        <v>5</v>
      </c>
    </row>
    <row r="318" spans="1:4" x14ac:dyDescent="0.2">
      <c r="A318">
        <v>80</v>
      </c>
      <c r="B318">
        <v>72</v>
      </c>
      <c r="C318" t="s">
        <v>125</v>
      </c>
      <c r="D318">
        <v>5</v>
      </c>
    </row>
    <row r="319" spans="1:4" x14ac:dyDescent="0.2">
      <c r="A319">
        <v>82</v>
      </c>
      <c r="B319">
        <v>82</v>
      </c>
      <c r="C319" t="s">
        <v>125</v>
      </c>
      <c r="D319">
        <v>0</v>
      </c>
    </row>
    <row r="320" spans="1:4" x14ac:dyDescent="0.2">
      <c r="A320">
        <v>85</v>
      </c>
      <c r="B320">
        <v>10</v>
      </c>
      <c r="C320" t="s">
        <v>125</v>
      </c>
      <c r="D320">
        <v>6</v>
      </c>
    </row>
    <row r="321" spans="1:4" x14ac:dyDescent="0.2">
      <c r="A321">
        <v>86</v>
      </c>
      <c r="B321">
        <v>75</v>
      </c>
      <c r="C321" t="s">
        <v>125</v>
      </c>
      <c r="D321">
        <v>2</v>
      </c>
    </row>
    <row r="322" spans="1:4" x14ac:dyDescent="0.2">
      <c r="A322">
        <v>92</v>
      </c>
      <c r="B322">
        <v>11</v>
      </c>
      <c r="C322" t="s">
        <v>125</v>
      </c>
      <c r="D322">
        <v>4</v>
      </c>
    </row>
    <row r="323" spans="1:4" x14ac:dyDescent="0.2">
      <c r="A323">
        <v>101</v>
      </c>
      <c r="B323">
        <v>70</v>
      </c>
      <c r="C323" t="s">
        <v>125</v>
      </c>
      <c r="D323">
        <v>4</v>
      </c>
    </row>
    <row r="324" spans="1:4" x14ac:dyDescent="0.2">
      <c r="A324">
        <v>103</v>
      </c>
      <c r="B324">
        <v>65</v>
      </c>
      <c r="C324" t="s">
        <v>125</v>
      </c>
      <c r="D324">
        <v>4</v>
      </c>
    </row>
    <row r="325" spans="1:4" x14ac:dyDescent="0.2">
      <c r="A325">
        <v>109</v>
      </c>
      <c r="B325">
        <v>100</v>
      </c>
      <c r="C325" t="s">
        <v>125</v>
      </c>
      <c r="D325">
        <v>3</v>
      </c>
    </row>
    <row r="326" spans="1:4" x14ac:dyDescent="0.2">
      <c r="A326">
        <v>111</v>
      </c>
      <c r="B326">
        <v>66</v>
      </c>
      <c r="C326" t="s">
        <v>125</v>
      </c>
      <c r="D326">
        <v>5</v>
      </c>
    </row>
    <row r="327" spans="1:4" x14ac:dyDescent="0.2">
      <c r="A327">
        <v>118</v>
      </c>
      <c r="B327">
        <v>5</v>
      </c>
      <c r="C327" t="s">
        <v>125</v>
      </c>
      <c r="D327">
        <v>5</v>
      </c>
    </row>
    <row r="328" spans="1:4" x14ac:dyDescent="0.2">
      <c r="A328">
        <v>121</v>
      </c>
      <c r="B328">
        <v>15</v>
      </c>
      <c r="C328" t="s">
        <v>125</v>
      </c>
      <c r="D328">
        <v>4</v>
      </c>
    </row>
    <row r="329" spans="1:4" x14ac:dyDescent="0.2">
      <c r="A329">
        <v>124</v>
      </c>
      <c r="B329">
        <v>64</v>
      </c>
      <c r="C329" t="s">
        <v>125</v>
      </c>
      <c r="D329">
        <v>5</v>
      </c>
    </row>
    <row r="330" spans="1:4" x14ac:dyDescent="0.2">
      <c r="A330">
        <v>125</v>
      </c>
      <c r="B330">
        <v>77</v>
      </c>
      <c r="C330" t="s">
        <v>125</v>
      </c>
      <c r="D330">
        <v>5</v>
      </c>
    </row>
    <row r="331" spans="1:4" x14ac:dyDescent="0.2">
      <c r="A331">
        <v>126</v>
      </c>
      <c r="B331">
        <v>25</v>
      </c>
      <c r="C331" t="s">
        <v>125</v>
      </c>
      <c r="D331">
        <v>5</v>
      </c>
    </row>
    <row r="332" spans="1:4" x14ac:dyDescent="0.2">
      <c r="A332">
        <v>127</v>
      </c>
      <c r="B332">
        <v>80</v>
      </c>
      <c r="C332" t="s">
        <v>125</v>
      </c>
      <c r="D332">
        <v>4</v>
      </c>
    </row>
    <row r="333" spans="1:4" x14ac:dyDescent="0.2">
      <c r="A333">
        <v>128</v>
      </c>
      <c r="B333">
        <v>25</v>
      </c>
      <c r="C333" t="s">
        <v>125</v>
      </c>
      <c r="D333">
        <v>5</v>
      </c>
    </row>
    <row r="334" spans="1:4" x14ac:dyDescent="0.2">
      <c r="A334">
        <v>131</v>
      </c>
      <c r="B334">
        <v>0</v>
      </c>
      <c r="C334" t="s">
        <v>125</v>
      </c>
      <c r="D334">
        <v>6</v>
      </c>
    </row>
    <row r="335" spans="1:4" x14ac:dyDescent="0.2">
      <c r="A335">
        <v>134</v>
      </c>
      <c r="B335">
        <v>33</v>
      </c>
      <c r="C335" t="s">
        <v>125</v>
      </c>
      <c r="D335">
        <v>4</v>
      </c>
    </row>
    <row r="336" spans="1:4" x14ac:dyDescent="0.2">
      <c r="A336">
        <v>139</v>
      </c>
      <c r="B336">
        <v>30</v>
      </c>
      <c r="C336" t="s">
        <v>125</v>
      </c>
      <c r="D336">
        <v>4</v>
      </c>
    </row>
    <row r="337" spans="1:4" x14ac:dyDescent="0.2">
      <c r="A337">
        <v>142</v>
      </c>
      <c r="B337">
        <v>20</v>
      </c>
      <c r="C337" t="s">
        <v>125</v>
      </c>
      <c r="D337">
        <v>5</v>
      </c>
    </row>
    <row r="338" spans="1:4" x14ac:dyDescent="0.2">
      <c r="A338">
        <v>147</v>
      </c>
      <c r="B338">
        <v>25</v>
      </c>
      <c r="C338" t="s">
        <v>125</v>
      </c>
      <c r="D338">
        <v>4</v>
      </c>
    </row>
    <row r="339" spans="1:4" x14ac:dyDescent="0.2">
      <c r="A339">
        <v>153</v>
      </c>
      <c r="B339">
        <v>11</v>
      </c>
      <c r="C339" t="s">
        <v>125</v>
      </c>
      <c r="D339">
        <v>4</v>
      </c>
    </row>
    <row r="340" spans="1:4" x14ac:dyDescent="0.2">
      <c r="A340">
        <v>170</v>
      </c>
      <c r="B340">
        <v>60</v>
      </c>
      <c r="C340" t="s">
        <v>125</v>
      </c>
      <c r="D340">
        <v>5</v>
      </c>
    </row>
    <row r="341" spans="1:4" x14ac:dyDescent="0.2">
      <c r="A341">
        <v>172</v>
      </c>
      <c r="B341">
        <v>64</v>
      </c>
      <c r="C341" t="s">
        <v>125</v>
      </c>
      <c r="D341">
        <v>6</v>
      </c>
    </row>
    <row r="342" spans="1:4" x14ac:dyDescent="0.2">
      <c r="A342">
        <v>177</v>
      </c>
      <c r="B342">
        <v>50</v>
      </c>
      <c r="C342" t="s">
        <v>125</v>
      </c>
      <c r="D342">
        <v>2</v>
      </c>
    </row>
    <row r="343" spans="1:4" x14ac:dyDescent="0.2">
      <c r="A343">
        <v>179</v>
      </c>
      <c r="B343">
        <v>86</v>
      </c>
      <c r="C343" t="s">
        <v>125</v>
      </c>
      <c r="D343">
        <v>3</v>
      </c>
    </row>
    <row r="344" spans="1:4" x14ac:dyDescent="0.2">
      <c r="A344">
        <v>180</v>
      </c>
      <c r="B344">
        <v>10</v>
      </c>
      <c r="C344" t="s">
        <v>125</v>
      </c>
      <c r="D344">
        <v>4</v>
      </c>
    </row>
    <row r="345" spans="1:4" x14ac:dyDescent="0.2">
      <c r="A345">
        <v>181</v>
      </c>
      <c r="B345">
        <v>100</v>
      </c>
      <c r="C345" t="s">
        <v>125</v>
      </c>
      <c r="D345">
        <v>5</v>
      </c>
    </row>
    <row r="346" spans="1:4" x14ac:dyDescent="0.2">
      <c r="A346">
        <v>183</v>
      </c>
      <c r="B346">
        <v>25</v>
      </c>
      <c r="C346" t="s">
        <v>125</v>
      </c>
      <c r="D346">
        <v>0</v>
      </c>
    </row>
    <row r="347" spans="1:4" x14ac:dyDescent="0.2">
      <c r="A347">
        <v>191</v>
      </c>
      <c r="B347">
        <v>62</v>
      </c>
      <c r="C347" t="s">
        <v>125</v>
      </c>
      <c r="D347">
        <v>1</v>
      </c>
    </row>
    <row r="348" spans="1:4" x14ac:dyDescent="0.2">
      <c r="A348">
        <v>193</v>
      </c>
      <c r="B348">
        <v>79</v>
      </c>
      <c r="C348" t="s">
        <v>125</v>
      </c>
      <c r="D348">
        <v>2</v>
      </c>
    </row>
    <row r="349" spans="1:4" x14ac:dyDescent="0.2">
      <c r="A349">
        <v>195</v>
      </c>
      <c r="B349">
        <v>35</v>
      </c>
      <c r="C349" t="s">
        <v>125</v>
      </c>
      <c r="D349">
        <v>5</v>
      </c>
    </row>
    <row r="350" spans="1:4" x14ac:dyDescent="0.2">
      <c r="A350">
        <v>197</v>
      </c>
      <c r="B350">
        <v>20</v>
      </c>
      <c r="C350" t="s">
        <v>125</v>
      </c>
      <c r="D350">
        <v>3</v>
      </c>
    </row>
    <row r="351" spans="1:4" x14ac:dyDescent="0.2">
      <c r="A351">
        <v>198</v>
      </c>
      <c r="B351">
        <v>5</v>
      </c>
      <c r="C351" t="s">
        <v>125</v>
      </c>
      <c r="D351">
        <v>6</v>
      </c>
    </row>
    <row r="352" spans="1:4" x14ac:dyDescent="0.2">
      <c r="A352">
        <v>201</v>
      </c>
      <c r="B352">
        <v>92</v>
      </c>
      <c r="C352" t="s">
        <v>125</v>
      </c>
      <c r="D352">
        <v>5</v>
      </c>
    </row>
    <row r="353" spans="1:4" x14ac:dyDescent="0.2">
      <c r="A353">
        <v>208</v>
      </c>
      <c r="B353">
        <v>60</v>
      </c>
      <c r="C353" t="s">
        <v>125</v>
      </c>
      <c r="D353">
        <v>6</v>
      </c>
    </row>
    <row r="354" spans="1:4" x14ac:dyDescent="0.2">
      <c r="A354">
        <v>210</v>
      </c>
      <c r="B354">
        <v>43</v>
      </c>
      <c r="C354" t="s">
        <v>125</v>
      </c>
      <c r="D354">
        <v>4</v>
      </c>
    </row>
    <row r="355" spans="1:4" x14ac:dyDescent="0.2">
      <c r="A355">
        <v>211</v>
      </c>
      <c r="B355">
        <v>91</v>
      </c>
      <c r="C355" t="s">
        <v>125</v>
      </c>
      <c r="D355">
        <v>5</v>
      </c>
    </row>
    <row r="356" spans="1:4" x14ac:dyDescent="0.2">
      <c r="A356">
        <v>215</v>
      </c>
      <c r="B356">
        <v>60</v>
      </c>
      <c r="C356" t="s">
        <v>125</v>
      </c>
      <c r="D356">
        <v>2</v>
      </c>
    </row>
    <row r="357" spans="1:4" x14ac:dyDescent="0.2">
      <c r="A357">
        <v>222</v>
      </c>
      <c r="B357">
        <v>55</v>
      </c>
      <c r="C357" t="s">
        <v>125</v>
      </c>
      <c r="D357">
        <v>5</v>
      </c>
    </row>
    <row r="358" spans="1:4" x14ac:dyDescent="0.2">
      <c r="A358">
        <v>223</v>
      </c>
      <c r="B358">
        <v>1</v>
      </c>
      <c r="C358" t="s">
        <v>125</v>
      </c>
      <c r="D358">
        <v>5</v>
      </c>
    </row>
    <row r="359" spans="1:4" x14ac:dyDescent="0.2">
      <c r="A359">
        <v>228</v>
      </c>
      <c r="B359">
        <v>15</v>
      </c>
      <c r="C359" t="s">
        <v>125</v>
      </c>
      <c r="D359">
        <v>5</v>
      </c>
    </row>
    <row r="360" spans="1:4" x14ac:dyDescent="0.2">
      <c r="A360">
        <v>234</v>
      </c>
      <c r="B360">
        <v>100</v>
      </c>
      <c r="C360" t="s">
        <v>125</v>
      </c>
      <c r="D360">
        <v>5</v>
      </c>
    </row>
    <row r="361" spans="1:4" x14ac:dyDescent="0.2">
      <c r="A361">
        <v>236</v>
      </c>
      <c r="B361">
        <v>5</v>
      </c>
      <c r="C361" t="s">
        <v>125</v>
      </c>
      <c r="D361">
        <v>6</v>
      </c>
    </row>
    <row r="362" spans="1:4" x14ac:dyDescent="0.2">
      <c r="A362">
        <v>253</v>
      </c>
      <c r="B362">
        <v>20</v>
      </c>
      <c r="C362" t="s">
        <v>125</v>
      </c>
      <c r="D362">
        <v>5</v>
      </c>
    </row>
    <row r="363" spans="1:4" x14ac:dyDescent="0.2">
      <c r="A363">
        <v>254</v>
      </c>
      <c r="B363">
        <v>55</v>
      </c>
      <c r="C363" t="s">
        <v>125</v>
      </c>
      <c r="D363">
        <v>4</v>
      </c>
    </row>
    <row r="364" spans="1:4" x14ac:dyDescent="0.2">
      <c r="A364">
        <v>258</v>
      </c>
      <c r="B364">
        <v>11</v>
      </c>
      <c r="C364" t="s">
        <v>125</v>
      </c>
      <c r="D364">
        <v>5</v>
      </c>
    </row>
    <row r="365" spans="1:4" x14ac:dyDescent="0.2">
      <c r="A365">
        <v>260</v>
      </c>
      <c r="B365">
        <v>94</v>
      </c>
      <c r="C365" t="s">
        <v>125</v>
      </c>
      <c r="D365">
        <v>4</v>
      </c>
    </row>
    <row r="366" spans="1:4" x14ac:dyDescent="0.2">
      <c r="A366">
        <v>278</v>
      </c>
      <c r="B366">
        <v>6</v>
      </c>
      <c r="C366" t="s">
        <v>125</v>
      </c>
      <c r="D366">
        <v>6</v>
      </c>
    </row>
    <row r="367" spans="1:4" x14ac:dyDescent="0.2">
      <c r="A367">
        <v>280</v>
      </c>
      <c r="B367">
        <v>30</v>
      </c>
      <c r="C367" t="s">
        <v>125</v>
      </c>
      <c r="D367">
        <v>5</v>
      </c>
    </row>
    <row r="368" spans="1:4" x14ac:dyDescent="0.2">
      <c r="A368">
        <v>282</v>
      </c>
      <c r="B368">
        <v>15</v>
      </c>
      <c r="C368" t="s">
        <v>125</v>
      </c>
      <c r="D368">
        <v>5</v>
      </c>
    </row>
    <row r="369" spans="1:4" x14ac:dyDescent="0.2">
      <c r="A369">
        <v>286</v>
      </c>
      <c r="B369">
        <v>9</v>
      </c>
      <c r="C369" t="s">
        <v>125</v>
      </c>
      <c r="D369">
        <v>5</v>
      </c>
    </row>
    <row r="370" spans="1:4" x14ac:dyDescent="0.2">
      <c r="A370">
        <v>288</v>
      </c>
      <c r="B370">
        <v>60</v>
      </c>
      <c r="C370" t="s">
        <v>125</v>
      </c>
      <c r="D370">
        <v>5</v>
      </c>
    </row>
    <row r="371" spans="1:4" x14ac:dyDescent="0.2">
      <c r="A371">
        <v>299</v>
      </c>
      <c r="B371">
        <v>30</v>
      </c>
      <c r="C371" t="s">
        <v>125</v>
      </c>
      <c r="D371">
        <v>5</v>
      </c>
    </row>
    <row r="372" spans="1:4" x14ac:dyDescent="0.2">
      <c r="A372">
        <v>301</v>
      </c>
      <c r="B372">
        <v>90</v>
      </c>
      <c r="C372" t="s">
        <v>125</v>
      </c>
      <c r="D372">
        <v>4</v>
      </c>
    </row>
    <row r="373" spans="1:4" x14ac:dyDescent="0.2">
      <c r="A373">
        <v>302</v>
      </c>
      <c r="B373">
        <v>98</v>
      </c>
      <c r="C373" t="s">
        <v>125</v>
      </c>
      <c r="D373">
        <v>3</v>
      </c>
    </row>
    <row r="374" spans="1:4" x14ac:dyDescent="0.2">
      <c r="A374">
        <v>306</v>
      </c>
      <c r="B374">
        <v>19</v>
      </c>
      <c r="C374" t="s">
        <v>125</v>
      </c>
      <c r="D374">
        <v>6</v>
      </c>
    </row>
    <row r="375" spans="1:4" x14ac:dyDescent="0.2">
      <c r="A375">
        <v>307</v>
      </c>
      <c r="B375">
        <v>71</v>
      </c>
      <c r="C375" t="s">
        <v>125</v>
      </c>
      <c r="D375">
        <v>5</v>
      </c>
    </row>
    <row r="376" spans="1:4" x14ac:dyDescent="0.2">
      <c r="A376">
        <v>309</v>
      </c>
      <c r="B376">
        <v>35</v>
      </c>
      <c r="C376" t="s">
        <v>125</v>
      </c>
      <c r="D376">
        <v>6</v>
      </c>
    </row>
    <row r="377" spans="1:4" x14ac:dyDescent="0.2">
      <c r="A377">
        <v>313</v>
      </c>
      <c r="B377">
        <v>75</v>
      </c>
      <c r="C377" t="s">
        <v>125</v>
      </c>
      <c r="D377">
        <v>2</v>
      </c>
    </row>
    <row r="378" spans="1:4" x14ac:dyDescent="0.2">
      <c r="A378">
        <v>324</v>
      </c>
      <c r="B378">
        <v>70</v>
      </c>
      <c r="C378" t="s">
        <v>125</v>
      </c>
      <c r="D378">
        <v>3</v>
      </c>
    </row>
    <row r="379" spans="1:4" x14ac:dyDescent="0.2">
      <c r="A379">
        <v>325</v>
      </c>
      <c r="B379">
        <v>5</v>
      </c>
      <c r="C379" t="s">
        <v>125</v>
      </c>
      <c r="D379">
        <v>5</v>
      </c>
    </row>
    <row r="380" spans="1:4" x14ac:dyDescent="0.2">
      <c r="A380">
        <v>326</v>
      </c>
      <c r="B380">
        <v>20</v>
      </c>
      <c r="C380" t="s">
        <v>125</v>
      </c>
      <c r="D380">
        <v>5</v>
      </c>
    </row>
    <row r="381" spans="1:4" x14ac:dyDescent="0.2">
      <c r="A381">
        <v>332</v>
      </c>
      <c r="B381">
        <v>0</v>
      </c>
      <c r="C381" t="s">
        <v>125</v>
      </c>
      <c r="D381">
        <v>5</v>
      </c>
    </row>
    <row r="382" spans="1:4" x14ac:dyDescent="0.2">
      <c r="A382">
        <v>333</v>
      </c>
      <c r="B382">
        <v>100</v>
      </c>
      <c r="C382" t="s">
        <v>125</v>
      </c>
      <c r="D382">
        <v>5</v>
      </c>
    </row>
    <row r="383" spans="1:4" x14ac:dyDescent="0.2">
      <c r="A383">
        <v>342</v>
      </c>
      <c r="B383">
        <v>50</v>
      </c>
      <c r="C383" t="s">
        <v>125</v>
      </c>
      <c r="D383">
        <v>3</v>
      </c>
    </row>
    <row r="384" spans="1:4" x14ac:dyDescent="0.2">
      <c r="A384">
        <v>344</v>
      </c>
      <c r="B384">
        <v>25</v>
      </c>
      <c r="C384" t="s">
        <v>125</v>
      </c>
      <c r="D384">
        <v>4</v>
      </c>
    </row>
    <row r="385" spans="1:4" x14ac:dyDescent="0.2">
      <c r="A385">
        <v>348</v>
      </c>
      <c r="B385">
        <v>7</v>
      </c>
      <c r="C385" t="s">
        <v>125</v>
      </c>
      <c r="D385">
        <v>5</v>
      </c>
    </row>
    <row r="386" spans="1:4" x14ac:dyDescent="0.2">
      <c r="A386">
        <v>349</v>
      </c>
      <c r="B386">
        <v>79</v>
      </c>
      <c r="C386" t="s">
        <v>125</v>
      </c>
      <c r="D386">
        <v>4</v>
      </c>
    </row>
    <row r="387" spans="1:4" x14ac:dyDescent="0.2">
      <c r="A387">
        <v>350</v>
      </c>
      <c r="B387">
        <v>61</v>
      </c>
      <c r="C387" t="s">
        <v>125</v>
      </c>
      <c r="D387">
        <v>5</v>
      </c>
    </row>
    <row r="388" spans="1:4" x14ac:dyDescent="0.2">
      <c r="A388">
        <v>358</v>
      </c>
      <c r="B388">
        <v>82</v>
      </c>
      <c r="C388" t="s">
        <v>125</v>
      </c>
      <c r="D388">
        <v>3</v>
      </c>
    </row>
    <row r="389" spans="1:4" x14ac:dyDescent="0.2">
      <c r="A389">
        <v>360</v>
      </c>
      <c r="B389">
        <v>86</v>
      </c>
      <c r="C389" t="s">
        <v>125</v>
      </c>
      <c r="D389">
        <v>6</v>
      </c>
    </row>
    <row r="390" spans="1:4" x14ac:dyDescent="0.2">
      <c r="A390">
        <v>364</v>
      </c>
      <c r="B390">
        <v>90</v>
      </c>
      <c r="C390" t="s">
        <v>125</v>
      </c>
      <c r="D390">
        <v>5</v>
      </c>
    </row>
    <row r="391" spans="1:4" x14ac:dyDescent="0.2">
      <c r="A391">
        <v>368</v>
      </c>
      <c r="B391">
        <v>1</v>
      </c>
      <c r="C391" t="s">
        <v>125</v>
      </c>
      <c r="D391">
        <v>6</v>
      </c>
    </row>
    <row r="392" spans="1:4" x14ac:dyDescent="0.2">
      <c r="A392">
        <v>372</v>
      </c>
      <c r="B392">
        <v>93</v>
      </c>
      <c r="C392" t="s">
        <v>125</v>
      </c>
      <c r="D392">
        <v>1</v>
      </c>
    </row>
    <row r="393" spans="1:4" x14ac:dyDescent="0.2">
      <c r="A393">
        <v>374</v>
      </c>
      <c r="B393">
        <v>70</v>
      </c>
      <c r="C393" t="s">
        <v>125</v>
      </c>
      <c r="D393">
        <v>5</v>
      </c>
    </row>
    <row r="394" spans="1:4" x14ac:dyDescent="0.2">
      <c r="A394">
        <v>381</v>
      </c>
      <c r="B394">
        <v>24</v>
      </c>
      <c r="C394" t="s">
        <v>125</v>
      </c>
      <c r="D394">
        <v>5</v>
      </c>
    </row>
    <row r="395" spans="1:4" x14ac:dyDescent="0.2">
      <c r="A395">
        <v>392</v>
      </c>
      <c r="B395">
        <v>49</v>
      </c>
      <c r="C395" t="s">
        <v>125</v>
      </c>
      <c r="D395">
        <v>5</v>
      </c>
    </row>
    <row r="396" spans="1:4" x14ac:dyDescent="0.2">
      <c r="A396">
        <v>394</v>
      </c>
      <c r="B396">
        <v>85</v>
      </c>
      <c r="C396" t="s">
        <v>125</v>
      </c>
      <c r="D396">
        <v>2</v>
      </c>
    </row>
    <row r="397" spans="1:4" x14ac:dyDescent="0.2">
      <c r="A397">
        <v>397</v>
      </c>
      <c r="B397">
        <v>42</v>
      </c>
      <c r="C397" t="s">
        <v>125</v>
      </c>
      <c r="D397">
        <v>5</v>
      </c>
    </row>
    <row r="398" spans="1:4" x14ac:dyDescent="0.2">
      <c r="A398">
        <v>398</v>
      </c>
      <c r="B398">
        <v>60</v>
      </c>
      <c r="C398" t="s">
        <v>125</v>
      </c>
      <c r="D398">
        <v>5</v>
      </c>
    </row>
    <row r="399" spans="1:4" x14ac:dyDescent="0.2">
      <c r="A399">
        <v>399</v>
      </c>
      <c r="B399">
        <v>97</v>
      </c>
      <c r="C399" t="s">
        <v>125</v>
      </c>
      <c r="D399">
        <v>4</v>
      </c>
    </row>
  </sheetData>
  <sortState xmlns:xlrd2="http://schemas.microsoft.com/office/spreadsheetml/2017/richdata2" ref="A2:D401">
    <sortCondition ref="C2:C40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9FE81-6CAD-774F-8E0E-500088A1D20D}">
  <dimension ref="A1:E399"/>
  <sheetViews>
    <sheetView workbookViewId="0">
      <selection activeCell="A2" sqref="A2:XFD5"/>
    </sheetView>
  </sheetViews>
  <sheetFormatPr baseColWidth="10" defaultRowHeight="16" x14ac:dyDescent="0.2"/>
  <cols>
    <col min="4" max="4" width="20.83203125" bestFit="1" customWidth="1"/>
  </cols>
  <sheetData>
    <row r="1" spans="1:5" x14ac:dyDescent="0.2">
      <c r="A1" t="s">
        <v>1918</v>
      </c>
      <c r="B1" t="s">
        <v>1929</v>
      </c>
      <c r="C1" t="s">
        <v>1928</v>
      </c>
      <c r="D1" t="s">
        <v>1917</v>
      </c>
      <c r="E1" t="s">
        <v>1927</v>
      </c>
    </row>
    <row r="2" spans="1:5" x14ac:dyDescent="0.2">
      <c r="A2">
        <v>8</v>
      </c>
      <c r="C2">
        <v>85</v>
      </c>
      <c r="D2" t="s">
        <v>105</v>
      </c>
      <c r="E2">
        <v>1</v>
      </c>
    </row>
    <row r="3" spans="1:5" x14ac:dyDescent="0.2">
      <c r="A3">
        <v>69</v>
      </c>
      <c r="C3">
        <v>100</v>
      </c>
      <c r="D3" t="s">
        <v>105</v>
      </c>
      <c r="E3">
        <v>2</v>
      </c>
    </row>
    <row r="4" spans="1:5" x14ac:dyDescent="0.2">
      <c r="A4">
        <v>130</v>
      </c>
      <c r="C4">
        <v>73</v>
      </c>
      <c r="D4" t="s">
        <v>105</v>
      </c>
      <c r="E4">
        <v>2</v>
      </c>
    </row>
    <row r="5" spans="1:5" x14ac:dyDescent="0.2">
      <c r="A5">
        <v>235</v>
      </c>
      <c r="C5">
        <v>0</v>
      </c>
      <c r="D5" t="s">
        <v>105</v>
      </c>
      <c r="E5">
        <v>2</v>
      </c>
    </row>
    <row r="6" spans="1:5" x14ac:dyDescent="0.2">
      <c r="A6">
        <v>237</v>
      </c>
      <c r="C6">
        <v>0</v>
      </c>
      <c r="D6" t="s">
        <v>105</v>
      </c>
      <c r="E6">
        <v>2</v>
      </c>
    </row>
    <row r="7" spans="1:5" x14ac:dyDescent="0.2">
      <c r="A7">
        <v>268</v>
      </c>
      <c r="C7">
        <v>18</v>
      </c>
      <c r="D7" t="s">
        <v>105</v>
      </c>
      <c r="E7">
        <v>2</v>
      </c>
    </row>
    <row r="8" spans="1:5" x14ac:dyDescent="0.2">
      <c r="A8">
        <v>379</v>
      </c>
      <c r="C8">
        <v>64</v>
      </c>
      <c r="D8" t="s">
        <v>105</v>
      </c>
      <c r="E8">
        <v>2</v>
      </c>
    </row>
    <row r="9" spans="1:5" x14ac:dyDescent="0.2">
      <c r="A9">
        <v>389</v>
      </c>
      <c r="C9">
        <v>100</v>
      </c>
      <c r="D9" t="s">
        <v>105</v>
      </c>
      <c r="E9">
        <v>2</v>
      </c>
    </row>
    <row r="10" spans="1:5" x14ac:dyDescent="0.2">
      <c r="A10">
        <v>9</v>
      </c>
      <c r="C10">
        <v>92</v>
      </c>
      <c r="D10" t="s">
        <v>105</v>
      </c>
      <c r="E10">
        <v>3</v>
      </c>
    </row>
    <row r="11" spans="1:5" x14ac:dyDescent="0.2">
      <c r="A11">
        <v>176</v>
      </c>
      <c r="C11">
        <v>96</v>
      </c>
      <c r="D11" t="s">
        <v>105</v>
      </c>
      <c r="E11">
        <v>3</v>
      </c>
    </row>
    <row r="12" spans="1:5" x14ac:dyDescent="0.2">
      <c r="A12">
        <v>205</v>
      </c>
      <c r="C12">
        <v>100</v>
      </c>
      <c r="D12" t="s">
        <v>105</v>
      </c>
      <c r="E12">
        <v>3</v>
      </c>
    </row>
    <row r="13" spans="1:5" x14ac:dyDescent="0.2">
      <c r="A13">
        <v>220</v>
      </c>
      <c r="C13">
        <v>61</v>
      </c>
      <c r="D13" t="s">
        <v>105</v>
      </c>
      <c r="E13">
        <v>3</v>
      </c>
    </row>
    <row r="14" spans="1:5" x14ac:dyDescent="0.2">
      <c r="A14">
        <v>233</v>
      </c>
      <c r="C14">
        <v>100</v>
      </c>
      <c r="D14" t="s">
        <v>105</v>
      </c>
      <c r="E14">
        <v>3</v>
      </c>
    </row>
    <row r="15" spans="1:5" x14ac:dyDescent="0.2">
      <c r="A15">
        <v>320</v>
      </c>
      <c r="C15">
        <v>65</v>
      </c>
      <c r="D15" t="s">
        <v>105</v>
      </c>
      <c r="E15">
        <v>3</v>
      </c>
    </row>
    <row r="16" spans="1:5" x14ac:dyDescent="0.2">
      <c r="A16">
        <v>354</v>
      </c>
      <c r="C16">
        <v>96</v>
      </c>
      <c r="D16" t="s">
        <v>105</v>
      </c>
      <c r="E16">
        <v>3</v>
      </c>
    </row>
    <row r="17" spans="1:5" x14ac:dyDescent="0.2">
      <c r="A17">
        <v>373</v>
      </c>
      <c r="C17">
        <v>79</v>
      </c>
      <c r="D17" t="s">
        <v>105</v>
      </c>
      <c r="E17">
        <v>3</v>
      </c>
    </row>
    <row r="18" spans="1:5" x14ac:dyDescent="0.2">
      <c r="A18">
        <v>24</v>
      </c>
      <c r="C18">
        <v>69</v>
      </c>
      <c r="D18" t="s">
        <v>105</v>
      </c>
      <c r="E18">
        <v>4</v>
      </c>
    </row>
    <row r="19" spans="1:5" x14ac:dyDescent="0.2">
      <c r="A19">
        <v>52</v>
      </c>
      <c r="C19">
        <v>90</v>
      </c>
      <c r="D19" t="s">
        <v>105</v>
      </c>
      <c r="E19">
        <v>4</v>
      </c>
    </row>
    <row r="20" spans="1:5" x14ac:dyDescent="0.2">
      <c r="A20">
        <v>93</v>
      </c>
      <c r="C20">
        <v>95</v>
      </c>
      <c r="D20" t="s">
        <v>105</v>
      </c>
      <c r="E20">
        <v>4</v>
      </c>
    </row>
    <row r="21" spans="1:5" x14ac:dyDescent="0.2">
      <c r="A21">
        <v>102</v>
      </c>
      <c r="C21">
        <v>70</v>
      </c>
      <c r="D21" t="s">
        <v>105</v>
      </c>
      <c r="E21">
        <v>4</v>
      </c>
    </row>
    <row r="22" spans="1:5" x14ac:dyDescent="0.2">
      <c r="A22">
        <v>120</v>
      </c>
      <c r="C22">
        <v>19</v>
      </c>
      <c r="D22" t="s">
        <v>105</v>
      </c>
      <c r="E22">
        <v>4</v>
      </c>
    </row>
    <row r="23" spans="1:5" x14ac:dyDescent="0.2">
      <c r="A23">
        <v>136</v>
      </c>
      <c r="C23">
        <v>90</v>
      </c>
      <c r="D23" t="s">
        <v>105</v>
      </c>
      <c r="E23">
        <v>4</v>
      </c>
    </row>
    <row r="24" spans="1:5" x14ac:dyDescent="0.2">
      <c r="A24">
        <v>145</v>
      </c>
      <c r="C24">
        <v>79</v>
      </c>
      <c r="D24" t="s">
        <v>105</v>
      </c>
      <c r="E24">
        <v>4</v>
      </c>
    </row>
    <row r="25" spans="1:5" x14ac:dyDescent="0.2">
      <c r="A25">
        <v>174</v>
      </c>
      <c r="C25">
        <v>73</v>
      </c>
      <c r="D25" t="s">
        <v>105</v>
      </c>
      <c r="E25">
        <v>4</v>
      </c>
    </row>
    <row r="26" spans="1:5" x14ac:dyDescent="0.2">
      <c r="A26">
        <v>184</v>
      </c>
      <c r="C26">
        <v>100</v>
      </c>
      <c r="D26" t="s">
        <v>105</v>
      </c>
      <c r="E26">
        <v>4</v>
      </c>
    </row>
    <row r="27" spans="1:5" x14ac:dyDescent="0.2">
      <c r="A27">
        <v>192</v>
      </c>
      <c r="C27">
        <v>85</v>
      </c>
      <c r="D27" t="s">
        <v>105</v>
      </c>
      <c r="E27">
        <v>4</v>
      </c>
    </row>
    <row r="28" spans="1:5" x14ac:dyDescent="0.2">
      <c r="A28">
        <v>218</v>
      </c>
      <c r="C28">
        <v>75</v>
      </c>
      <c r="D28" t="s">
        <v>105</v>
      </c>
      <c r="E28">
        <v>4</v>
      </c>
    </row>
    <row r="29" spans="1:5" x14ac:dyDescent="0.2">
      <c r="A29">
        <v>251</v>
      </c>
      <c r="C29">
        <v>50</v>
      </c>
      <c r="D29" t="s">
        <v>105</v>
      </c>
      <c r="E29">
        <v>4</v>
      </c>
    </row>
    <row r="30" spans="1:5" x14ac:dyDescent="0.2">
      <c r="A30">
        <v>264</v>
      </c>
      <c r="C30">
        <v>100</v>
      </c>
      <c r="D30" t="s">
        <v>105</v>
      </c>
      <c r="E30">
        <v>4</v>
      </c>
    </row>
    <row r="31" spans="1:5" x14ac:dyDescent="0.2">
      <c r="A31">
        <v>336</v>
      </c>
      <c r="C31">
        <v>100</v>
      </c>
      <c r="D31" t="s">
        <v>105</v>
      </c>
      <c r="E31">
        <v>4</v>
      </c>
    </row>
    <row r="32" spans="1:5" x14ac:dyDescent="0.2">
      <c r="A32">
        <v>366</v>
      </c>
      <c r="C32">
        <v>100</v>
      </c>
      <c r="D32" t="s">
        <v>105</v>
      </c>
      <c r="E32">
        <v>4</v>
      </c>
    </row>
    <row r="33" spans="1:5" x14ac:dyDescent="0.2">
      <c r="A33">
        <v>370</v>
      </c>
      <c r="C33">
        <v>66</v>
      </c>
      <c r="D33" t="s">
        <v>105</v>
      </c>
      <c r="E33">
        <v>4</v>
      </c>
    </row>
    <row r="34" spans="1:5" x14ac:dyDescent="0.2">
      <c r="A34">
        <v>382</v>
      </c>
      <c r="C34">
        <v>82</v>
      </c>
      <c r="D34" t="s">
        <v>105</v>
      </c>
      <c r="E34">
        <v>4</v>
      </c>
    </row>
    <row r="35" spans="1:5" x14ac:dyDescent="0.2">
      <c r="A35">
        <v>83</v>
      </c>
      <c r="C35">
        <v>80</v>
      </c>
      <c r="D35" t="s">
        <v>105</v>
      </c>
      <c r="E35">
        <v>5</v>
      </c>
    </row>
    <row r="36" spans="1:5" x14ac:dyDescent="0.2">
      <c r="A36">
        <v>95</v>
      </c>
      <c r="C36">
        <v>70</v>
      </c>
      <c r="D36" t="s">
        <v>105</v>
      </c>
      <c r="E36">
        <v>5</v>
      </c>
    </row>
    <row r="37" spans="1:5" x14ac:dyDescent="0.2">
      <c r="A37">
        <v>99</v>
      </c>
      <c r="C37">
        <v>80</v>
      </c>
      <c r="D37" t="s">
        <v>105</v>
      </c>
      <c r="E37">
        <v>5</v>
      </c>
    </row>
    <row r="38" spans="1:5" x14ac:dyDescent="0.2">
      <c r="A38">
        <v>104</v>
      </c>
      <c r="C38">
        <v>72</v>
      </c>
      <c r="D38" t="s">
        <v>105</v>
      </c>
      <c r="E38">
        <v>5</v>
      </c>
    </row>
    <row r="39" spans="1:5" x14ac:dyDescent="0.2">
      <c r="A39">
        <v>135</v>
      </c>
      <c r="C39">
        <v>75</v>
      </c>
      <c r="D39" t="s">
        <v>105</v>
      </c>
      <c r="E39">
        <v>5</v>
      </c>
    </row>
    <row r="40" spans="1:5" x14ac:dyDescent="0.2">
      <c r="A40">
        <v>151</v>
      </c>
      <c r="C40">
        <v>81</v>
      </c>
      <c r="D40" t="s">
        <v>105</v>
      </c>
      <c r="E40">
        <v>5</v>
      </c>
    </row>
    <row r="41" spans="1:5" x14ac:dyDescent="0.2">
      <c r="A41">
        <v>155</v>
      </c>
      <c r="C41">
        <v>91</v>
      </c>
      <c r="D41" t="s">
        <v>105</v>
      </c>
      <c r="E41">
        <v>5</v>
      </c>
    </row>
    <row r="42" spans="1:5" x14ac:dyDescent="0.2">
      <c r="A42">
        <v>187</v>
      </c>
      <c r="C42">
        <v>90</v>
      </c>
      <c r="D42" t="s">
        <v>105</v>
      </c>
      <c r="E42">
        <v>5</v>
      </c>
    </row>
    <row r="43" spans="1:5" x14ac:dyDescent="0.2">
      <c r="A43">
        <v>239</v>
      </c>
      <c r="C43">
        <v>77</v>
      </c>
      <c r="D43" t="s">
        <v>105</v>
      </c>
      <c r="E43">
        <v>5</v>
      </c>
    </row>
    <row r="44" spans="1:5" x14ac:dyDescent="0.2">
      <c r="A44">
        <v>296</v>
      </c>
      <c r="C44">
        <v>38</v>
      </c>
      <c r="D44" t="s">
        <v>105</v>
      </c>
      <c r="E44">
        <v>5</v>
      </c>
    </row>
    <row r="45" spans="1:5" x14ac:dyDescent="0.2">
      <c r="A45">
        <v>303</v>
      </c>
      <c r="C45">
        <v>100</v>
      </c>
      <c r="D45" t="s">
        <v>105</v>
      </c>
      <c r="E45">
        <v>5</v>
      </c>
    </row>
    <row r="46" spans="1:5" x14ac:dyDescent="0.2">
      <c r="A46">
        <v>311</v>
      </c>
      <c r="C46">
        <v>60</v>
      </c>
      <c r="D46" t="s">
        <v>105</v>
      </c>
      <c r="E46">
        <v>5</v>
      </c>
    </row>
    <row r="47" spans="1:5" x14ac:dyDescent="0.2">
      <c r="A47">
        <v>335</v>
      </c>
      <c r="C47">
        <v>60</v>
      </c>
      <c r="D47" t="s">
        <v>105</v>
      </c>
      <c r="E47">
        <v>5</v>
      </c>
    </row>
    <row r="48" spans="1:5" x14ac:dyDescent="0.2">
      <c r="A48">
        <v>338</v>
      </c>
      <c r="C48">
        <v>61</v>
      </c>
      <c r="D48" t="s">
        <v>105</v>
      </c>
      <c r="E48">
        <v>5</v>
      </c>
    </row>
    <row r="49" spans="1:5" x14ac:dyDescent="0.2">
      <c r="A49">
        <v>352</v>
      </c>
      <c r="C49">
        <v>100</v>
      </c>
      <c r="D49" t="s">
        <v>105</v>
      </c>
      <c r="E49">
        <v>5</v>
      </c>
    </row>
    <row r="50" spans="1:5" x14ac:dyDescent="0.2">
      <c r="A50">
        <v>7</v>
      </c>
      <c r="C50">
        <v>95</v>
      </c>
      <c r="D50" t="s">
        <v>105</v>
      </c>
      <c r="E50">
        <v>6</v>
      </c>
    </row>
    <row r="51" spans="1:5" x14ac:dyDescent="0.2">
      <c r="A51">
        <v>17</v>
      </c>
      <c r="C51">
        <v>90</v>
      </c>
      <c r="D51" t="s">
        <v>105</v>
      </c>
      <c r="E51">
        <v>6</v>
      </c>
    </row>
    <row r="52" spans="1:5" x14ac:dyDescent="0.2">
      <c r="A52">
        <v>18</v>
      </c>
      <c r="C52">
        <v>50</v>
      </c>
      <c r="D52" t="s">
        <v>105</v>
      </c>
      <c r="E52">
        <v>6</v>
      </c>
    </row>
    <row r="53" spans="1:5" x14ac:dyDescent="0.2">
      <c r="A53">
        <v>23</v>
      </c>
      <c r="C53">
        <v>89</v>
      </c>
      <c r="D53" t="s">
        <v>105</v>
      </c>
      <c r="E53">
        <v>6</v>
      </c>
    </row>
    <row r="54" spans="1:5" x14ac:dyDescent="0.2">
      <c r="A54">
        <v>56</v>
      </c>
      <c r="C54">
        <v>100</v>
      </c>
      <c r="D54" t="s">
        <v>105</v>
      </c>
      <c r="E54">
        <v>6</v>
      </c>
    </row>
    <row r="55" spans="1:5" x14ac:dyDescent="0.2">
      <c r="A55">
        <v>58</v>
      </c>
      <c r="C55">
        <v>80</v>
      </c>
      <c r="D55" t="s">
        <v>105</v>
      </c>
      <c r="E55">
        <v>6</v>
      </c>
    </row>
    <row r="56" spans="1:5" x14ac:dyDescent="0.2">
      <c r="A56">
        <v>67</v>
      </c>
      <c r="C56">
        <v>80</v>
      </c>
      <c r="D56" t="s">
        <v>105</v>
      </c>
      <c r="E56">
        <v>6</v>
      </c>
    </row>
    <row r="57" spans="1:5" x14ac:dyDescent="0.2">
      <c r="A57">
        <v>79</v>
      </c>
      <c r="C57">
        <v>70</v>
      </c>
      <c r="D57" t="s">
        <v>105</v>
      </c>
      <c r="E57">
        <v>6</v>
      </c>
    </row>
    <row r="58" spans="1:5" x14ac:dyDescent="0.2">
      <c r="A58">
        <v>189</v>
      </c>
      <c r="C58">
        <v>80</v>
      </c>
      <c r="D58" t="s">
        <v>105</v>
      </c>
      <c r="E58">
        <v>6</v>
      </c>
    </row>
    <row r="59" spans="1:5" x14ac:dyDescent="0.2">
      <c r="A59">
        <v>207</v>
      </c>
      <c r="C59">
        <v>84</v>
      </c>
      <c r="D59" t="s">
        <v>105</v>
      </c>
      <c r="E59">
        <v>6</v>
      </c>
    </row>
    <row r="60" spans="1:5" x14ac:dyDescent="0.2">
      <c r="A60">
        <v>209</v>
      </c>
      <c r="C60">
        <v>100</v>
      </c>
      <c r="D60" t="s">
        <v>105</v>
      </c>
      <c r="E60">
        <v>6</v>
      </c>
    </row>
    <row r="61" spans="1:5" x14ac:dyDescent="0.2">
      <c r="A61">
        <v>247</v>
      </c>
      <c r="C61">
        <v>50</v>
      </c>
      <c r="D61" t="s">
        <v>105</v>
      </c>
      <c r="E61">
        <v>6</v>
      </c>
    </row>
    <row r="62" spans="1:5" x14ac:dyDescent="0.2">
      <c r="A62">
        <v>263</v>
      </c>
      <c r="C62">
        <v>100</v>
      </c>
      <c r="D62" t="s">
        <v>105</v>
      </c>
      <c r="E62">
        <v>6</v>
      </c>
    </row>
    <row r="63" spans="1:5" x14ac:dyDescent="0.2">
      <c r="A63">
        <v>304</v>
      </c>
      <c r="C63">
        <v>64</v>
      </c>
      <c r="D63" t="s">
        <v>105</v>
      </c>
      <c r="E63">
        <v>6</v>
      </c>
    </row>
    <row r="64" spans="1:5" x14ac:dyDescent="0.2">
      <c r="A64">
        <v>323</v>
      </c>
      <c r="C64">
        <v>85</v>
      </c>
      <c r="D64" t="s">
        <v>105</v>
      </c>
      <c r="E64">
        <v>6</v>
      </c>
    </row>
    <row r="65" spans="1:5" x14ac:dyDescent="0.2">
      <c r="A65">
        <v>380</v>
      </c>
      <c r="C65">
        <v>25</v>
      </c>
      <c r="D65" t="s">
        <v>105</v>
      </c>
      <c r="E65">
        <v>6</v>
      </c>
    </row>
    <row r="66" spans="1:5" x14ac:dyDescent="0.2">
      <c r="A66">
        <v>391</v>
      </c>
      <c r="C66">
        <v>16</v>
      </c>
      <c r="D66" t="s">
        <v>105</v>
      </c>
      <c r="E66">
        <v>6</v>
      </c>
    </row>
    <row r="67" spans="1:5" x14ac:dyDescent="0.2">
      <c r="A67">
        <v>395</v>
      </c>
      <c r="C67">
        <v>70</v>
      </c>
      <c r="D67" t="s">
        <v>105</v>
      </c>
      <c r="E67">
        <v>6</v>
      </c>
    </row>
    <row r="68" spans="1:5" x14ac:dyDescent="0.2">
      <c r="A68">
        <v>1</v>
      </c>
      <c r="C68">
        <v>100</v>
      </c>
      <c r="D68" t="s">
        <v>105</v>
      </c>
      <c r="E68">
        <v>7</v>
      </c>
    </row>
    <row r="69" spans="1:5" x14ac:dyDescent="0.2">
      <c r="A69">
        <v>60</v>
      </c>
      <c r="C69">
        <v>80</v>
      </c>
      <c r="D69" t="s">
        <v>105</v>
      </c>
      <c r="E69">
        <v>7</v>
      </c>
    </row>
    <row r="70" spans="1:5" x14ac:dyDescent="0.2">
      <c r="A70">
        <v>78</v>
      </c>
      <c r="C70">
        <v>100</v>
      </c>
      <c r="D70" t="s">
        <v>105</v>
      </c>
      <c r="E70">
        <v>7</v>
      </c>
    </row>
    <row r="71" spans="1:5" x14ac:dyDescent="0.2">
      <c r="A71">
        <v>112</v>
      </c>
      <c r="C71">
        <v>100</v>
      </c>
      <c r="D71" t="s">
        <v>105</v>
      </c>
      <c r="E71">
        <v>7</v>
      </c>
    </row>
    <row r="72" spans="1:5" x14ac:dyDescent="0.2">
      <c r="A72">
        <v>132</v>
      </c>
      <c r="C72">
        <v>70</v>
      </c>
      <c r="D72" t="s">
        <v>105</v>
      </c>
      <c r="E72">
        <v>7</v>
      </c>
    </row>
    <row r="73" spans="1:5" x14ac:dyDescent="0.2">
      <c r="A73">
        <v>146</v>
      </c>
      <c r="C73">
        <v>70</v>
      </c>
      <c r="D73" t="s">
        <v>105</v>
      </c>
      <c r="E73">
        <v>7</v>
      </c>
    </row>
    <row r="74" spans="1:5" x14ac:dyDescent="0.2">
      <c r="A74">
        <v>156</v>
      </c>
      <c r="C74">
        <v>70</v>
      </c>
      <c r="D74" t="s">
        <v>105</v>
      </c>
      <c r="E74">
        <v>7</v>
      </c>
    </row>
    <row r="75" spans="1:5" x14ac:dyDescent="0.2">
      <c r="A75">
        <v>194</v>
      </c>
      <c r="C75">
        <v>91</v>
      </c>
      <c r="D75" t="s">
        <v>105</v>
      </c>
      <c r="E75">
        <v>7</v>
      </c>
    </row>
    <row r="76" spans="1:5" x14ac:dyDescent="0.2">
      <c r="A76">
        <v>216</v>
      </c>
      <c r="C76">
        <v>40</v>
      </c>
      <c r="D76" t="s">
        <v>105</v>
      </c>
      <c r="E76">
        <v>7</v>
      </c>
    </row>
    <row r="77" spans="1:5" x14ac:dyDescent="0.2">
      <c r="A77">
        <v>219</v>
      </c>
      <c r="C77">
        <v>100</v>
      </c>
      <c r="D77" t="s">
        <v>105</v>
      </c>
      <c r="E77">
        <v>7</v>
      </c>
    </row>
    <row r="78" spans="1:5" x14ac:dyDescent="0.2">
      <c r="A78">
        <v>221</v>
      </c>
      <c r="C78">
        <v>30</v>
      </c>
      <c r="D78" t="s">
        <v>105</v>
      </c>
      <c r="E78">
        <v>7</v>
      </c>
    </row>
    <row r="79" spans="1:5" x14ac:dyDescent="0.2">
      <c r="A79">
        <v>224</v>
      </c>
      <c r="C79">
        <v>50</v>
      </c>
      <c r="D79" t="s">
        <v>105</v>
      </c>
      <c r="E79">
        <v>7</v>
      </c>
    </row>
    <row r="80" spans="1:5" x14ac:dyDescent="0.2">
      <c r="A80">
        <v>261</v>
      </c>
      <c r="C80">
        <v>87</v>
      </c>
      <c r="D80" t="s">
        <v>105</v>
      </c>
      <c r="E80">
        <v>7</v>
      </c>
    </row>
    <row r="81" spans="1:5" x14ac:dyDescent="0.2">
      <c r="A81">
        <v>262</v>
      </c>
      <c r="C81">
        <v>68</v>
      </c>
      <c r="D81" t="s">
        <v>105</v>
      </c>
      <c r="E81">
        <v>7</v>
      </c>
    </row>
    <row r="82" spans="1:5" x14ac:dyDescent="0.2">
      <c r="A82">
        <v>269</v>
      </c>
      <c r="C82">
        <v>100</v>
      </c>
      <c r="D82" t="s">
        <v>105</v>
      </c>
      <c r="E82">
        <v>7</v>
      </c>
    </row>
    <row r="83" spans="1:5" x14ac:dyDescent="0.2">
      <c r="A83">
        <v>273</v>
      </c>
      <c r="C83">
        <v>60</v>
      </c>
      <c r="D83" t="s">
        <v>105</v>
      </c>
      <c r="E83">
        <v>7</v>
      </c>
    </row>
    <row r="84" spans="1:5" x14ac:dyDescent="0.2">
      <c r="A84">
        <v>316</v>
      </c>
      <c r="C84">
        <v>80</v>
      </c>
      <c r="D84" t="s">
        <v>105</v>
      </c>
      <c r="E84">
        <v>7</v>
      </c>
    </row>
    <row r="85" spans="1:5" x14ac:dyDescent="0.2">
      <c r="A85">
        <v>345</v>
      </c>
      <c r="C85">
        <v>70</v>
      </c>
      <c r="D85" t="s">
        <v>105</v>
      </c>
      <c r="E85">
        <v>7</v>
      </c>
    </row>
    <row r="86" spans="1:5" x14ac:dyDescent="0.2">
      <c r="A86">
        <v>361</v>
      </c>
      <c r="C86">
        <v>88</v>
      </c>
      <c r="D86" t="s">
        <v>105</v>
      </c>
      <c r="E86">
        <v>7</v>
      </c>
    </row>
    <row r="87" spans="1:5" x14ac:dyDescent="0.2">
      <c r="A87">
        <v>363</v>
      </c>
      <c r="C87">
        <v>100</v>
      </c>
      <c r="D87" t="s">
        <v>105</v>
      </c>
      <c r="E87">
        <v>7</v>
      </c>
    </row>
    <row r="88" spans="1:5" x14ac:dyDescent="0.2">
      <c r="A88">
        <v>383</v>
      </c>
      <c r="C88">
        <v>90</v>
      </c>
      <c r="D88" t="s">
        <v>105</v>
      </c>
      <c r="E88">
        <v>7</v>
      </c>
    </row>
    <row r="89" spans="1:5" x14ac:dyDescent="0.2">
      <c r="A89">
        <v>400</v>
      </c>
      <c r="C89">
        <v>34</v>
      </c>
      <c r="D89" t="s">
        <v>105</v>
      </c>
      <c r="E89">
        <v>7</v>
      </c>
    </row>
    <row r="90" spans="1:5" x14ac:dyDescent="0.2">
      <c r="A90">
        <v>37</v>
      </c>
      <c r="C90">
        <v>70</v>
      </c>
      <c r="D90" t="s">
        <v>105</v>
      </c>
      <c r="E90">
        <v>8</v>
      </c>
    </row>
    <row r="91" spans="1:5" x14ac:dyDescent="0.2">
      <c r="A91">
        <v>40</v>
      </c>
      <c r="C91">
        <v>60</v>
      </c>
      <c r="D91" t="s">
        <v>105</v>
      </c>
      <c r="E91">
        <v>8</v>
      </c>
    </row>
    <row r="92" spans="1:5" x14ac:dyDescent="0.2">
      <c r="A92">
        <v>45</v>
      </c>
      <c r="C92">
        <v>85</v>
      </c>
      <c r="D92" t="s">
        <v>105</v>
      </c>
      <c r="E92">
        <v>8</v>
      </c>
    </row>
    <row r="93" spans="1:5" x14ac:dyDescent="0.2">
      <c r="A93">
        <v>55</v>
      </c>
      <c r="C93">
        <v>75</v>
      </c>
      <c r="D93" t="s">
        <v>105</v>
      </c>
      <c r="E93">
        <v>8</v>
      </c>
    </row>
    <row r="94" spans="1:5" x14ac:dyDescent="0.2">
      <c r="A94">
        <v>57</v>
      </c>
      <c r="C94">
        <v>79</v>
      </c>
      <c r="D94" t="s">
        <v>105</v>
      </c>
      <c r="E94">
        <v>8</v>
      </c>
    </row>
    <row r="95" spans="1:5" x14ac:dyDescent="0.2">
      <c r="A95">
        <v>110</v>
      </c>
      <c r="C95">
        <v>79</v>
      </c>
      <c r="D95" t="s">
        <v>105</v>
      </c>
      <c r="E95">
        <v>8</v>
      </c>
    </row>
    <row r="96" spans="1:5" x14ac:dyDescent="0.2">
      <c r="A96">
        <v>138</v>
      </c>
      <c r="C96">
        <v>60</v>
      </c>
      <c r="D96" t="s">
        <v>105</v>
      </c>
      <c r="E96">
        <v>8</v>
      </c>
    </row>
    <row r="97" spans="1:5" x14ac:dyDescent="0.2">
      <c r="A97">
        <v>169</v>
      </c>
      <c r="C97">
        <v>60</v>
      </c>
      <c r="D97" t="s">
        <v>105</v>
      </c>
      <c r="E97">
        <v>8</v>
      </c>
    </row>
    <row r="98" spans="1:5" x14ac:dyDescent="0.2">
      <c r="A98">
        <v>204</v>
      </c>
      <c r="C98">
        <v>75</v>
      </c>
      <c r="D98" t="s">
        <v>105</v>
      </c>
      <c r="E98">
        <v>8</v>
      </c>
    </row>
    <row r="99" spans="1:5" x14ac:dyDescent="0.2">
      <c r="A99">
        <v>276</v>
      </c>
      <c r="C99">
        <v>35</v>
      </c>
      <c r="D99" t="s">
        <v>105</v>
      </c>
      <c r="E99">
        <v>8</v>
      </c>
    </row>
    <row r="100" spans="1:5" x14ac:dyDescent="0.2">
      <c r="A100">
        <v>291</v>
      </c>
      <c r="C100">
        <v>45</v>
      </c>
      <c r="D100" t="s">
        <v>105</v>
      </c>
      <c r="E100">
        <v>8</v>
      </c>
    </row>
    <row r="101" spans="1:5" x14ac:dyDescent="0.2">
      <c r="A101">
        <v>322</v>
      </c>
      <c r="C101">
        <v>61</v>
      </c>
      <c r="D101" t="s">
        <v>105</v>
      </c>
      <c r="E101">
        <v>8</v>
      </c>
    </row>
    <row r="102" spans="1:5" x14ac:dyDescent="0.2">
      <c r="A102">
        <v>367</v>
      </c>
      <c r="C102">
        <v>70</v>
      </c>
      <c r="D102" t="s">
        <v>105</v>
      </c>
      <c r="E102">
        <v>8</v>
      </c>
    </row>
    <row r="103" spans="1:5" x14ac:dyDescent="0.2">
      <c r="A103">
        <v>15</v>
      </c>
      <c r="C103">
        <v>94</v>
      </c>
      <c r="D103" t="s">
        <v>97</v>
      </c>
      <c r="E103">
        <v>1</v>
      </c>
    </row>
    <row r="104" spans="1:5" x14ac:dyDescent="0.2">
      <c r="A104">
        <v>87</v>
      </c>
      <c r="C104">
        <v>74</v>
      </c>
      <c r="D104" t="s">
        <v>97</v>
      </c>
      <c r="E104">
        <v>1</v>
      </c>
    </row>
    <row r="105" spans="1:5" x14ac:dyDescent="0.2">
      <c r="A105">
        <v>396</v>
      </c>
      <c r="C105">
        <v>100</v>
      </c>
      <c r="D105" t="s">
        <v>97</v>
      </c>
      <c r="E105">
        <v>1</v>
      </c>
    </row>
    <row r="106" spans="1:5" x14ac:dyDescent="0.2">
      <c r="A106">
        <v>185</v>
      </c>
      <c r="C106">
        <v>80</v>
      </c>
      <c r="D106" t="s">
        <v>97</v>
      </c>
      <c r="E106">
        <v>2</v>
      </c>
    </row>
    <row r="107" spans="1:5" x14ac:dyDescent="0.2">
      <c r="A107">
        <v>266</v>
      </c>
      <c r="C107">
        <v>50</v>
      </c>
      <c r="D107" t="s">
        <v>97</v>
      </c>
      <c r="E107">
        <v>2</v>
      </c>
    </row>
    <row r="108" spans="1:5" x14ac:dyDescent="0.2">
      <c r="A108">
        <v>293</v>
      </c>
      <c r="C108">
        <v>100</v>
      </c>
      <c r="D108" t="s">
        <v>97</v>
      </c>
      <c r="E108">
        <v>2</v>
      </c>
    </row>
    <row r="109" spans="1:5" x14ac:dyDescent="0.2">
      <c r="A109">
        <v>310</v>
      </c>
      <c r="C109">
        <v>39</v>
      </c>
      <c r="D109" t="s">
        <v>97</v>
      </c>
      <c r="E109">
        <v>2</v>
      </c>
    </row>
    <row r="110" spans="1:5" x14ac:dyDescent="0.2">
      <c r="A110">
        <v>334</v>
      </c>
      <c r="C110">
        <v>71</v>
      </c>
      <c r="D110" t="s">
        <v>97</v>
      </c>
      <c r="E110">
        <v>2</v>
      </c>
    </row>
    <row r="111" spans="1:5" x14ac:dyDescent="0.2">
      <c r="A111">
        <v>376</v>
      </c>
      <c r="C111">
        <v>88</v>
      </c>
      <c r="D111" t="s">
        <v>97</v>
      </c>
      <c r="E111">
        <v>2</v>
      </c>
    </row>
    <row r="112" spans="1:5" x14ac:dyDescent="0.2">
      <c r="A112">
        <v>14</v>
      </c>
      <c r="C112">
        <v>100</v>
      </c>
      <c r="D112" t="s">
        <v>97</v>
      </c>
      <c r="E112">
        <v>3</v>
      </c>
    </row>
    <row r="113" spans="1:5" x14ac:dyDescent="0.2">
      <c r="A113">
        <v>34</v>
      </c>
      <c r="C113">
        <v>100</v>
      </c>
      <c r="D113" t="s">
        <v>97</v>
      </c>
      <c r="E113">
        <v>3</v>
      </c>
    </row>
    <row r="114" spans="1:5" x14ac:dyDescent="0.2">
      <c r="A114">
        <v>107</v>
      </c>
      <c r="C114">
        <v>87</v>
      </c>
      <c r="D114" t="s">
        <v>97</v>
      </c>
      <c r="E114">
        <v>3</v>
      </c>
    </row>
    <row r="115" spans="1:5" x14ac:dyDescent="0.2">
      <c r="A115">
        <v>148</v>
      </c>
      <c r="C115">
        <v>50</v>
      </c>
      <c r="D115" t="s">
        <v>97</v>
      </c>
      <c r="E115">
        <v>3</v>
      </c>
    </row>
    <row r="116" spans="1:5" x14ac:dyDescent="0.2">
      <c r="A116">
        <v>226</v>
      </c>
      <c r="C116">
        <v>90</v>
      </c>
      <c r="D116" t="s">
        <v>97</v>
      </c>
      <c r="E116">
        <v>3</v>
      </c>
    </row>
    <row r="117" spans="1:5" x14ac:dyDescent="0.2">
      <c r="A117">
        <v>229</v>
      </c>
      <c r="C117">
        <v>71</v>
      </c>
      <c r="D117" t="s">
        <v>97</v>
      </c>
      <c r="E117">
        <v>3</v>
      </c>
    </row>
    <row r="118" spans="1:5" x14ac:dyDescent="0.2">
      <c r="A118">
        <v>231</v>
      </c>
      <c r="C118">
        <v>78</v>
      </c>
      <c r="D118" t="s">
        <v>97</v>
      </c>
      <c r="E118">
        <v>3</v>
      </c>
    </row>
    <row r="119" spans="1:5" x14ac:dyDescent="0.2">
      <c r="A119">
        <v>241</v>
      </c>
      <c r="C119">
        <v>82</v>
      </c>
      <c r="D119" t="s">
        <v>97</v>
      </c>
      <c r="E119">
        <v>3</v>
      </c>
    </row>
    <row r="120" spans="1:5" x14ac:dyDescent="0.2">
      <c r="A120">
        <v>275</v>
      </c>
      <c r="C120">
        <v>100</v>
      </c>
      <c r="D120" t="s">
        <v>97</v>
      </c>
      <c r="E120">
        <v>3</v>
      </c>
    </row>
    <row r="121" spans="1:5" x14ac:dyDescent="0.2">
      <c r="A121">
        <v>289</v>
      </c>
      <c r="C121">
        <v>88</v>
      </c>
      <c r="D121" t="s">
        <v>97</v>
      </c>
      <c r="E121">
        <v>3</v>
      </c>
    </row>
    <row r="122" spans="1:5" x14ac:dyDescent="0.2">
      <c r="A122">
        <v>385</v>
      </c>
      <c r="C122">
        <v>100</v>
      </c>
      <c r="D122" t="s">
        <v>97</v>
      </c>
      <c r="E122">
        <v>3</v>
      </c>
    </row>
    <row r="123" spans="1:5" x14ac:dyDescent="0.2">
      <c r="A123">
        <v>5</v>
      </c>
      <c r="C123">
        <v>73</v>
      </c>
      <c r="D123" t="s">
        <v>97</v>
      </c>
      <c r="E123">
        <v>4</v>
      </c>
    </row>
    <row r="124" spans="1:5" x14ac:dyDescent="0.2">
      <c r="A124">
        <v>19</v>
      </c>
      <c r="C124">
        <v>97</v>
      </c>
      <c r="D124" t="s">
        <v>97</v>
      </c>
      <c r="E124">
        <v>4</v>
      </c>
    </row>
    <row r="125" spans="1:5" x14ac:dyDescent="0.2">
      <c r="A125">
        <v>41</v>
      </c>
      <c r="C125">
        <v>30</v>
      </c>
      <c r="D125" t="s">
        <v>97</v>
      </c>
      <c r="E125">
        <v>4</v>
      </c>
    </row>
    <row r="126" spans="1:5" x14ac:dyDescent="0.2">
      <c r="A126">
        <v>97</v>
      </c>
      <c r="C126">
        <v>85</v>
      </c>
      <c r="D126" t="s">
        <v>97</v>
      </c>
      <c r="E126">
        <v>4</v>
      </c>
    </row>
    <row r="127" spans="1:5" x14ac:dyDescent="0.2">
      <c r="A127">
        <v>158</v>
      </c>
      <c r="C127">
        <v>90</v>
      </c>
      <c r="D127" t="s">
        <v>97</v>
      </c>
      <c r="E127">
        <v>4</v>
      </c>
    </row>
    <row r="128" spans="1:5" x14ac:dyDescent="0.2">
      <c r="A128">
        <v>203</v>
      </c>
      <c r="C128">
        <v>99</v>
      </c>
      <c r="D128" t="s">
        <v>97</v>
      </c>
      <c r="E128">
        <v>4</v>
      </c>
    </row>
    <row r="129" spans="1:5" x14ac:dyDescent="0.2">
      <c r="A129">
        <v>225</v>
      </c>
      <c r="C129">
        <v>90</v>
      </c>
      <c r="D129" t="s">
        <v>97</v>
      </c>
      <c r="E129">
        <v>4</v>
      </c>
    </row>
    <row r="130" spans="1:5" x14ac:dyDescent="0.2">
      <c r="A130">
        <v>230</v>
      </c>
      <c r="C130">
        <v>80</v>
      </c>
      <c r="D130" t="s">
        <v>97</v>
      </c>
      <c r="E130">
        <v>4</v>
      </c>
    </row>
    <row r="131" spans="1:5" x14ac:dyDescent="0.2">
      <c r="A131">
        <v>244</v>
      </c>
      <c r="C131">
        <v>82</v>
      </c>
      <c r="D131" t="s">
        <v>97</v>
      </c>
      <c r="E131">
        <v>4</v>
      </c>
    </row>
    <row r="132" spans="1:5" x14ac:dyDescent="0.2">
      <c r="A132">
        <v>248</v>
      </c>
      <c r="C132">
        <v>70</v>
      </c>
      <c r="D132" t="s">
        <v>97</v>
      </c>
      <c r="E132">
        <v>4</v>
      </c>
    </row>
    <row r="133" spans="1:5" x14ac:dyDescent="0.2">
      <c r="A133">
        <v>371</v>
      </c>
      <c r="C133">
        <v>47</v>
      </c>
      <c r="D133" t="s">
        <v>97</v>
      </c>
      <c r="E133">
        <v>4</v>
      </c>
    </row>
    <row r="134" spans="1:5" x14ac:dyDescent="0.2">
      <c r="A134">
        <v>31</v>
      </c>
      <c r="C134">
        <v>65</v>
      </c>
      <c r="D134" t="s">
        <v>97</v>
      </c>
      <c r="E134">
        <v>5</v>
      </c>
    </row>
    <row r="135" spans="1:5" x14ac:dyDescent="0.2">
      <c r="A135">
        <v>35</v>
      </c>
      <c r="C135">
        <v>82</v>
      </c>
      <c r="D135" t="s">
        <v>97</v>
      </c>
      <c r="E135">
        <v>5</v>
      </c>
    </row>
    <row r="136" spans="1:5" x14ac:dyDescent="0.2">
      <c r="A136">
        <v>38</v>
      </c>
      <c r="C136">
        <v>96</v>
      </c>
      <c r="D136" t="s">
        <v>97</v>
      </c>
      <c r="E136">
        <v>5</v>
      </c>
    </row>
    <row r="137" spans="1:5" x14ac:dyDescent="0.2">
      <c r="A137">
        <v>43</v>
      </c>
      <c r="C137">
        <v>91</v>
      </c>
      <c r="D137" t="s">
        <v>97</v>
      </c>
      <c r="E137">
        <v>5</v>
      </c>
    </row>
    <row r="138" spans="1:5" x14ac:dyDescent="0.2">
      <c r="A138">
        <v>48</v>
      </c>
      <c r="C138">
        <v>90</v>
      </c>
      <c r="D138" t="s">
        <v>97</v>
      </c>
      <c r="E138">
        <v>5</v>
      </c>
    </row>
    <row r="139" spans="1:5" x14ac:dyDescent="0.2">
      <c r="A139">
        <v>117</v>
      </c>
      <c r="C139">
        <v>78</v>
      </c>
      <c r="D139" t="s">
        <v>97</v>
      </c>
      <c r="E139">
        <v>5</v>
      </c>
    </row>
    <row r="140" spans="1:5" x14ac:dyDescent="0.2">
      <c r="A140">
        <v>140</v>
      </c>
      <c r="C140">
        <v>100</v>
      </c>
      <c r="D140" t="s">
        <v>97</v>
      </c>
      <c r="E140">
        <v>5</v>
      </c>
    </row>
    <row r="141" spans="1:5" x14ac:dyDescent="0.2">
      <c r="A141">
        <v>149</v>
      </c>
      <c r="C141">
        <v>100</v>
      </c>
      <c r="D141" t="s">
        <v>97</v>
      </c>
      <c r="E141">
        <v>5</v>
      </c>
    </row>
    <row r="142" spans="1:5" x14ac:dyDescent="0.2">
      <c r="A142">
        <v>182</v>
      </c>
      <c r="C142">
        <v>90</v>
      </c>
      <c r="D142" t="s">
        <v>97</v>
      </c>
      <c r="E142">
        <v>5</v>
      </c>
    </row>
    <row r="143" spans="1:5" x14ac:dyDescent="0.2">
      <c r="A143">
        <v>238</v>
      </c>
      <c r="C143">
        <v>91</v>
      </c>
      <c r="D143" t="s">
        <v>97</v>
      </c>
      <c r="E143">
        <v>5</v>
      </c>
    </row>
    <row r="144" spans="1:5" x14ac:dyDescent="0.2">
      <c r="A144">
        <v>240</v>
      </c>
      <c r="C144">
        <v>51</v>
      </c>
      <c r="D144" t="s">
        <v>97</v>
      </c>
      <c r="E144">
        <v>5</v>
      </c>
    </row>
    <row r="145" spans="1:5" x14ac:dyDescent="0.2">
      <c r="A145">
        <v>243</v>
      </c>
      <c r="C145">
        <v>100</v>
      </c>
      <c r="D145" t="s">
        <v>97</v>
      </c>
      <c r="E145">
        <v>5</v>
      </c>
    </row>
    <row r="146" spans="1:5" x14ac:dyDescent="0.2">
      <c r="A146">
        <v>256</v>
      </c>
      <c r="C146">
        <v>71</v>
      </c>
      <c r="D146" t="s">
        <v>97</v>
      </c>
      <c r="E146">
        <v>5</v>
      </c>
    </row>
    <row r="147" spans="1:5" x14ac:dyDescent="0.2">
      <c r="A147">
        <v>267</v>
      </c>
      <c r="C147">
        <v>71</v>
      </c>
      <c r="D147" t="s">
        <v>97</v>
      </c>
      <c r="E147">
        <v>5</v>
      </c>
    </row>
    <row r="148" spans="1:5" x14ac:dyDescent="0.2">
      <c r="A148">
        <v>305</v>
      </c>
      <c r="C148">
        <v>85</v>
      </c>
      <c r="D148" t="s">
        <v>97</v>
      </c>
      <c r="E148">
        <v>5</v>
      </c>
    </row>
    <row r="149" spans="1:5" x14ac:dyDescent="0.2">
      <c r="A149">
        <v>351</v>
      </c>
      <c r="C149">
        <v>79</v>
      </c>
      <c r="D149" t="s">
        <v>97</v>
      </c>
      <c r="E149">
        <v>5</v>
      </c>
    </row>
    <row r="150" spans="1:5" x14ac:dyDescent="0.2">
      <c r="A150">
        <v>355</v>
      </c>
      <c r="C150">
        <v>90</v>
      </c>
      <c r="D150" t="s">
        <v>97</v>
      </c>
      <c r="E150">
        <v>5</v>
      </c>
    </row>
    <row r="151" spans="1:5" x14ac:dyDescent="0.2">
      <c r="A151">
        <v>356</v>
      </c>
      <c r="C151">
        <v>49</v>
      </c>
      <c r="D151" t="s">
        <v>97</v>
      </c>
      <c r="E151">
        <v>5</v>
      </c>
    </row>
    <row r="152" spans="1:5" x14ac:dyDescent="0.2">
      <c r="A152">
        <v>11</v>
      </c>
      <c r="C152">
        <v>92</v>
      </c>
      <c r="D152" t="s">
        <v>97</v>
      </c>
      <c r="E152">
        <v>6</v>
      </c>
    </row>
    <row r="153" spans="1:5" x14ac:dyDescent="0.2">
      <c r="A153">
        <v>22</v>
      </c>
      <c r="C153">
        <v>71</v>
      </c>
      <c r="D153" t="s">
        <v>97</v>
      </c>
      <c r="E153">
        <v>6</v>
      </c>
    </row>
    <row r="154" spans="1:5" x14ac:dyDescent="0.2">
      <c r="A154">
        <v>32</v>
      </c>
      <c r="C154">
        <v>81</v>
      </c>
      <c r="D154" t="s">
        <v>97</v>
      </c>
      <c r="E154">
        <v>6</v>
      </c>
    </row>
    <row r="155" spans="1:5" x14ac:dyDescent="0.2">
      <c r="A155">
        <v>71</v>
      </c>
      <c r="C155">
        <v>81</v>
      </c>
      <c r="D155" t="s">
        <v>97</v>
      </c>
      <c r="E155">
        <v>6</v>
      </c>
    </row>
    <row r="156" spans="1:5" x14ac:dyDescent="0.2">
      <c r="A156">
        <v>84</v>
      </c>
      <c r="C156">
        <v>81</v>
      </c>
      <c r="D156" t="s">
        <v>97</v>
      </c>
      <c r="E156">
        <v>6</v>
      </c>
    </row>
    <row r="157" spans="1:5" x14ac:dyDescent="0.2">
      <c r="A157">
        <v>94</v>
      </c>
      <c r="C157">
        <v>100</v>
      </c>
      <c r="D157" t="s">
        <v>97</v>
      </c>
      <c r="E157">
        <v>6</v>
      </c>
    </row>
    <row r="158" spans="1:5" x14ac:dyDescent="0.2">
      <c r="A158">
        <v>119</v>
      </c>
      <c r="C158">
        <v>100</v>
      </c>
      <c r="D158" t="s">
        <v>97</v>
      </c>
      <c r="E158">
        <v>6</v>
      </c>
    </row>
    <row r="159" spans="1:5" x14ac:dyDescent="0.2">
      <c r="A159">
        <v>141</v>
      </c>
      <c r="C159">
        <v>100</v>
      </c>
      <c r="D159" t="s">
        <v>97</v>
      </c>
      <c r="E159">
        <v>6</v>
      </c>
    </row>
    <row r="160" spans="1:5" x14ac:dyDescent="0.2">
      <c r="A160">
        <v>150</v>
      </c>
      <c r="C160">
        <v>90</v>
      </c>
      <c r="D160" t="s">
        <v>97</v>
      </c>
      <c r="E160">
        <v>6</v>
      </c>
    </row>
    <row r="161" spans="1:5" x14ac:dyDescent="0.2">
      <c r="A161">
        <v>152</v>
      </c>
      <c r="C161">
        <v>100</v>
      </c>
      <c r="D161" t="s">
        <v>97</v>
      </c>
      <c r="E161">
        <v>6</v>
      </c>
    </row>
    <row r="162" spans="1:5" x14ac:dyDescent="0.2">
      <c r="A162">
        <v>159</v>
      </c>
      <c r="C162">
        <v>80</v>
      </c>
      <c r="D162" t="s">
        <v>97</v>
      </c>
      <c r="E162">
        <v>6</v>
      </c>
    </row>
    <row r="163" spans="1:5" x14ac:dyDescent="0.2">
      <c r="A163">
        <v>245</v>
      </c>
      <c r="C163">
        <v>74</v>
      </c>
      <c r="D163" t="s">
        <v>97</v>
      </c>
      <c r="E163">
        <v>6</v>
      </c>
    </row>
    <row r="164" spans="1:5" x14ac:dyDescent="0.2">
      <c r="A164">
        <v>272</v>
      </c>
      <c r="C164">
        <v>60</v>
      </c>
      <c r="D164" t="s">
        <v>97</v>
      </c>
      <c r="E164">
        <v>6</v>
      </c>
    </row>
    <row r="165" spans="1:5" x14ac:dyDescent="0.2">
      <c r="A165">
        <v>284</v>
      </c>
      <c r="C165">
        <v>77</v>
      </c>
      <c r="D165" t="s">
        <v>97</v>
      </c>
      <c r="E165">
        <v>6</v>
      </c>
    </row>
    <row r="166" spans="1:5" x14ac:dyDescent="0.2">
      <c r="A166">
        <v>321</v>
      </c>
      <c r="C166">
        <v>68</v>
      </c>
      <c r="D166" t="s">
        <v>97</v>
      </c>
      <c r="E166">
        <v>6</v>
      </c>
    </row>
    <row r="167" spans="1:5" x14ac:dyDescent="0.2">
      <c r="A167">
        <v>327</v>
      </c>
      <c r="C167">
        <v>94</v>
      </c>
      <c r="D167" t="s">
        <v>97</v>
      </c>
      <c r="E167">
        <v>6</v>
      </c>
    </row>
    <row r="168" spans="1:5" x14ac:dyDescent="0.2">
      <c r="A168">
        <v>331</v>
      </c>
      <c r="C168">
        <v>51</v>
      </c>
      <c r="D168" t="s">
        <v>97</v>
      </c>
      <c r="E168">
        <v>6</v>
      </c>
    </row>
    <row r="169" spans="1:5" x14ac:dyDescent="0.2">
      <c r="A169">
        <v>390</v>
      </c>
      <c r="C169">
        <v>85</v>
      </c>
      <c r="D169" t="s">
        <v>97</v>
      </c>
      <c r="E169">
        <v>6</v>
      </c>
    </row>
    <row r="170" spans="1:5" x14ac:dyDescent="0.2">
      <c r="A170">
        <v>49</v>
      </c>
      <c r="C170">
        <v>83</v>
      </c>
      <c r="D170" t="s">
        <v>97</v>
      </c>
      <c r="E170">
        <v>7</v>
      </c>
    </row>
    <row r="171" spans="1:5" x14ac:dyDescent="0.2">
      <c r="A171">
        <v>61</v>
      </c>
      <c r="C171">
        <v>85</v>
      </c>
      <c r="D171" t="s">
        <v>97</v>
      </c>
      <c r="E171">
        <v>7</v>
      </c>
    </row>
    <row r="172" spans="1:5" x14ac:dyDescent="0.2">
      <c r="A172">
        <v>65</v>
      </c>
      <c r="C172">
        <v>76</v>
      </c>
      <c r="D172" t="s">
        <v>97</v>
      </c>
      <c r="E172">
        <v>7</v>
      </c>
    </row>
    <row r="173" spans="1:5" x14ac:dyDescent="0.2">
      <c r="A173">
        <v>108</v>
      </c>
      <c r="C173">
        <v>100</v>
      </c>
      <c r="D173" t="s">
        <v>97</v>
      </c>
      <c r="E173">
        <v>7</v>
      </c>
    </row>
    <row r="174" spans="1:5" x14ac:dyDescent="0.2">
      <c r="A174">
        <v>161</v>
      </c>
      <c r="C174">
        <v>86</v>
      </c>
      <c r="D174" t="s">
        <v>97</v>
      </c>
      <c r="E174">
        <v>7</v>
      </c>
    </row>
    <row r="175" spans="1:5" x14ac:dyDescent="0.2">
      <c r="A175">
        <v>162</v>
      </c>
      <c r="C175">
        <v>100</v>
      </c>
      <c r="D175" t="s">
        <v>97</v>
      </c>
      <c r="E175">
        <v>7</v>
      </c>
    </row>
    <row r="176" spans="1:5" x14ac:dyDescent="0.2">
      <c r="A176">
        <v>167</v>
      </c>
      <c r="C176">
        <v>82</v>
      </c>
      <c r="D176" t="s">
        <v>97</v>
      </c>
      <c r="E176">
        <v>7</v>
      </c>
    </row>
    <row r="177" spans="1:5" x14ac:dyDescent="0.2">
      <c r="A177">
        <v>188</v>
      </c>
      <c r="C177">
        <v>67</v>
      </c>
      <c r="D177" t="s">
        <v>97</v>
      </c>
      <c r="E177">
        <v>7</v>
      </c>
    </row>
    <row r="178" spans="1:5" x14ac:dyDescent="0.2">
      <c r="A178">
        <v>190</v>
      </c>
      <c r="C178">
        <v>70</v>
      </c>
      <c r="D178" t="s">
        <v>97</v>
      </c>
      <c r="E178">
        <v>7</v>
      </c>
    </row>
    <row r="179" spans="1:5" x14ac:dyDescent="0.2">
      <c r="A179">
        <v>213</v>
      </c>
      <c r="C179">
        <v>100</v>
      </c>
      <c r="D179" t="s">
        <v>97</v>
      </c>
      <c r="E179">
        <v>7</v>
      </c>
    </row>
    <row r="180" spans="1:5" x14ac:dyDescent="0.2">
      <c r="A180">
        <v>252</v>
      </c>
      <c r="C180">
        <v>57</v>
      </c>
      <c r="D180" t="s">
        <v>97</v>
      </c>
      <c r="E180">
        <v>7</v>
      </c>
    </row>
    <row r="181" spans="1:5" x14ac:dyDescent="0.2">
      <c r="A181">
        <v>265</v>
      </c>
      <c r="C181">
        <v>90</v>
      </c>
      <c r="D181" t="s">
        <v>97</v>
      </c>
      <c r="E181">
        <v>7</v>
      </c>
    </row>
    <row r="182" spans="1:5" x14ac:dyDescent="0.2">
      <c r="A182">
        <v>271</v>
      </c>
      <c r="C182">
        <v>80</v>
      </c>
      <c r="D182" t="s">
        <v>97</v>
      </c>
      <c r="E182">
        <v>7</v>
      </c>
    </row>
    <row r="183" spans="1:5" x14ac:dyDescent="0.2">
      <c r="A183">
        <v>274</v>
      </c>
      <c r="C183">
        <v>50</v>
      </c>
      <c r="D183" t="s">
        <v>97</v>
      </c>
      <c r="E183">
        <v>7</v>
      </c>
    </row>
    <row r="184" spans="1:5" x14ac:dyDescent="0.2">
      <c r="A184">
        <v>285</v>
      </c>
      <c r="C184">
        <v>100</v>
      </c>
      <c r="D184" t="s">
        <v>97</v>
      </c>
      <c r="E184">
        <v>7</v>
      </c>
    </row>
    <row r="185" spans="1:5" x14ac:dyDescent="0.2">
      <c r="A185">
        <v>295</v>
      </c>
      <c r="C185">
        <v>90</v>
      </c>
      <c r="D185" t="s">
        <v>97</v>
      </c>
      <c r="E185">
        <v>7</v>
      </c>
    </row>
    <row r="186" spans="1:5" x14ac:dyDescent="0.2">
      <c r="A186">
        <v>328</v>
      </c>
      <c r="C186">
        <v>73</v>
      </c>
      <c r="D186" t="s">
        <v>97</v>
      </c>
      <c r="E186">
        <v>7</v>
      </c>
    </row>
    <row r="187" spans="1:5" x14ac:dyDescent="0.2">
      <c r="A187">
        <v>329</v>
      </c>
      <c r="C187">
        <v>100</v>
      </c>
      <c r="D187" t="s">
        <v>97</v>
      </c>
      <c r="E187">
        <v>7</v>
      </c>
    </row>
    <row r="188" spans="1:5" x14ac:dyDescent="0.2">
      <c r="A188">
        <v>339</v>
      </c>
      <c r="C188">
        <v>92</v>
      </c>
      <c r="D188" t="s">
        <v>97</v>
      </c>
      <c r="E188">
        <v>7</v>
      </c>
    </row>
    <row r="189" spans="1:5" x14ac:dyDescent="0.2">
      <c r="A189">
        <v>353</v>
      </c>
      <c r="C189">
        <v>60</v>
      </c>
      <c r="D189" t="s">
        <v>97</v>
      </c>
      <c r="E189">
        <v>7</v>
      </c>
    </row>
    <row r="190" spans="1:5" x14ac:dyDescent="0.2">
      <c r="A190">
        <v>357</v>
      </c>
      <c r="C190">
        <v>80</v>
      </c>
      <c r="D190" t="s">
        <v>97</v>
      </c>
      <c r="E190">
        <v>7</v>
      </c>
    </row>
    <row r="191" spans="1:5" x14ac:dyDescent="0.2">
      <c r="A191">
        <v>387</v>
      </c>
      <c r="C191">
        <v>100</v>
      </c>
      <c r="D191" t="s">
        <v>97</v>
      </c>
      <c r="E191">
        <v>7</v>
      </c>
    </row>
    <row r="192" spans="1:5" x14ac:dyDescent="0.2">
      <c r="A192">
        <v>388</v>
      </c>
      <c r="C192">
        <v>90</v>
      </c>
      <c r="D192" t="s">
        <v>97</v>
      </c>
      <c r="E192">
        <v>7</v>
      </c>
    </row>
    <row r="193" spans="1:5" x14ac:dyDescent="0.2">
      <c r="A193">
        <v>393</v>
      </c>
      <c r="C193">
        <v>65</v>
      </c>
      <c r="D193" t="s">
        <v>97</v>
      </c>
      <c r="E193">
        <v>7</v>
      </c>
    </row>
    <row r="194" spans="1:5" x14ac:dyDescent="0.2">
      <c r="A194">
        <v>25</v>
      </c>
      <c r="C194">
        <v>70</v>
      </c>
      <c r="D194" t="s">
        <v>97</v>
      </c>
      <c r="E194">
        <v>8</v>
      </c>
    </row>
    <row r="195" spans="1:5" x14ac:dyDescent="0.2">
      <c r="A195">
        <v>63</v>
      </c>
      <c r="C195">
        <v>10</v>
      </c>
      <c r="D195" t="s">
        <v>97</v>
      </c>
      <c r="E195">
        <v>8</v>
      </c>
    </row>
    <row r="196" spans="1:5" x14ac:dyDescent="0.2">
      <c r="A196">
        <v>100</v>
      </c>
      <c r="C196">
        <v>95</v>
      </c>
      <c r="D196" t="s">
        <v>97</v>
      </c>
      <c r="E196">
        <v>8</v>
      </c>
    </row>
    <row r="197" spans="1:5" x14ac:dyDescent="0.2">
      <c r="A197">
        <v>116</v>
      </c>
      <c r="C197">
        <v>75</v>
      </c>
      <c r="D197" t="s">
        <v>97</v>
      </c>
      <c r="E197">
        <v>8</v>
      </c>
    </row>
    <row r="198" spans="1:5" x14ac:dyDescent="0.2">
      <c r="A198">
        <v>123</v>
      </c>
      <c r="C198">
        <v>60</v>
      </c>
      <c r="D198" t="s">
        <v>97</v>
      </c>
      <c r="E198">
        <v>8</v>
      </c>
    </row>
    <row r="199" spans="1:5" x14ac:dyDescent="0.2">
      <c r="A199">
        <v>173</v>
      </c>
      <c r="C199">
        <v>79</v>
      </c>
      <c r="D199" t="s">
        <v>97</v>
      </c>
      <c r="E199">
        <v>8</v>
      </c>
    </row>
    <row r="200" spans="1:5" x14ac:dyDescent="0.2">
      <c r="A200">
        <v>160</v>
      </c>
      <c r="C200">
        <v>0</v>
      </c>
      <c r="D200" t="s">
        <v>111</v>
      </c>
      <c r="E200">
        <v>0</v>
      </c>
    </row>
    <row r="201" spans="1:5" x14ac:dyDescent="0.2">
      <c r="A201">
        <v>217</v>
      </c>
      <c r="C201">
        <v>100</v>
      </c>
      <c r="D201" t="s">
        <v>111</v>
      </c>
      <c r="E201">
        <v>1</v>
      </c>
    </row>
    <row r="202" spans="1:5" x14ac:dyDescent="0.2">
      <c r="A202">
        <v>105</v>
      </c>
      <c r="C202">
        <v>16</v>
      </c>
      <c r="D202" t="s">
        <v>111</v>
      </c>
      <c r="E202">
        <v>2</v>
      </c>
    </row>
    <row r="203" spans="1:5" x14ac:dyDescent="0.2">
      <c r="A203">
        <v>200</v>
      </c>
      <c r="C203">
        <v>50</v>
      </c>
      <c r="D203" t="s">
        <v>111</v>
      </c>
      <c r="E203">
        <v>2</v>
      </c>
    </row>
    <row r="204" spans="1:5" x14ac:dyDescent="0.2">
      <c r="A204">
        <v>255</v>
      </c>
      <c r="C204">
        <v>89</v>
      </c>
      <c r="D204" t="s">
        <v>111</v>
      </c>
      <c r="E204">
        <v>2</v>
      </c>
    </row>
    <row r="205" spans="1:5" x14ac:dyDescent="0.2">
      <c r="A205">
        <v>16</v>
      </c>
      <c r="C205">
        <v>40</v>
      </c>
      <c r="D205" t="s">
        <v>111</v>
      </c>
      <c r="E205">
        <v>3</v>
      </c>
    </row>
    <row r="206" spans="1:5" x14ac:dyDescent="0.2">
      <c r="A206">
        <v>53</v>
      </c>
      <c r="C206">
        <v>25</v>
      </c>
      <c r="D206" t="s">
        <v>111</v>
      </c>
      <c r="E206">
        <v>3</v>
      </c>
    </row>
    <row r="207" spans="1:5" x14ac:dyDescent="0.2">
      <c r="A207">
        <v>77</v>
      </c>
      <c r="C207">
        <v>82</v>
      </c>
      <c r="D207" t="s">
        <v>111</v>
      </c>
      <c r="E207">
        <v>3</v>
      </c>
    </row>
    <row r="208" spans="1:5" x14ac:dyDescent="0.2">
      <c r="A208">
        <v>129</v>
      </c>
      <c r="C208">
        <v>68</v>
      </c>
      <c r="D208" t="s">
        <v>111</v>
      </c>
      <c r="E208">
        <v>3</v>
      </c>
    </row>
    <row r="209" spans="1:5" x14ac:dyDescent="0.2">
      <c r="A209">
        <v>143</v>
      </c>
      <c r="C209">
        <v>42</v>
      </c>
      <c r="D209" t="s">
        <v>111</v>
      </c>
      <c r="E209">
        <v>3</v>
      </c>
    </row>
    <row r="210" spans="1:5" x14ac:dyDescent="0.2">
      <c r="A210">
        <v>165</v>
      </c>
      <c r="C210">
        <v>21</v>
      </c>
      <c r="D210" t="s">
        <v>111</v>
      </c>
      <c r="E210">
        <v>3</v>
      </c>
    </row>
    <row r="211" spans="1:5" x14ac:dyDescent="0.2">
      <c r="A211">
        <v>227</v>
      </c>
      <c r="C211">
        <v>47</v>
      </c>
      <c r="D211" t="s">
        <v>111</v>
      </c>
      <c r="E211">
        <v>3</v>
      </c>
    </row>
    <row r="212" spans="1:5" x14ac:dyDescent="0.2">
      <c r="A212">
        <v>287</v>
      </c>
      <c r="C212">
        <v>79</v>
      </c>
      <c r="D212" t="s">
        <v>111</v>
      </c>
      <c r="E212">
        <v>3</v>
      </c>
    </row>
    <row r="213" spans="1:5" x14ac:dyDescent="0.2">
      <c r="A213">
        <v>318</v>
      </c>
      <c r="C213">
        <v>77</v>
      </c>
      <c r="D213" t="s">
        <v>111</v>
      </c>
      <c r="E213">
        <v>3</v>
      </c>
    </row>
    <row r="214" spans="1:5" x14ac:dyDescent="0.2">
      <c r="A214">
        <v>378</v>
      </c>
      <c r="C214">
        <v>37</v>
      </c>
      <c r="D214" t="s">
        <v>111</v>
      </c>
      <c r="E214">
        <v>3</v>
      </c>
    </row>
    <row r="215" spans="1:5" x14ac:dyDescent="0.2">
      <c r="A215">
        <v>54</v>
      </c>
      <c r="C215">
        <v>13</v>
      </c>
      <c r="D215" t="s">
        <v>111</v>
      </c>
      <c r="E215">
        <v>4</v>
      </c>
    </row>
    <row r="216" spans="1:5" x14ac:dyDescent="0.2">
      <c r="A216">
        <v>64</v>
      </c>
      <c r="C216">
        <v>40</v>
      </c>
      <c r="D216" t="s">
        <v>111</v>
      </c>
      <c r="E216">
        <v>4</v>
      </c>
    </row>
    <row r="217" spans="1:5" x14ac:dyDescent="0.2">
      <c r="A217">
        <v>106</v>
      </c>
      <c r="C217">
        <v>60</v>
      </c>
      <c r="D217" t="s">
        <v>111</v>
      </c>
      <c r="E217">
        <v>4</v>
      </c>
    </row>
    <row r="218" spans="1:5" x14ac:dyDescent="0.2">
      <c r="A218">
        <v>114</v>
      </c>
      <c r="C218">
        <v>71</v>
      </c>
      <c r="D218" t="s">
        <v>111</v>
      </c>
      <c r="E218">
        <v>4</v>
      </c>
    </row>
    <row r="219" spans="1:5" x14ac:dyDescent="0.2">
      <c r="A219">
        <v>122</v>
      </c>
      <c r="C219">
        <v>30</v>
      </c>
      <c r="D219" t="s">
        <v>111</v>
      </c>
      <c r="E219">
        <v>4</v>
      </c>
    </row>
    <row r="220" spans="1:5" x14ac:dyDescent="0.2">
      <c r="A220">
        <v>137</v>
      </c>
      <c r="C220">
        <v>67</v>
      </c>
      <c r="D220" t="s">
        <v>111</v>
      </c>
      <c r="E220">
        <v>4</v>
      </c>
    </row>
    <row r="221" spans="1:5" x14ac:dyDescent="0.2">
      <c r="A221">
        <v>178</v>
      </c>
      <c r="C221">
        <v>61</v>
      </c>
      <c r="D221" t="s">
        <v>111</v>
      </c>
      <c r="E221">
        <v>4</v>
      </c>
    </row>
    <row r="222" spans="1:5" x14ac:dyDescent="0.2">
      <c r="A222">
        <v>186</v>
      </c>
      <c r="C222">
        <v>91</v>
      </c>
      <c r="D222" t="s">
        <v>111</v>
      </c>
      <c r="E222">
        <v>4</v>
      </c>
    </row>
    <row r="223" spans="1:5" x14ac:dyDescent="0.2">
      <c r="A223">
        <v>270</v>
      </c>
      <c r="C223">
        <v>90</v>
      </c>
      <c r="D223" t="s">
        <v>111</v>
      </c>
      <c r="E223">
        <v>4</v>
      </c>
    </row>
    <row r="224" spans="1:5" x14ac:dyDescent="0.2">
      <c r="A224">
        <v>308</v>
      </c>
      <c r="C224">
        <v>52</v>
      </c>
      <c r="D224" t="s">
        <v>111</v>
      </c>
      <c r="E224">
        <v>4</v>
      </c>
    </row>
    <row r="225" spans="1:5" x14ac:dyDescent="0.2">
      <c r="A225">
        <v>317</v>
      </c>
      <c r="C225">
        <v>0</v>
      </c>
      <c r="D225" t="s">
        <v>111</v>
      </c>
      <c r="E225">
        <v>4</v>
      </c>
    </row>
    <row r="226" spans="1:5" x14ac:dyDescent="0.2">
      <c r="A226">
        <v>343</v>
      </c>
      <c r="C226">
        <v>100</v>
      </c>
      <c r="D226" t="s">
        <v>111</v>
      </c>
      <c r="E226">
        <v>4</v>
      </c>
    </row>
    <row r="227" spans="1:5" x14ac:dyDescent="0.2">
      <c r="A227">
        <v>375</v>
      </c>
      <c r="C227">
        <v>82</v>
      </c>
      <c r="D227" t="s">
        <v>111</v>
      </c>
      <c r="E227">
        <v>4</v>
      </c>
    </row>
    <row r="228" spans="1:5" x14ac:dyDescent="0.2">
      <c r="A228">
        <v>46</v>
      </c>
      <c r="C228">
        <v>20</v>
      </c>
      <c r="D228" t="s">
        <v>111</v>
      </c>
      <c r="E228">
        <v>5</v>
      </c>
    </row>
    <row r="229" spans="1:5" x14ac:dyDescent="0.2">
      <c r="A229">
        <v>89</v>
      </c>
      <c r="C229">
        <v>100</v>
      </c>
      <c r="D229" t="s">
        <v>111</v>
      </c>
      <c r="E229">
        <v>5</v>
      </c>
    </row>
    <row r="230" spans="1:5" x14ac:dyDescent="0.2">
      <c r="A230">
        <v>96</v>
      </c>
      <c r="C230">
        <v>100</v>
      </c>
      <c r="D230" t="s">
        <v>111</v>
      </c>
      <c r="E230">
        <v>5</v>
      </c>
    </row>
    <row r="231" spans="1:5" x14ac:dyDescent="0.2">
      <c r="A231">
        <v>98</v>
      </c>
      <c r="C231">
        <v>67</v>
      </c>
      <c r="D231" t="s">
        <v>111</v>
      </c>
      <c r="E231">
        <v>5</v>
      </c>
    </row>
    <row r="232" spans="1:5" x14ac:dyDescent="0.2">
      <c r="A232">
        <v>113</v>
      </c>
      <c r="C232">
        <v>62</v>
      </c>
      <c r="D232" t="s">
        <v>111</v>
      </c>
      <c r="E232">
        <v>5</v>
      </c>
    </row>
    <row r="233" spans="1:5" x14ac:dyDescent="0.2">
      <c r="A233">
        <v>115</v>
      </c>
      <c r="C233">
        <v>66</v>
      </c>
      <c r="D233" t="s">
        <v>111</v>
      </c>
      <c r="E233">
        <v>5</v>
      </c>
    </row>
    <row r="234" spans="1:5" x14ac:dyDescent="0.2">
      <c r="A234">
        <v>133</v>
      </c>
      <c r="C234">
        <v>33</v>
      </c>
      <c r="D234" t="s">
        <v>111</v>
      </c>
      <c r="E234">
        <v>5</v>
      </c>
    </row>
    <row r="235" spans="1:5" x14ac:dyDescent="0.2">
      <c r="A235">
        <v>154</v>
      </c>
      <c r="C235">
        <v>100</v>
      </c>
      <c r="D235" t="s">
        <v>111</v>
      </c>
      <c r="E235">
        <v>5</v>
      </c>
    </row>
    <row r="236" spans="1:5" x14ac:dyDescent="0.2">
      <c r="A236">
        <v>163</v>
      </c>
      <c r="C236">
        <v>6</v>
      </c>
      <c r="D236" t="s">
        <v>111</v>
      </c>
      <c r="E236">
        <v>5</v>
      </c>
    </row>
    <row r="237" spans="1:5" x14ac:dyDescent="0.2">
      <c r="A237">
        <v>164</v>
      </c>
      <c r="C237">
        <v>10</v>
      </c>
      <c r="D237" t="s">
        <v>111</v>
      </c>
      <c r="E237">
        <v>5</v>
      </c>
    </row>
    <row r="238" spans="1:5" x14ac:dyDescent="0.2">
      <c r="A238">
        <v>212</v>
      </c>
      <c r="C238">
        <v>95</v>
      </c>
      <c r="D238" t="s">
        <v>111</v>
      </c>
      <c r="E238">
        <v>5</v>
      </c>
    </row>
    <row r="239" spans="1:5" x14ac:dyDescent="0.2">
      <c r="A239">
        <v>232</v>
      </c>
      <c r="C239">
        <v>4</v>
      </c>
      <c r="D239" t="s">
        <v>111</v>
      </c>
      <c r="E239">
        <v>5</v>
      </c>
    </row>
    <row r="240" spans="1:5" x14ac:dyDescent="0.2">
      <c r="A240">
        <v>246</v>
      </c>
      <c r="C240">
        <v>56</v>
      </c>
      <c r="D240" t="s">
        <v>111</v>
      </c>
      <c r="E240">
        <v>5</v>
      </c>
    </row>
    <row r="241" spans="1:5" x14ac:dyDescent="0.2">
      <c r="A241">
        <v>257</v>
      </c>
      <c r="C241">
        <v>85</v>
      </c>
      <c r="D241" t="s">
        <v>111</v>
      </c>
      <c r="E241">
        <v>5</v>
      </c>
    </row>
    <row r="242" spans="1:5" x14ac:dyDescent="0.2">
      <c r="A242">
        <v>279</v>
      </c>
      <c r="C242">
        <v>100</v>
      </c>
      <c r="D242" t="s">
        <v>111</v>
      </c>
      <c r="E242">
        <v>5</v>
      </c>
    </row>
    <row r="243" spans="1:5" x14ac:dyDescent="0.2">
      <c r="A243">
        <v>292</v>
      </c>
      <c r="C243">
        <v>40</v>
      </c>
      <c r="D243" t="s">
        <v>111</v>
      </c>
      <c r="E243">
        <v>5</v>
      </c>
    </row>
    <row r="244" spans="1:5" x14ac:dyDescent="0.2">
      <c r="A244">
        <v>297</v>
      </c>
      <c r="C244">
        <v>100</v>
      </c>
      <c r="D244" t="s">
        <v>111</v>
      </c>
      <c r="E244">
        <v>5</v>
      </c>
    </row>
    <row r="245" spans="1:5" x14ac:dyDescent="0.2">
      <c r="A245">
        <v>337</v>
      </c>
      <c r="C245">
        <v>60</v>
      </c>
      <c r="D245" t="s">
        <v>111</v>
      </c>
      <c r="E245">
        <v>5</v>
      </c>
    </row>
    <row r="246" spans="1:5" x14ac:dyDescent="0.2">
      <c r="A246">
        <v>365</v>
      </c>
      <c r="C246">
        <v>70</v>
      </c>
      <c r="D246" t="s">
        <v>111</v>
      </c>
      <c r="E246">
        <v>5</v>
      </c>
    </row>
    <row r="247" spans="1:5" x14ac:dyDescent="0.2">
      <c r="A247">
        <v>386</v>
      </c>
      <c r="C247">
        <v>95</v>
      </c>
      <c r="D247" t="s">
        <v>111</v>
      </c>
      <c r="E247">
        <v>5</v>
      </c>
    </row>
    <row r="248" spans="1:5" x14ac:dyDescent="0.2">
      <c r="A248">
        <v>10</v>
      </c>
      <c r="C248">
        <v>5</v>
      </c>
      <c r="D248" t="s">
        <v>111</v>
      </c>
      <c r="E248">
        <v>6</v>
      </c>
    </row>
    <row r="249" spans="1:5" x14ac:dyDescent="0.2">
      <c r="A249">
        <v>27</v>
      </c>
      <c r="C249">
        <v>31</v>
      </c>
      <c r="D249" t="s">
        <v>111</v>
      </c>
      <c r="E249">
        <v>6</v>
      </c>
    </row>
    <row r="250" spans="1:5" x14ac:dyDescent="0.2">
      <c r="A250">
        <v>42</v>
      </c>
      <c r="C250">
        <v>60</v>
      </c>
      <c r="D250" t="s">
        <v>111</v>
      </c>
      <c r="E250">
        <v>6</v>
      </c>
    </row>
    <row r="251" spans="1:5" x14ac:dyDescent="0.2">
      <c r="A251">
        <v>47</v>
      </c>
      <c r="C251">
        <v>37</v>
      </c>
      <c r="D251" t="s">
        <v>111</v>
      </c>
      <c r="E251">
        <v>6</v>
      </c>
    </row>
    <row r="252" spans="1:5" x14ac:dyDescent="0.2">
      <c r="A252">
        <v>88</v>
      </c>
      <c r="C252">
        <v>20</v>
      </c>
      <c r="D252" t="s">
        <v>111</v>
      </c>
      <c r="E252">
        <v>6</v>
      </c>
    </row>
    <row r="253" spans="1:5" x14ac:dyDescent="0.2">
      <c r="A253">
        <v>90</v>
      </c>
      <c r="C253">
        <v>51</v>
      </c>
      <c r="D253" t="s">
        <v>111</v>
      </c>
      <c r="E253">
        <v>6</v>
      </c>
    </row>
    <row r="254" spans="1:5" x14ac:dyDescent="0.2">
      <c r="A254">
        <v>144</v>
      </c>
      <c r="C254">
        <v>85</v>
      </c>
      <c r="D254" t="s">
        <v>111</v>
      </c>
      <c r="E254">
        <v>6</v>
      </c>
    </row>
    <row r="255" spans="1:5" x14ac:dyDescent="0.2">
      <c r="A255">
        <v>157</v>
      </c>
      <c r="C255">
        <v>32</v>
      </c>
      <c r="D255" t="s">
        <v>111</v>
      </c>
      <c r="E255">
        <v>6</v>
      </c>
    </row>
    <row r="256" spans="1:5" x14ac:dyDescent="0.2">
      <c r="A256">
        <v>168</v>
      </c>
      <c r="C256">
        <v>85</v>
      </c>
      <c r="D256" t="s">
        <v>111</v>
      </c>
      <c r="E256">
        <v>6</v>
      </c>
    </row>
    <row r="257" spans="1:5" x14ac:dyDescent="0.2">
      <c r="A257">
        <v>199</v>
      </c>
      <c r="C257">
        <v>50</v>
      </c>
      <c r="D257" t="s">
        <v>111</v>
      </c>
      <c r="E257">
        <v>6</v>
      </c>
    </row>
    <row r="258" spans="1:5" x14ac:dyDescent="0.2">
      <c r="A258">
        <v>249</v>
      </c>
      <c r="C258">
        <v>73</v>
      </c>
      <c r="D258" t="s">
        <v>111</v>
      </c>
      <c r="E258">
        <v>6</v>
      </c>
    </row>
    <row r="259" spans="1:5" x14ac:dyDescent="0.2">
      <c r="A259">
        <v>250</v>
      </c>
      <c r="C259">
        <v>10</v>
      </c>
      <c r="D259" t="s">
        <v>111</v>
      </c>
      <c r="E259">
        <v>6</v>
      </c>
    </row>
    <row r="260" spans="1:5" x14ac:dyDescent="0.2">
      <c r="A260">
        <v>281</v>
      </c>
      <c r="C260">
        <v>82</v>
      </c>
      <c r="D260" t="s">
        <v>111</v>
      </c>
      <c r="E260">
        <v>6</v>
      </c>
    </row>
    <row r="261" spans="1:5" x14ac:dyDescent="0.2">
      <c r="A261">
        <v>290</v>
      </c>
      <c r="C261">
        <v>28</v>
      </c>
      <c r="D261" t="s">
        <v>111</v>
      </c>
      <c r="E261">
        <v>6</v>
      </c>
    </row>
    <row r="262" spans="1:5" x14ac:dyDescent="0.2">
      <c r="A262">
        <v>298</v>
      </c>
      <c r="C262">
        <v>41</v>
      </c>
      <c r="D262" t="s">
        <v>111</v>
      </c>
      <c r="E262">
        <v>6</v>
      </c>
    </row>
    <row r="263" spans="1:5" x14ac:dyDescent="0.2">
      <c r="A263">
        <v>300</v>
      </c>
      <c r="C263">
        <v>40</v>
      </c>
      <c r="D263" t="s">
        <v>111</v>
      </c>
      <c r="E263">
        <v>6</v>
      </c>
    </row>
    <row r="264" spans="1:5" x14ac:dyDescent="0.2">
      <c r="A264">
        <v>312</v>
      </c>
      <c r="C264">
        <v>54</v>
      </c>
      <c r="D264" t="s">
        <v>111</v>
      </c>
      <c r="E264">
        <v>6</v>
      </c>
    </row>
    <row r="265" spans="1:5" x14ac:dyDescent="0.2">
      <c r="A265">
        <v>319</v>
      </c>
      <c r="C265">
        <v>15</v>
      </c>
      <c r="D265" t="s">
        <v>111</v>
      </c>
      <c r="E265">
        <v>6</v>
      </c>
    </row>
    <row r="266" spans="1:5" x14ac:dyDescent="0.2">
      <c r="A266">
        <v>347</v>
      </c>
      <c r="C266">
        <v>20</v>
      </c>
      <c r="D266" t="s">
        <v>111</v>
      </c>
      <c r="E266">
        <v>6</v>
      </c>
    </row>
    <row r="267" spans="1:5" x14ac:dyDescent="0.2">
      <c r="A267">
        <v>369</v>
      </c>
      <c r="C267">
        <v>0</v>
      </c>
      <c r="D267" t="s">
        <v>111</v>
      </c>
      <c r="E267">
        <v>6</v>
      </c>
    </row>
    <row r="268" spans="1:5" x14ac:dyDescent="0.2">
      <c r="A268">
        <v>377</v>
      </c>
      <c r="C268">
        <v>65</v>
      </c>
      <c r="D268" t="s">
        <v>111</v>
      </c>
      <c r="E268">
        <v>6</v>
      </c>
    </row>
    <row r="269" spans="1:5" x14ac:dyDescent="0.2">
      <c r="A269">
        <v>384</v>
      </c>
      <c r="C269">
        <v>40</v>
      </c>
      <c r="D269" t="s">
        <v>111</v>
      </c>
      <c r="E269">
        <v>6</v>
      </c>
    </row>
    <row r="270" spans="1:5" x14ac:dyDescent="0.2">
      <c r="A270">
        <v>2</v>
      </c>
      <c r="C270">
        <v>15</v>
      </c>
      <c r="D270" t="s">
        <v>111</v>
      </c>
      <c r="E270">
        <v>7</v>
      </c>
    </row>
    <row r="271" spans="1:5" x14ac:dyDescent="0.2">
      <c r="A271">
        <v>3</v>
      </c>
      <c r="C271">
        <v>5</v>
      </c>
      <c r="D271" t="s">
        <v>111</v>
      </c>
      <c r="E271">
        <v>7</v>
      </c>
    </row>
    <row r="272" spans="1:5" x14ac:dyDescent="0.2">
      <c r="A272">
        <v>28</v>
      </c>
      <c r="C272">
        <v>9</v>
      </c>
      <c r="D272" t="s">
        <v>111</v>
      </c>
      <c r="E272">
        <v>7</v>
      </c>
    </row>
    <row r="273" spans="1:5" x14ac:dyDescent="0.2">
      <c r="A273">
        <v>44</v>
      </c>
      <c r="C273">
        <v>13</v>
      </c>
      <c r="D273" t="s">
        <v>111</v>
      </c>
      <c r="E273">
        <v>7</v>
      </c>
    </row>
    <row r="274" spans="1:5" x14ac:dyDescent="0.2">
      <c r="A274">
        <v>62</v>
      </c>
      <c r="C274">
        <v>27</v>
      </c>
      <c r="D274" t="s">
        <v>111</v>
      </c>
      <c r="E274">
        <v>7</v>
      </c>
    </row>
    <row r="275" spans="1:5" x14ac:dyDescent="0.2">
      <c r="A275">
        <v>73</v>
      </c>
      <c r="C275">
        <v>0</v>
      </c>
      <c r="D275" t="s">
        <v>111</v>
      </c>
      <c r="E275">
        <v>7</v>
      </c>
    </row>
    <row r="276" spans="1:5" x14ac:dyDescent="0.2">
      <c r="A276">
        <v>75</v>
      </c>
      <c r="C276">
        <v>10</v>
      </c>
      <c r="D276" t="s">
        <v>111</v>
      </c>
      <c r="E276">
        <v>7</v>
      </c>
    </row>
    <row r="277" spans="1:5" x14ac:dyDescent="0.2">
      <c r="A277">
        <v>81</v>
      </c>
      <c r="C277">
        <v>23</v>
      </c>
      <c r="D277" t="s">
        <v>111</v>
      </c>
      <c r="E277">
        <v>7</v>
      </c>
    </row>
    <row r="278" spans="1:5" x14ac:dyDescent="0.2">
      <c r="A278">
        <v>91</v>
      </c>
      <c r="C278">
        <v>12</v>
      </c>
      <c r="D278" t="s">
        <v>111</v>
      </c>
      <c r="E278">
        <v>7</v>
      </c>
    </row>
    <row r="279" spans="1:5" x14ac:dyDescent="0.2">
      <c r="A279">
        <v>196</v>
      </c>
      <c r="C279">
        <v>35</v>
      </c>
      <c r="D279" t="s">
        <v>111</v>
      </c>
      <c r="E279">
        <v>7</v>
      </c>
    </row>
    <row r="280" spans="1:5" x14ac:dyDescent="0.2">
      <c r="A280">
        <v>202</v>
      </c>
      <c r="C280">
        <v>72</v>
      </c>
      <c r="D280" t="s">
        <v>111</v>
      </c>
      <c r="E280">
        <v>7</v>
      </c>
    </row>
    <row r="281" spans="1:5" x14ac:dyDescent="0.2">
      <c r="A281">
        <v>206</v>
      </c>
      <c r="C281">
        <v>29</v>
      </c>
      <c r="D281" t="s">
        <v>111</v>
      </c>
      <c r="E281">
        <v>7</v>
      </c>
    </row>
    <row r="282" spans="1:5" x14ac:dyDescent="0.2">
      <c r="A282">
        <v>214</v>
      </c>
      <c r="C282">
        <v>46</v>
      </c>
      <c r="D282" t="s">
        <v>111</v>
      </c>
      <c r="E282">
        <v>7</v>
      </c>
    </row>
    <row r="283" spans="1:5" x14ac:dyDescent="0.2">
      <c r="A283">
        <v>242</v>
      </c>
      <c r="C283">
        <v>20</v>
      </c>
      <c r="D283" t="s">
        <v>111</v>
      </c>
      <c r="E283">
        <v>7</v>
      </c>
    </row>
    <row r="284" spans="1:5" x14ac:dyDescent="0.2">
      <c r="A284">
        <v>277</v>
      </c>
      <c r="C284">
        <v>68</v>
      </c>
      <c r="D284" t="s">
        <v>111</v>
      </c>
      <c r="E284">
        <v>7</v>
      </c>
    </row>
    <row r="285" spans="1:5" x14ac:dyDescent="0.2">
      <c r="A285">
        <v>294</v>
      </c>
      <c r="C285">
        <v>0</v>
      </c>
      <c r="D285" t="s">
        <v>111</v>
      </c>
      <c r="E285">
        <v>7</v>
      </c>
    </row>
    <row r="286" spans="1:5" x14ac:dyDescent="0.2">
      <c r="A286">
        <v>314</v>
      </c>
      <c r="C286">
        <v>32</v>
      </c>
      <c r="D286" t="s">
        <v>111</v>
      </c>
      <c r="E286">
        <v>7</v>
      </c>
    </row>
    <row r="287" spans="1:5" x14ac:dyDescent="0.2">
      <c r="A287">
        <v>315</v>
      </c>
      <c r="C287">
        <v>70</v>
      </c>
      <c r="D287" t="s">
        <v>111</v>
      </c>
      <c r="E287">
        <v>7</v>
      </c>
    </row>
    <row r="288" spans="1:5" x14ac:dyDescent="0.2">
      <c r="A288">
        <v>346</v>
      </c>
      <c r="C288">
        <v>10</v>
      </c>
      <c r="D288" t="s">
        <v>111</v>
      </c>
      <c r="E288">
        <v>7</v>
      </c>
    </row>
    <row r="289" spans="1:5" x14ac:dyDescent="0.2">
      <c r="A289">
        <v>359</v>
      </c>
      <c r="C289">
        <v>45</v>
      </c>
      <c r="D289" t="s">
        <v>111</v>
      </c>
      <c r="E289">
        <v>7</v>
      </c>
    </row>
    <row r="290" spans="1:5" x14ac:dyDescent="0.2">
      <c r="A290">
        <v>362</v>
      </c>
      <c r="C290">
        <v>15</v>
      </c>
      <c r="D290" t="s">
        <v>111</v>
      </c>
      <c r="E290">
        <v>7</v>
      </c>
    </row>
    <row r="291" spans="1:5" x14ac:dyDescent="0.2">
      <c r="A291">
        <v>29</v>
      </c>
      <c r="C291">
        <v>60</v>
      </c>
      <c r="D291" t="s">
        <v>111</v>
      </c>
      <c r="E291">
        <v>8</v>
      </c>
    </row>
    <row r="292" spans="1:5" x14ac:dyDescent="0.2">
      <c r="A292">
        <v>33</v>
      </c>
      <c r="C292">
        <v>15</v>
      </c>
      <c r="D292" t="s">
        <v>111</v>
      </c>
      <c r="E292">
        <v>8</v>
      </c>
    </row>
    <row r="293" spans="1:5" x14ac:dyDescent="0.2">
      <c r="A293">
        <v>51</v>
      </c>
      <c r="C293">
        <v>16</v>
      </c>
      <c r="D293" t="s">
        <v>111</v>
      </c>
      <c r="E293">
        <v>8</v>
      </c>
    </row>
    <row r="294" spans="1:5" x14ac:dyDescent="0.2">
      <c r="A294">
        <v>166</v>
      </c>
      <c r="C294">
        <v>43</v>
      </c>
      <c r="D294" t="s">
        <v>111</v>
      </c>
      <c r="E294">
        <v>8</v>
      </c>
    </row>
    <row r="295" spans="1:5" x14ac:dyDescent="0.2">
      <c r="A295">
        <v>171</v>
      </c>
      <c r="C295">
        <v>10</v>
      </c>
      <c r="D295" t="s">
        <v>111</v>
      </c>
      <c r="E295">
        <v>8</v>
      </c>
    </row>
    <row r="296" spans="1:5" x14ac:dyDescent="0.2">
      <c r="A296">
        <v>175</v>
      </c>
      <c r="C296">
        <v>20</v>
      </c>
      <c r="D296" t="s">
        <v>111</v>
      </c>
      <c r="E296">
        <v>8</v>
      </c>
    </row>
    <row r="297" spans="1:5" x14ac:dyDescent="0.2">
      <c r="A297">
        <v>259</v>
      </c>
      <c r="C297">
        <v>50</v>
      </c>
      <c r="D297" t="s">
        <v>111</v>
      </c>
      <c r="E297">
        <v>8</v>
      </c>
    </row>
    <row r="298" spans="1:5" x14ac:dyDescent="0.2">
      <c r="A298">
        <v>283</v>
      </c>
      <c r="C298">
        <v>15</v>
      </c>
      <c r="D298" t="s">
        <v>111</v>
      </c>
      <c r="E298">
        <v>8</v>
      </c>
    </row>
    <row r="299" spans="1:5" x14ac:dyDescent="0.2">
      <c r="A299">
        <v>330</v>
      </c>
      <c r="C299">
        <v>10</v>
      </c>
      <c r="D299" t="s">
        <v>111</v>
      </c>
      <c r="E299">
        <v>8</v>
      </c>
    </row>
    <row r="300" spans="1:5" x14ac:dyDescent="0.2">
      <c r="A300">
        <v>82</v>
      </c>
      <c r="B300">
        <v>70</v>
      </c>
      <c r="C300">
        <v>82</v>
      </c>
      <c r="D300" t="s">
        <v>125</v>
      </c>
      <c r="E300">
        <v>0</v>
      </c>
    </row>
    <row r="301" spans="1:5" x14ac:dyDescent="0.2">
      <c r="A301">
        <v>183</v>
      </c>
      <c r="B301">
        <v>25</v>
      </c>
      <c r="C301">
        <v>25</v>
      </c>
      <c r="D301" t="s">
        <v>125</v>
      </c>
      <c r="E301">
        <v>0</v>
      </c>
    </row>
    <row r="302" spans="1:5" x14ac:dyDescent="0.2">
      <c r="A302">
        <v>26</v>
      </c>
      <c r="B302">
        <v>0</v>
      </c>
      <c r="C302">
        <v>0</v>
      </c>
      <c r="D302" t="s">
        <v>125</v>
      </c>
      <c r="E302">
        <v>2</v>
      </c>
    </row>
    <row r="303" spans="1:5" x14ac:dyDescent="0.2">
      <c r="A303">
        <v>86</v>
      </c>
      <c r="B303">
        <v>64</v>
      </c>
      <c r="C303">
        <v>75</v>
      </c>
      <c r="D303" t="s">
        <v>125</v>
      </c>
      <c r="E303">
        <v>2</v>
      </c>
    </row>
    <row r="304" spans="1:5" x14ac:dyDescent="0.2">
      <c r="A304">
        <v>191</v>
      </c>
      <c r="B304">
        <v>70</v>
      </c>
      <c r="C304">
        <v>62</v>
      </c>
      <c r="D304" t="s">
        <v>125</v>
      </c>
      <c r="E304">
        <v>2</v>
      </c>
    </row>
    <row r="305" spans="1:5" x14ac:dyDescent="0.2">
      <c r="A305">
        <v>193</v>
      </c>
      <c r="B305">
        <v>56</v>
      </c>
      <c r="C305">
        <v>79</v>
      </c>
      <c r="D305" t="s">
        <v>125</v>
      </c>
      <c r="E305">
        <v>2</v>
      </c>
    </row>
    <row r="306" spans="1:5" x14ac:dyDescent="0.2">
      <c r="A306">
        <v>313</v>
      </c>
      <c r="B306">
        <v>76</v>
      </c>
      <c r="C306">
        <v>75</v>
      </c>
      <c r="D306" t="s">
        <v>125</v>
      </c>
      <c r="E306">
        <v>2</v>
      </c>
    </row>
    <row r="307" spans="1:5" x14ac:dyDescent="0.2">
      <c r="A307">
        <v>4</v>
      </c>
      <c r="B307">
        <v>7</v>
      </c>
      <c r="C307">
        <v>0</v>
      </c>
      <c r="D307" t="s">
        <v>125</v>
      </c>
      <c r="E307">
        <v>3</v>
      </c>
    </row>
    <row r="308" spans="1:5" x14ac:dyDescent="0.2">
      <c r="A308">
        <v>66</v>
      </c>
      <c r="B308">
        <v>42</v>
      </c>
      <c r="C308">
        <v>31</v>
      </c>
      <c r="D308" t="s">
        <v>125</v>
      </c>
      <c r="E308">
        <v>3</v>
      </c>
    </row>
    <row r="309" spans="1:5" x14ac:dyDescent="0.2">
      <c r="A309">
        <v>177</v>
      </c>
      <c r="B309">
        <v>50</v>
      </c>
      <c r="C309">
        <v>50</v>
      </c>
      <c r="D309" t="s">
        <v>125</v>
      </c>
      <c r="E309">
        <v>3</v>
      </c>
    </row>
    <row r="310" spans="1:5" x14ac:dyDescent="0.2">
      <c r="A310">
        <v>179</v>
      </c>
      <c r="B310">
        <v>91</v>
      </c>
      <c r="C310">
        <v>86</v>
      </c>
      <c r="D310" t="s">
        <v>125</v>
      </c>
      <c r="E310">
        <v>3</v>
      </c>
    </row>
    <row r="311" spans="1:5" x14ac:dyDescent="0.2">
      <c r="A311">
        <v>215</v>
      </c>
      <c r="B311">
        <v>25</v>
      </c>
      <c r="C311">
        <v>60</v>
      </c>
      <c r="D311" t="s">
        <v>125</v>
      </c>
      <c r="E311">
        <v>3</v>
      </c>
    </row>
    <row r="312" spans="1:5" x14ac:dyDescent="0.2">
      <c r="A312">
        <v>302</v>
      </c>
      <c r="B312">
        <v>81</v>
      </c>
      <c r="C312">
        <v>98</v>
      </c>
      <c r="D312" t="s">
        <v>125</v>
      </c>
      <c r="E312">
        <v>3</v>
      </c>
    </row>
    <row r="313" spans="1:5" x14ac:dyDescent="0.2">
      <c r="A313">
        <v>324</v>
      </c>
      <c r="B313">
        <v>76</v>
      </c>
      <c r="C313">
        <v>70</v>
      </c>
      <c r="D313" t="s">
        <v>125</v>
      </c>
      <c r="E313">
        <v>3</v>
      </c>
    </row>
    <row r="314" spans="1:5" x14ac:dyDescent="0.2">
      <c r="A314">
        <v>342</v>
      </c>
      <c r="B314">
        <v>50</v>
      </c>
      <c r="C314">
        <v>50</v>
      </c>
      <c r="D314" t="s">
        <v>125</v>
      </c>
      <c r="E314">
        <v>3</v>
      </c>
    </row>
    <row r="315" spans="1:5" x14ac:dyDescent="0.2">
      <c r="A315">
        <v>372</v>
      </c>
      <c r="B315">
        <v>74</v>
      </c>
      <c r="C315">
        <v>93</v>
      </c>
      <c r="D315" t="s">
        <v>125</v>
      </c>
      <c r="E315">
        <v>3</v>
      </c>
    </row>
    <row r="316" spans="1:5" x14ac:dyDescent="0.2">
      <c r="A316">
        <v>12</v>
      </c>
      <c r="B316">
        <v>5</v>
      </c>
      <c r="C316">
        <v>10</v>
      </c>
      <c r="D316" t="s">
        <v>125</v>
      </c>
      <c r="E316">
        <v>4</v>
      </c>
    </row>
    <row r="317" spans="1:5" x14ac:dyDescent="0.2">
      <c r="A317">
        <v>59</v>
      </c>
      <c r="B317">
        <v>37</v>
      </c>
      <c r="C317">
        <v>57</v>
      </c>
      <c r="D317" t="s">
        <v>125</v>
      </c>
      <c r="E317">
        <v>4</v>
      </c>
    </row>
    <row r="318" spans="1:5" x14ac:dyDescent="0.2">
      <c r="A318">
        <v>103</v>
      </c>
      <c r="B318">
        <v>75</v>
      </c>
      <c r="C318">
        <v>65</v>
      </c>
      <c r="D318" t="s">
        <v>125</v>
      </c>
      <c r="E318">
        <v>4</v>
      </c>
    </row>
    <row r="319" spans="1:5" x14ac:dyDescent="0.2">
      <c r="A319">
        <v>109</v>
      </c>
      <c r="B319">
        <v>100</v>
      </c>
      <c r="C319">
        <v>100</v>
      </c>
      <c r="D319" t="s">
        <v>125</v>
      </c>
      <c r="E319">
        <v>4</v>
      </c>
    </row>
    <row r="320" spans="1:5" x14ac:dyDescent="0.2">
      <c r="A320">
        <v>134</v>
      </c>
      <c r="B320">
        <v>25</v>
      </c>
      <c r="C320">
        <v>33</v>
      </c>
      <c r="D320" t="s">
        <v>125</v>
      </c>
      <c r="E320">
        <v>4</v>
      </c>
    </row>
    <row r="321" spans="1:5" x14ac:dyDescent="0.2">
      <c r="A321">
        <v>180</v>
      </c>
      <c r="B321">
        <v>10</v>
      </c>
      <c r="C321">
        <v>10</v>
      </c>
      <c r="D321" t="s">
        <v>125</v>
      </c>
      <c r="E321">
        <v>4</v>
      </c>
    </row>
    <row r="322" spans="1:5" x14ac:dyDescent="0.2">
      <c r="A322">
        <v>197</v>
      </c>
      <c r="B322">
        <v>26</v>
      </c>
      <c r="C322">
        <v>20</v>
      </c>
      <c r="D322" t="s">
        <v>125</v>
      </c>
      <c r="E322">
        <v>4</v>
      </c>
    </row>
    <row r="323" spans="1:5" x14ac:dyDescent="0.2">
      <c r="A323">
        <v>210</v>
      </c>
      <c r="B323">
        <v>21</v>
      </c>
      <c r="C323">
        <v>43</v>
      </c>
      <c r="D323" t="s">
        <v>125</v>
      </c>
      <c r="E323">
        <v>4</v>
      </c>
    </row>
    <row r="324" spans="1:5" x14ac:dyDescent="0.2">
      <c r="A324">
        <v>260</v>
      </c>
      <c r="B324">
        <v>70</v>
      </c>
      <c r="C324">
        <v>94</v>
      </c>
      <c r="D324" t="s">
        <v>125</v>
      </c>
      <c r="E324">
        <v>4</v>
      </c>
    </row>
    <row r="325" spans="1:5" x14ac:dyDescent="0.2">
      <c r="A325">
        <v>349</v>
      </c>
      <c r="B325">
        <v>81</v>
      </c>
      <c r="C325">
        <v>79</v>
      </c>
      <c r="D325" t="s">
        <v>125</v>
      </c>
      <c r="E325">
        <v>4</v>
      </c>
    </row>
    <row r="326" spans="1:5" x14ac:dyDescent="0.2">
      <c r="A326">
        <v>358</v>
      </c>
      <c r="B326">
        <v>80</v>
      </c>
      <c r="C326">
        <v>82</v>
      </c>
      <c r="D326" t="s">
        <v>125</v>
      </c>
      <c r="E326">
        <v>4</v>
      </c>
    </row>
    <row r="327" spans="1:5" x14ac:dyDescent="0.2">
      <c r="A327">
        <v>394</v>
      </c>
      <c r="B327">
        <v>70</v>
      </c>
      <c r="C327">
        <v>85</v>
      </c>
      <c r="D327" t="s">
        <v>125</v>
      </c>
      <c r="E327">
        <v>4</v>
      </c>
    </row>
    <row r="328" spans="1:5" x14ac:dyDescent="0.2">
      <c r="A328">
        <v>6</v>
      </c>
      <c r="B328">
        <v>60</v>
      </c>
      <c r="C328">
        <v>61</v>
      </c>
      <c r="D328" t="s">
        <v>125</v>
      </c>
      <c r="E328">
        <v>5</v>
      </c>
    </row>
    <row r="329" spans="1:5" x14ac:dyDescent="0.2">
      <c r="A329">
        <v>30</v>
      </c>
      <c r="B329">
        <v>61</v>
      </c>
      <c r="C329">
        <v>20</v>
      </c>
      <c r="D329" t="s">
        <v>125</v>
      </c>
      <c r="E329">
        <v>5</v>
      </c>
    </row>
    <row r="330" spans="1:5" x14ac:dyDescent="0.2">
      <c r="A330">
        <v>92</v>
      </c>
      <c r="B330">
        <v>10</v>
      </c>
      <c r="C330">
        <v>11</v>
      </c>
      <c r="D330" t="s">
        <v>125</v>
      </c>
      <c r="E330">
        <v>5</v>
      </c>
    </row>
    <row r="331" spans="1:5" x14ac:dyDescent="0.2">
      <c r="A331">
        <v>101</v>
      </c>
      <c r="B331">
        <v>70</v>
      </c>
      <c r="C331">
        <v>70</v>
      </c>
      <c r="D331" t="s">
        <v>125</v>
      </c>
      <c r="E331">
        <v>5</v>
      </c>
    </row>
    <row r="332" spans="1:5" x14ac:dyDescent="0.2">
      <c r="A332">
        <v>121</v>
      </c>
      <c r="B332">
        <v>14</v>
      </c>
      <c r="C332">
        <v>15</v>
      </c>
      <c r="D332" t="s">
        <v>125</v>
      </c>
      <c r="E332">
        <v>5</v>
      </c>
    </row>
    <row r="333" spans="1:5" x14ac:dyDescent="0.2">
      <c r="A333">
        <v>139</v>
      </c>
      <c r="B333">
        <v>25</v>
      </c>
      <c r="C333">
        <v>30</v>
      </c>
      <c r="D333" t="s">
        <v>125</v>
      </c>
      <c r="E333">
        <v>5</v>
      </c>
    </row>
    <row r="334" spans="1:5" x14ac:dyDescent="0.2">
      <c r="A334">
        <v>153</v>
      </c>
      <c r="B334">
        <v>12</v>
      </c>
      <c r="C334">
        <v>11</v>
      </c>
      <c r="D334" t="s">
        <v>125</v>
      </c>
      <c r="E334">
        <v>5</v>
      </c>
    </row>
    <row r="335" spans="1:5" x14ac:dyDescent="0.2">
      <c r="A335">
        <v>195</v>
      </c>
      <c r="B335">
        <v>42</v>
      </c>
      <c r="C335">
        <v>35</v>
      </c>
      <c r="D335" t="s">
        <v>125</v>
      </c>
      <c r="E335">
        <v>5</v>
      </c>
    </row>
    <row r="336" spans="1:5" x14ac:dyDescent="0.2">
      <c r="A336">
        <v>201</v>
      </c>
      <c r="B336">
        <v>76</v>
      </c>
      <c r="C336">
        <v>92</v>
      </c>
      <c r="D336" t="s">
        <v>125</v>
      </c>
      <c r="E336">
        <v>5</v>
      </c>
    </row>
    <row r="337" spans="1:5" x14ac:dyDescent="0.2">
      <c r="A337">
        <v>228</v>
      </c>
      <c r="B337">
        <v>20</v>
      </c>
      <c r="C337">
        <v>15</v>
      </c>
      <c r="D337" t="s">
        <v>125</v>
      </c>
      <c r="E337">
        <v>5</v>
      </c>
    </row>
    <row r="338" spans="1:5" x14ac:dyDescent="0.2">
      <c r="A338">
        <v>282</v>
      </c>
      <c r="B338">
        <v>27</v>
      </c>
      <c r="C338">
        <v>15</v>
      </c>
      <c r="D338" t="s">
        <v>125</v>
      </c>
      <c r="E338">
        <v>5</v>
      </c>
    </row>
    <row r="339" spans="1:5" x14ac:dyDescent="0.2">
      <c r="A339">
        <v>286</v>
      </c>
      <c r="B339">
        <v>10</v>
      </c>
      <c r="C339">
        <v>9</v>
      </c>
      <c r="D339" t="s">
        <v>125</v>
      </c>
      <c r="E339">
        <v>5</v>
      </c>
    </row>
    <row r="340" spans="1:5" x14ac:dyDescent="0.2">
      <c r="A340">
        <v>301</v>
      </c>
      <c r="B340">
        <v>80</v>
      </c>
      <c r="C340">
        <v>90</v>
      </c>
      <c r="D340" t="s">
        <v>125</v>
      </c>
      <c r="E340">
        <v>5</v>
      </c>
    </row>
    <row r="341" spans="1:5" x14ac:dyDescent="0.2">
      <c r="A341">
        <v>332</v>
      </c>
      <c r="B341">
        <v>0</v>
      </c>
      <c r="C341">
        <v>0</v>
      </c>
      <c r="D341" t="s">
        <v>125</v>
      </c>
      <c r="E341">
        <v>5</v>
      </c>
    </row>
    <row r="342" spans="1:5" x14ac:dyDescent="0.2">
      <c r="A342">
        <v>344</v>
      </c>
      <c r="B342">
        <v>15</v>
      </c>
      <c r="C342">
        <v>25</v>
      </c>
      <c r="D342" t="s">
        <v>125</v>
      </c>
      <c r="E342">
        <v>5</v>
      </c>
    </row>
    <row r="343" spans="1:5" x14ac:dyDescent="0.2">
      <c r="A343">
        <v>350</v>
      </c>
      <c r="B343">
        <v>75</v>
      </c>
      <c r="C343">
        <v>61</v>
      </c>
      <c r="D343" t="s">
        <v>125</v>
      </c>
      <c r="E343">
        <v>5</v>
      </c>
    </row>
    <row r="344" spans="1:5" x14ac:dyDescent="0.2">
      <c r="A344">
        <v>21</v>
      </c>
      <c r="B344">
        <v>60</v>
      </c>
      <c r="C344">
        <v>75</v>
      </c>
      <c r="D344" t="s">
        <v>125</v>
      </c>
      <c r="E344">
        <v>6</v>
      </c>
    </row>
    <row r="345" spans="1:5" x14ac:dyDescent="0.2">
      <c r="A345">
        <v>36</v>
      </c>
      <c r="B345">
        <v>24</v>
      </c>
      <c r="C345">
        <v>15</v>
      </c>
      <c r="D345" t="s">
        <v>125</v>
      </c>
      <c r="E345">
        <v>6</v>
      </c>
    </row>
    <row r="346" spans="1:5" x14ac:dyDescent="0.2">
      <c r="A346">
        <v>39</v>
      </c>
      <c r="B346">
        <v>22</v>
      </c>
      <c r="C346">
        <v>3</v>
      </c>
      <c r="D346" t="s">
        <v>125</v>
      </c>
      <c r="E346">
        <v>6</v>
      </c>
    </row>
    <row r="347" spans="1:5" x14ac:dyDescent="0.2">
      <c r="A347">
        <v>74</v>
      </c>
      <c r="B347">
        <v>23</v>
      </c>
      <c r="C347">
        <v>36</v>
      </c>
      <c r="D347" t="s">
        <v>125</v>
      </c>
      <c r="E347">
        <v>6</v>
      </c>
    </row>
    <row r="348" spans="1:5" x14ac:dyDescent="0.2">
      <c r="A348">
        <v>76</v>
      </c>
      <c r="B348">
        <v>19</v>
      </c>
      <c r="C348">
        <v>20</v>
      </c>
      <c r="D348" t="s">
        <v>125</v>
      </c>
      <c r="E348">
        <v>6</v>
      </c>
    </row>
    <row r="349" spans="1:5" x14ac:dyDescent="0.2">
      <c r="A349">
        <v>111</v>
      </c>
      <c r="B349">
        <v>60</v>
      </c>
      <c r="C349">
        <v>66</v>
      </c>
      <c r="D349" t="s">
        <v>125</v>
      </c>
      <c r="E349">
        <v>6</v>
      </c>
    </row>
    <row r="350" spans="1:5" x14ac:dyDescent="0.2">
      <c r="A350">
        <v>118</v>
      </c>
      <c r="B350">
        <v>5</v>
      </c>
      <c r="C350">
        <v>5</v>
      </c>
      <c r="D350" t="s">
        <v>125</v>
      </c>
      <c r="E350">
        <v>6</v>
      </c>
    </row>
    <row r="351" spans="1:5" x14ac:dyDescent="0.2">
      <c r="A351">
        <v>125</v>
      </c>
      <c r="B351">
        <v>73</v>
      </c>
      <c r="C351">
        <v>77</v>
      </c>
      <c r="D351" t="s">
        <v>125</v>
      </c>
      <c r="E351">
        <v>6</v>
      </c>
    </row>
    <row r="352" spans="1:5" x14ac:dyDescent="0.2">
      <c r="A352">
        <v>127</v>
      </c>
      <c r="B352">
        <v>80</v>
      </c>
      <c r="C352">
        <v>80</v>
      </c>
      <c r="D352" t="s">
        <v>125</v>
      </c>
      <c r="E352">
        <v>6</v>
      </c>
    </row>
    <row r="353" spans="1:5" x14ac:dyDescent="0.2">
      <c r="A353">
        <v>147</v>
      </c>
      <c r="B353">
        <v>20</v>
      </c>
      <c r="C353">
        <v>25</v>
      </c>
      <c r="D353" t="s">
        <v>125</v>
      </c>
      <c r="E353">
        <v>6</v>
      </c>
    </row>
    <row r="354" spans="1:5" x14ac:dyDescent="0.2">
      <c r="A354">
        <v>211</v>
      </c>
      <c r="B354">
        <v>70</v>
      </c>
      <c r="C354">
        <v>91</v>
      </c>
      <c r="D354" t="s">
        <v>125</v>
      </c>
      <c r="E354">
        <v>6</v>
      </c>
    </row>
    <row r="355" spans="1:5" x14ac:dyDescent="0.2">
      <c r="A355">
        <v>222</v>
      </c>
      <c r="B355">
        <v>55</v>
      </c>
      <c r="C355">
        <v>55</v>
      </c>
      <c r="D355" t="s">
        <v>125</v>
      </c>
      <c r="E355">
        <v>6</v>
      </c>
    </row>
    <row r="356" spans="1:5" x14ac:dyDescent="0.2">
      <c r="A356">
        <v>223</v>
      </c>
      <c r="B356">
        <v>5</v>
      </c>
      <c r="C356">
        <v>1</v>
      </c>
      <c r="D356" t="s">
        <v>125</v>
      </c>
      <c r="E356">
        <v>6</v>
      </c>
    </row>
    <row r="357" spans="1:5" x14ac:dyDescent="0.2">
      <c r="A357">
        <v>254</v>
      </c>
      <c r="B357">
        <v>80</v>
      </c>
      <c r="C357">
        <v>55</v>
      </c>
      <c r="D357" t="s">
        <v>125</v>
      </c>
      <c r="E357">
        <v>6</v>
      </c>
    </row>
    <row r="358" spans="1:5" x14ac:dyDescent="0.2">
      <c r="A358">
        <v>258</v>
      </c>
      <c r="B358">
        <v>30</v>
      </c>
      <c r="C358">
        <v>11</v>
      </c>
      <c r="D358" t="s">
        <v>125</v>
      </c>
      <c r="E358">
        <v>6</v>
      </c>
    </row>
    <row r="359" spans="1:5" x14ac:dyDescent="0.2">
      <c r="A359">
        <v>333</v>
      </c>
      <c r="B359">
        <v>100</v>
      </c>
      <c r="C359">
        <v>100</v>
      </c>
      <c r="D359" t="s">
        <v>125</v>
      </c>
      <c r="E359">
        <v>6</v>
      </c>
    </row>
    <row r="360" spans="1:5" x14ac:dyDescent="0.2">
      <c r="A360">
        <v>360</v>
      </c>
      <c r="B360">
        <v>81</v>
      </c>
      <c r="C360">
        <v>86</v>
      </c>
      <c r="D360" t="s">
        <v>125</v>
      </c>
      <c r="E360">
        <v>6</v>
      </c>
    </row>
    <row r="361" spans="1:5" x14ac:dyDescent="0.2">
      <c r="A361">
        <v>374</v>
      </c>
      <c r="B361">
        <v>65</v>
      </c>
      <c r="C361">
        <v>70</v>
      </c>
      <c r="D361" t="s">
        <v>125</v>
      </c>
      <c r="E361">
        <v>6</v>
      </c>
    </row>
    <row r="362" spans="1:5" x14ac:dyDescent="0.2">
      <c r="A362">
        <v>392</v>
      </c>
      <c r="B362">
        <v>41</v>
      </c>
      <c r="C362">
        <v>49</v>
      </c>
      <c r="D362" t="s">
        <v>125</v>
      </c>
      <c r="E362">
        <v>6</v>
      </c>
    </row>
    <row r="363" spans="1:5" x14ac:dyDescent="0.2">
      <c r="A363">
        <v>398</v>
      </c>
      <c r="B363">
        <v>60</v>
      </c>
      <c r="C363">
        <v>60</v>
      </c>
      <c r="D363" t="s">
        <v>125</v>
      </c>
      <c r="E363">
        <v>6</v>
      </c>
    </row>
    <row r="364" spans="1:5" x14ac:dyDescent="0.2">
      <c r="A364">
        <v>399</v>
      </c>
      <c r="B364">
        <v>82</v>
      </c>
      <c r="C364">
        <v>97</v>
      </c>
      <c r="D364" t="s">
        <v>125</v>
      </c>
      <c r="E364">
        <v>6</v>
      </c>
    </row>
    <row r="365" spans="1:5" x14ac:dyDescent="0.2">
      <c r="A365">
        <v>13</v>
      </c>
      <c r="B365">
        <v>22</v>
      </c>
      <c r="C365">
        <v>16</v>
      </c>
      <c r="D365" t="s">
        <v>125</v>
      </c>
      <c r="E365">
        <v>7</v>
      </c>
    </row>
    <row r="366" spans="1:5" x14ac:dyDescent="0.2">
      <c r="A366">
        <v>50</v>
      </c>
      <c r="B366">
        <v>11</v>
      </c>
      <c r="C366">
        <v>10</v>
      </c>
      <c r="D366" t="s">
        <v>125</v>
      </c>
      <c r="E366">
        <v>7</v>
      </c>
    </row>
    <row r="367" spans="1:5" x14ac:dyDescent="0.2">
      <c r="A367">
        <v>70</v>
      </c>
      <c r="B367">
        <v>70</v>
      </c>
      <c r="C367">
        <v>80</v>
      </c>
      <c r="D367" t="s">
        <v>125</v>
      </c>
      <c r="E367">
        <v>7</v>
      </c>
    </row>
    <row r="368" spans="1:5" x14ac:dyDescent="0.2">
      <c r="A368">
        <v>80</v>
      </c>
      <c r="B368">
        <v>72</v>
      </c>
      <c r="C368">
        <v>72</v>
      </c>
      <c r="D368" t="s">
        <v>125</v>
      </c>
      <c r="E368">
        <v>7</v>
      </c>
    </row>
    <row r="369" spans="1:5" x14ac:dyDescent="0.2">
      <c r="A369">
        <v>85</v>
      </c>
      <c r="B369">
        <v>10</v>
      </c>
      <c r="C369">
        <v>10</v>
      </c>
      <c r="D369" t="s">
        <v>125</v>
      </c>
      <c r="E369">
        <v>7</v>
      </c>
    </row>
    <row r="370" spans="1:5" x14ac:dyDescent="0.2">
      <c r="A370">
        <v>124</v>
      </c>
      <c r="B370">
        <v>61</v>
      </c>
      <c r="C370">
        <v>64</v>
      </c>
      <c r="D370" t="s">
        <v>125</v>
      </c>
      <c r="E370">
        <v>7</v>
      </c>
    </row>
    <row r="371" spans="1:5" x14ac:dyDescent="0.2">
      <c r="A371">
        <v>126</v>
      </c>
      <c r="B371">
        <v>20</v>
      </c>
      <c r="C371">
        <v>25</v>
      </c>
      <c r="D371" t="s">
        <v>125</v>
      </c>
      <c r="E371">
        <v>7</v>
      </c>
    </row>
    <row r="372" spans="1:5" x14ac:dyDescent="0.2">
      <c r="A372">
        <v>128</v>
      </c>
      <c r="B372">
        <v>20</v>
      </c>
      <c r="C372">
        <v>25</v>
      </c>
      <c r="D372" t="s">
        <v>125</v>
      </c>
      <c r="E372">
        <v>7</v>
      </c>
    </row>
    <row r="373" spans="1:5" x14ac:dyDescent="0.2">
      <c r="A373">
        <v>142</v>
      </c>
      <c r="B373">
        <v>30</v>
      </c>
      <c r="C373">
        <v>20</v>
      </c>
      <c r="D373" t="s">
        <v>125</v>
      </c>
      <c r="E373">
        <v>7</v>
      </c>
    </row>
    <row r="374" spans="1:5" x14ac:dyDescent="0.2">
      <c r="A374">
        <v>170</v>
      </c>
      <c r="B374">
        <v>60</v>
      </c>
      <c r="C374">
        <v>60</v>
      </c>
      <c r="D374" t="s">
        <v>125</v>
      </c>
      <c r="E374">
        <v>7</v>
      </c>
    </row>
    <row r="375" spans="1:5" x14ac:dyDescent="0.2">
      <c r="A375">
        <v>172</v>
      </c>
      <c r="B375">
        <v>64</v>
      </c>
      <c r="C375">
        <v>64</v>
      </c>
      <c r="D375" t="s">
        <v>125</v>
      </c>
      <c r="E375">
        <v>7</v>
      </c>
    </row>
    <row r="376" spans="1:5" x14ac:dyDescent="0.2">
      <c r="A376">
        <v>181</v>
      </c>
      <c r="B376">
        <v>100</v>
      </c>
      <c r="C376">
        <v>100</v>
      </c>
      <c r="D376" t="s">
        <v>125</v>
      </c>
      <c r="E376">
        <v>7</v>
      </c>
    </row>
    <row r="377" spans="1:5" x14ac:dyDescent="0.2">
      <c r="A377">
        <v>234</v>
      </c>
      <c r="B377">
        <v>100</v>
      </c>
      <c r="C377">
        <v>100</v>
      </c>
      <c r="D377" t="s">
        <v>125</v>
      </c>
      <c r="E377">
        <v>7</v>
      </c>
    </row>
    <row r="378" spans="1:5" x14ac:dyDescent="0.2">
      <c r="A378">
        <v>253</v>
      </c>
      <c r="B378">
        <v>0</v>
      </c>
      <c r="C378">
        <v>20</v>
      </c>
      <c r="D378" t="s">
        <v>125</v>
      </c>
      <c r="E378">
        <v>7</v>
      </c>
    </row>
    <row r="379" spans="1:5" x14ac:dyDescent="0.2">
      <c r="A379">
        <v>280</v>
      </c>
      <c r="B379">
        <v>20</v>
      </c>
      <c r="C379">
        <v>30</v>
      </c>
      <c r="D379" t="s">
        <v>125</v>
      </c>
      <c r="E379">
        <v>7</v>
      </c>
    </row>
    <row r="380" spans="1:5" x14ac:dyDescent="0.2">
      <c r="A380">
        <v>288</v>
      </c>
      <c r="B380">
        <v>40</v>
      </c>
      <c r="C380">
        <v>60</v>
      </c>
      <c r="D380" t="s">
        <v>125</v>
      </c>
      <c r="E380">
        <v>7</v>
      </c>
    </row>
    <row r="381" spans="1:5" x14ac:dyDescent="0.2">
      <c r="A381">
        <v>299</v>
      </c>
      <c r="B381">
        <v>30</v>
      </c>
      <c r="C381">
        <v>30</v>
      </c>
      <c r="D381" t="s">
        <v>125</v>
      </c>
      <c r="E381">
        <v>7</v>
      </c>
    </row>
    <row r="382" spans="1:5" x14ac:dyDescent="0.2">
      <c r="A382">
        <v>306</v>
      </c>
      <c r="B382">
        <v>40</v>
      </c>
      <c r="C382">
        <v>19</v>
      </c>
      <c r="D382" t="s">
        <v>125</v>
      </c>
      <c r="E382">
        <v>7</v>
      </c>
    </row>
    <row r="383" spans="1:5" x14ac:dyDescent="0.2">
      <c r="A383">
        <v>307</v>
      </c>
      <c r="B383">
        <v>71</v>
      </c>
      <c r="C383">
        <v>71</v>
      </c>
      <c r="D383" t="s">
        <v>125</v>
      </c>
      <c r="E383">
        <v>7</v>
      </c>
    </row>
    <row r="384" spans="1:5" x14ac:dyDescent="0.2">
      <c r="A384">
        <v>325</v>
      </c>
      <c r="B384">
        <v>6</v>
      </c>
      <c r="C384">
        <v>5</v>
      </c>
      <c r="D384" t="s">
        <v>125</v>
      </c>
      <c r="E384">
        <v>7</v>
      </c>
    </row>
    <row r="385" spans="1:5" x14ac:dyDescent="0.2">
      <c r="A385">
        <v>326</v>
      </c>
      <c r="B385">
        <v>25</v>
      </c>
      <c r="C385">
        <v>20</v>
      </c>
      <c r="D385" t="s">
        <v>125</v>
      </c>
      <c r="E385">
        <v>7</v>
      </c>
    </row>
    <row r="386" spans="1:5" x14ac:dyDescent="0.2">
      <c r="A386">
        <v>348</v>
      </c>
      <c r="B386">
        <v>14</v>
      </c>
      <c r="C386">
        <v>7</v>
      </c>
      <c r="D386" t="s">
        <v>125</v>
      </c>
      <c r="E386">
        <v>7</v>
      </c>
    </row>
    <row r="387" spans="1:5" x14ac:dyDescent="0.2">
      <c r="A387">
        <v>364</v>
      </c>
      <c r="B387">
        <v>85</v>
      </c>
      <c r="C387">
        <v>90</v>
      </c>
      <c r="D387" t="s">
        <v>125</v>
      </c>
      <c r="E387">
        <v>7</v>
      </c>
    </row>
    <row r="388" spans="1:5" x14ac:dyDescent="0.2">
      <c r="A388">
        <v>381</v>
      </c>
      <c r="B388">
        <v>25</v>
      </c>
      <c r="C388">
        <v>24</v>
      </c>
      <c r="D388" t="s">
        <v>125</v>
      </c>
      <c r="E388">
        <v>7</v>
      </c>
    </row>
    <row r="389" spans="1:5" x14ac:dyDescent="0.2">
      <c r="A389">
        <v>397</v>
      </c>
      <c r="B389">
        <v>43</v>
      </c>
      <c r="C389">
        <v>42</v>
      </c>
      <c r="D389" t="s">
        <v>125</v>
      </c>
      <c r="E389">
        <v>7</v>
      </c>
    </row>
    <row r="390" spans="1:5" x14ac:dyDescent="0.2">
      <c r="A390">
        <v>20</v>
      </c>
      <c r="B390">
        <v>10</v>
      </c>
      <c r="C390">
        <v>10</v>
      </c>
      <c r="D390" t="s">
        <v>125</v>
      </c>
      <c r="E390">
        <v>8</v>
      </c>
    </row>
    <row r="391" spans="1:5" x14ac:dyDescent="0.2">
      <c r="A391">
        <v>68</v>
      </c>
      <c r="B391">
        <v>70</v>
      </c>
      <c r="C391">
        <v>65</v>
      </c>
      <c r="D391" t="s">
        <v>125</v>
      </c>
      <c r="E391">
        <v>8</v>
      </c>
    </row>
    <row r="392" spans="1:5" x14ac:dyDescent="0.2">
      <c r="A392">
        <v>72</v>
      </c>
      <c r="B392">
        <v>0</v>
      </c>
      <c r="C392">
        <v>0</v>
      </c>
      <c r="D392" t="s">
        <v>125</v>
      </c>
      <c r="E392">
        <v>8</v>
      </c>
    </row>
    <row r="393" spans="1:5" x14ac:dyDescent="0.2">
      <c r="A393">
        <v>131</v>
      </c>
      <c r="B393">
        <v>15</v>
      </c>
      <c r="C393">
        <v>0</v>
      </c>
      <c r="D393" t="s">
        <v>125</v>
      </c>
      <c r="E393">
        <v>8</v>
      </c>
    </row>
    <row r="394" spans="1:5" x14ac:dyDescent="0.2">
      <c r="A394">
        <v>198</v>
      </c>
      <c r="B394">
        <v>5</v>
      </c>
      <c r="C394">
        <v>5</v>
      </c>
      <c r="D394" t="s">
        <v>125</v>
      </c>
      <c r="E394">
        <v>8</v>
      </c>
    </row>
    <row r="395" spans="1:5" x14ac:dyDescent="0.2">
      <c r="A395">
        <v>208</v>
      </c>
      <c r="B395">
        <v>50</v>
      </c>
      <c r="C395">
        <v>60</v>
      </c>
      <c r="D395" t="s">
        <v>125</v>
      </c>
      <c r="E395">
        <v>8</v>
      </c>
    </row>
    <row r="396" spans="1:5" x14ac:dyDescent="0.2">
      <c r="A396">
        <v>236</v>
      </c>
      <c r="B396">
        <v>7</v>
      </c>
      <c r="C396">
        <v>5</v>
      </c>
      <c r="D396" t="s">
        <v>125</v>
      </c>
      <c r="E396">
        <v>8</v>
      </c>
    </row>
    <row r="397" spans="1:5" x14ac:dyDescent="0.2">
      <c r="A397">
        <v>278</v>
      </c>
      <c r="B397">
        <v>17</v>
      </c>
      <c r="C397">
        <v>6</v>
      </c>
      <c r="D397" t="s">
        <v>125</v>
      </c>
      <c r="E397">
        <v>8</v>
      </c>
    </row>
    <row r="398" spans="1:5" x14ac:dyDescent="0.2">
      <c r="A398">
        <v>309</v>
      </c>
      <c r="B398">
        <v>30</v>
      </c>
      <c r="C398">
        <v>35</v>
      </c>
      <c r="D398" t="s">
        <v>125</v>
      </c>
      <c r="E398">
        <v>8</v>
      </c>
    </row>
    <row r="399" spans="1:5" x14ac:dyDescent="0.2">
      <c r="A399">
        <v>368</v>
      </c>
      <c r="B399">
        <v>5</v>
      </c>
      <c r="C399">
        <v>1</v>
      </c>
      <c r="D399" t="s">
        <v>125</v>
      </c>
      <c r="E399">
        <v>8</v>
      </c>
    </row>
  </sheetData>
  <sortState xmlns:xlrd2="http://schemas.microsoft.com/office/spreadsheetml/2017/richdata2" ref="A2:E401">
    <sortCondition ref="D2:D401"/>
    <sortCondition ref="E2:E40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1"/>
  <sheetViews>
    <sheetView workbookViewId="0">
      <selection activeCell="B1" sqref="B1:C1048576"/>
    </sheetView>
  </sheetViews>
  <sheetFormatPr baseColWidth="10" defaultRowHeight="16" x14ac:dyDescent="0.2"/>
  <cols>
    <col min="17" max="17" width="20.83203125" bestFit="1" customWidth="1"/>
  </cols>
  <sheetData>
    <row r="1" spans="1:19" x14ac:dyDescent="0.2">
      <c r="A1" t="s">
        <v>1918</v>
      </c>
      <c r="B1" t="s">
        <v>1929</v>
      </c>
      <c r="C1" t="s">
        <v>1930</v>
      </c>
      <c r="D1" t="s">
        <v>1928</v>
      </c>
      <c r="E1" t="s">
        <v>1917</v>
      </c>
      <c r="P1" t="s">
        <v>1918</v>
      </c>
      <c r="Q1" t="s">
        <v>1917</v>
      </c>
      <c r="R1" t="s">
        <v>1930</v>
      </c>
      <c r="S1" t="s">
        <v>1928</v>
      </c>
    </row>
    <row r="2" spans="1:19" x14ac:dyDescent="0.2">
      <c r="A2">
        <v>4</v>
      </c>
      <c r="B2">
        <v>7</v>
      </c>
      <c r="C2">
        <v>3</v>
      </c>
      <c r="D2">
        <v>0</v>
      </c>
      <c r="E2" t="s">
        <v>125</v>
      </c>
      <c r="P2">
        <v>4</v>
      </c>
      <c r="Q2" t="s">
        <v>125</v>
      </c>
      <c r="R2">
        <v>3</v>
      </c>
      <c r="S2">
        <v>0</v>
      </c>
    </row>
    <row r="3" spans="1:19" x14ac:dyDescent="0.2">
      <c r="A3">
        <v>6</v>
      </c>
      <c r="B3">
        <v>60</v>
      </c>
      <c r="C3">
        <v>5</v>
      </c>
      <c r="D3">
        <v>61</v>
      </c>
      <c r="E3" t="s">
        <v>125</v>
      </c>
      <c r="P3">
        <v>6</v>
      </c>
      <c r="Q3" t="s">
        <v>125</v>
      </c>
      <c r="R3">
        <v>5</v>
      </c>
      <c r="S3">
        <v>61</v>
      </c>
    </row>
    <row r="4" spans="1:19" x14ac:dyDescent="0.2">
      <c r="A4">
        <v>12</v>
      </c>
      <c r="B4">
        <v>5</v>
      </c>
      <c r="C4">
        <v>4</v>
      </c>
      <c r="D4">
        <v>10</v>
      </c>
      <c r="E4" t="s">
        <v>125</v>
      </c>
      <c r="P4">
        <v>12</v>
      </c>
      <c r="Q4" t="s">
        <v>125</v>
      </c>
      <c r="R4">
        <v>4</v>
      </c>
      <c r="S4">
        <v>10</v>
      </c>
    </row>
    <row r="5" spans="1:19" x14ac:dyDescent="0.2">
      <c r="A5">
        <v>13</v>
      </c>
      <c r="B5">
        <v>22</v>
      </c>
      <c r="C5">
        <v>7</v>
      </c>
      <c r="D5">
        <v>16</v>
      </c>
      <c r="E5" t="s">
        <v>125</v>
      </c>
      <c r="P5">
        <v>13</v>
      </c>
      <c r="Q5" t="s">
        <v>125</v>
      </c>
      <c r="R5">
        <v>7</v>
      </c>
      <c r="S5">
        <v>16</v>
      </c>
    </row>
    <row r="6" spans="1:19" x14ac:dyDescent="0.2">
      <c r="A6">
        <v>20</v>
      </c>
      <c r="B6">
        <v>10</v>
      </c>
      <c r="C6">
        <v>8</v>
      </c>
      <c r="D6">
        <v>10</v>
      </c>
      <c r="E6" t="s">
        <v>125</v>
      </c>
      <c r="P6">
        <v>20</v>
      </c>
      <c r="Q6" t="s">
        <v>125</v>
      </c>
      <c r="R6">
        <v>8</v>
      </c>
      <c r="S6">
        <v>10</v>
      </c>
    </row>
    <row r="7" spans="1:19" x14ac:dyDescent="0.2">
      <c r="A7">
        <v>21</v>
      </c>
      <c r="B7">
        <v>60</v>
      </c>
      <c r="C7">
        <v>6</v>
      </c>
      <c r="D7">
        <v>75</v>
      </c>
      <c r="E7" t="s">
        <v>125</v>
      </c>
      <c r="P7">
        <v>21</v>
      </c>
      <c r="Q7" t="s">
        <v>125</v>
      </c>
      <c r="R7">
        <v>6</v>
      </c>
      <c r="S7">
        <v>75</v>
      </c>
    </row>
    <row r="8" spans="1:19" x14ac:dyDescent="0.2">
      <c r="A8">
        <v>26</v>
      </c>
      <c r="B8">
        <v>0</v>
      </c>
      <c r="C8">
        <v>2</v>
      </c>
      <c r="D8">
        <v>0</v>
      </c>
      <c r="E8" t="s">
        <v>125</v>
      </c>
      <c r="P8">
        <v>26</v>
      </c>
      <c r="Q8" t="s">
        <v>125</v>
      </c>
      <c r="R8">
        <v>2</v>
      </c>
      <c r="S8">
        <v>0</v>
      </c>
    </row>
    <row r="9" spans="1:19" x14ac:dyDescent="0.2">
      <c r="A9">
        <v>30</v>
      </c>
      <c r="B9">
        <v>61</v>
      </c>
      <c r="C9">
        <v>5</v>
      </c>
      <c r="D9">
        <v>20</v>
      </c>
      <c r="E9" t="s">
        <v>125</v>
      </c>
      <c r="P9">
        <v>30</v>
      </c>
      <c r="Q9" t="s">
        <v>125</v>
      </c>
      <c r="R9">
        <v>5</v>
      </c>
      <c r="S9">
        <v>20</v>
      </c>
    </row>
    <row r="10" spans="1:19" x14ac:dyDescent="0.2">
      <c r="A10">
        <v>36</v>
      </c>
      <c r="B10">
        <v>24</v>
      </c>
      <c r="C10">
        <v>6</v>
      </c>
      <c r="D10">
        <v>15</v>
      </c>
      <c r="E10" t="s">
        <v>125</v>
      </c>
      <c r="P10">
        <v>36</v>
      </c>
      <c r="Q10" t="s">
        <v>125</v>
      </c>
      <c r="R10">
        <v>6</v>
      </c>
      <c r="S10">
        <v>15</v>
      </c>
    </row>
    <row r="11" spans="1:19" x14ac:dyDescent="0.2">
      <c r="A11">
        <v>39</v>
      </c>
      <c r="B11">
        <v>22</v>
      </c>
      <c r="C11">
        <v>6</v>
      </c>
      <c r="D11">
        <v>3</v>
      </c>
      <c r="E11" t="s">
        <v>125</v>
      </c>
      <c r="P11">
        <v>39</v>
      </c>
      <c r="Q11" t="s">
        <v>125</v>
      </c>
      <c r="R11">
        <v>6</v>
      </c>
      <c r="S11">
        <v>3</v>
      </c>
    </row>
    <row r="12" spans="1:19" x14ac:dyDescent="0.2">
      <c r="A12">
        <v>50</v>
      </c>
      <c r="B12">
        <v>11</v>
      </c>
      <c r="C12">
        <v>7</v>
      </c>
      <c r="D12">
        <v>10</v>
      </c>
      <c r="E12" t="s">
        <v>125</v>
      </c>
      <c r="P12">
        <v>50</v>
      </c>
      <c r="Q12" t="s">
        <v>125</v>
      </c>
      <c r="R12">
        <v>7</v>
      </c>
      <c r="S12">
        <v>10</v>
      </c>
    </row>
    <row r="13" spans="1:19" x14ac:dyDescent="0.2">
      <c r="A13">
        <v>59</v>
      </c>
      <c r="B13">
        <v>37</v>
      </c>
      <c r="C13">
        <v>4</v>
      </c>
      <c r="D13">
        <v>57</v>
      </c>
      <c r="E13" t="s">
        <v>125</v>
      </c>
      <c r="P13">
        <v>59</v>
      </c>
      <c r="Q13" t="s">
        <v>125</v>
      </c>
      <c r="R13">
        <v>4</v>
      </c>
      <c r="S13">
        <v>57</v>
      </c>
    </row>
    <row r="14" spans="1:19" x14ac:dyDescent="0.2">
      <c r="A14">
        <v>66</v>
      </c>
      <c r="B14">
        <v>42</v>
      </c>
      <c r="C14">
        <v>3</v>
      </c>
      <c r="D14">
        <v>31</v>
      </c>
      <c r="E14" t="s">
        <v>125</v>
      </c>
      <c r="P14">
        <v>66</v>
      </c>
      <c r="Q14" t="s">
        <v>125</v>
      </c>
      <c r="R14">
        <v>3</v>
      </c>
      <c r="S14">
        <v>31</v>
      </c>
    </row>
    <row r="15" spans="1:19" x14ac:dyDescent="0.2">
      <c r="A15">
        <v>68</v>
      </c>
      <c r="B15">
        <v>70</v>
      </c>
      <c r="C15">
        <v>8</v>
      </c>
      <c r="D15">
        <v>65</v>
      </c>
      <c r="E15" t="s">
        <v>125</v>
      </c>
      <c r="P15">
        <v>68</v>
      </c>
      <c r="Q15" t="s">
        <v>125</v>
      </c>
      <c r="R15">
        <v>8</v>
      </c>
      <c r="S15">
        <v>65</v>
      </c>
    </row>
    <row r="16" spans="1:19" x14ac:dyDescent="0.2">
      <c r="A16">
        <v>70</v>
      </c>
      <c r="B16">
        <v>70</v>
      </c>
      <c r="C16">
        <v>7</v>
      </c>
      <c r="D16">
        <v>80</v>
      </c>
      <c r="E16" t="s">
        <v>125</v>
      </c>
      <c r="P16">
        <v>70</v>
      </c>
      <c r="Q16" t="s">
        <v>125</v>
      </c>
      <c r="R16">
        <v>7</v>
      </c>
      <c r="S16">
        <v>80</v>
      </c>
    </row>
    <row r="17" spans="1:19" x14ac:dyDescent="0.2">
      <c r="A17">
        <v>72</v>
      </c>
      <c r="B17">
        <v>0</v>
      </c>
      <c r="C17">
        <v>8</v>
      </c>
      <c r="D17">
        <v>0</v>
      </c>
      <c r="E17" t="s">
        <v>125</v>
      </c>
      <c r="P17">
        <v>72</v>
      </c>
      <c r="Q17" t="s">
        <v>125</v>
      </c>
      <c r="R17">
        <v>8</v>
      </c>
      <c r="S17">
        <v>0</v>
      </c>
    </row>
    <row r="18" spans="1:19" x14ac:dyDescent="0.2">
      <c r="A18">
        <v>74</v>
      </c>
      <c r="B18">
        <v>23</v>
      </c>
      <c r="C18">
        <v>6</v>
      </c>
      <c r="D18">
        <v>36</v>
      </c>
      <c r="E18" t="s">
        <v>125</v>
      </c>
      <c r="P18">
        <v>74</v>
      </c>
      <c r="Q18" t="s">
        <v>125</v>
      </c>
      <c r="R18">
        <v>6</v>
      </c>
      <c r="S18">
        <v>36</v>
      </c>
    </row>
    <row r="19" spans="1:19" x14ac:dyDescent="0.2">
      <c r="A19">
        <v>76</v>
      </c>
      <c r="B19">
        <v>19</v>
      </c>
      <c r="C19">
        <v>6</v>
      </c>
      <c r="D19">
        <v>20</v>
      </c>
      <c r="E19" t="s">
        <v>125</v>
      </c>
      <c r="P19">
        <v>76</v>
      </c>
      <c r="Q19" t="s">
        <v>125</v>
      </c>
      <c r="R19">
        <v>6</v>
      </c>
      <c r="S19">
        <v>20</v>
      </c>
    </row>
    <row r="20" spans="1:19" x14ac:dyDescent="0.2">
      <c r="A20">
        <v>80</v>
      </c>
      <c r="B20">
        <v>72</v>
      </c>
      <c r="C20">
        <v>7</v>
      </c>
      <c r="D20">
        <v>72</v>
      </c>
      <c r="E20" t="s">
        <v>125</v>
      </c>
      <c r="P20">
        <v>80</v>
      </c>
      <c r="Q20" t="s">
        <v>125</v>
      </c>
      <c r="R20">
        <v>7</v>
      </c>
      <c r="S20">
        <v>72</v>
      </c>
    </row>
    <row r="21" spans="1:19" x14ac:dyDescent="0.2">
      <c r="A21">
        <v>82</v>
      </c>
      <c r="B21">
        <v>70</v>
      </c>
      <c r="C21">
        <v>0</v>
      </c>
      <c r="D21">
        <v>82</v>
      </c>
      <c r="E21" t="s">
        <v>125</v>
      </c>
      <c r="P21">
        <v>82</v>
      </c>
      <c r="Q21" t="s">
        <v>125</v>
      </c>
      <c r="R21">
        <v>0</v>
      </c>
      <c r="S21">
        <v>82</v>
      </c>
    </row>
    <row r="22" spans="1:19" x14ac:dyDescent="0.2">
      <c r="A22">
        <v>85</v>
      </c>
      <c r="B22">
        <v>10</v>
      </c>
      <c r="C22">
        <v>7</v>
      </c>
      <c r="D22">
        <v>10</v>
      </c>
      <c r="E22" t="s">
        <v>125</v>
      </c>
      <c r="P22">
        <v>85</v>
      </c>
      <c r="Q22" t="s">
        <v>125</v>
      </c>
      <c r="R22">
        <v>7</v>
      </c>
      <c r="S22">
        <v>10</v>
      </c>
    </row>
    <row r="23" spans="1:19" x14ac:dyDescent="0.2">
      <c r="A23">
        <v>86</v>
      </c>
      <c r="B23">
        <v>64</v>
      </c>
      <c r="C23">
        <v>2</v>
      </c>
      <c r="D23">
        <v>75</v>
      </c>
      <c r="E23" t="s">
        <v>125</v>
      </c>
      <c r="P23">
        <v>86</v>
      </c>
      <c r="Q23" t="s">
        <v>125</v>
      </c>
      <c r="R23">
        <v>2</v>
      </c>
      <c r="S23">
        <v>75</v>
      </c>
    </row>
    <row r="24" spans="1:19" x14ac:dyDescent="0.2">
      <c r="A24">
        <v>92</v>
      </c>
      <c r="B24">
        <v>10</v>
      </c>
      <c r="C24">
        <v>5</v>
      </c>
      <c r="D24">
        <v>11</v>
      </c>
      <c r="E24" t="s">
        <v>125</v>
      </c>
      <c r="P24">
        <v>92</v>
      </c>
      <c r="Q24" t="s">
        <v>125</v>
      </c>
      <c r="R24">
        <v>5</v>
      </c>
      <c r="S24">
        <v>11</v>
      </c>
    </row>
    <row r="25" spans="1:19" x14ac:dyDescent="0.2">
      <c r="A25">
        <v>101</v>
      </c>
      <c r="B25">
        <v>70</v>
      </c>
      <c r="C25">
        <v>5</v>
      </c>
      <c r="D25">
        <v>70</v>
      </c>
      <c r="E25" t="s">
        <v>125</v>
      </c>
      <c r="P25">
        <v>101</v>
      </c>
      <c r="Q25" t="s">
        <v>125</v>
      </c>
      <c r="R25">
        <v>5</v>
      </c>
      <c r="S25">
        <v>70</v>
      </c>
    </row>
    <row r="26" spans="1:19" x14ac:dyDescent="0.2">
      <c r="A26">
        <v>103</v>
      </c>
      <c r="B26">
        <v>75</v>
      </c>
      <c r="C26">
        <v>4</v>
      </c>
      <c r="D26">
        <v>65</v>
      </c>
      <c r="E26" t="s">
        <v>125</v>
      </c>
      <c r="P26">
        <v>103</v>
      </c>
      <c r="Q26" t="s">
        <v>125</v>
      </c>
      <c r="R26">
        <v>4</v>
      </c>
      <c r="S26">
        <v>65</v>
      </c>
    </row>
    <row r="27" spans="1:19" x14ac:dyDescent="0.2">
      <c r="A27">
        <v>109</v>
      </c>
      <c r="B27">
        <v>100</v>
      </c>
      <c r="C27">
        <v>4</v>
      </c>
      <c r="D27">
        <v>100</v>
      </c>
      <c r="E27" t="s">
        <v>125</v>
      </c>
      <c r="P27">
        <v>109</v>
      </c>
      <c r="Q27" t="s">
        <v>125</v>
      </c>
      <c r="R27">
        <v>4</v>
      </c>
      <c r="S27">
        <v>100</v>
      </c>
    </row>
    <row r="28" spans="1:19" x14ac:dyDescent="0.2">
      <c r="A28">
        <v>111</v>
      </c>
      <c r="B28">
        <v>60</v>
      </c>
      <c r="C28">
        <v>6</v>
      </c>
      <c r="D28">
        <v>66</v>
      </c>
      <c r="E28" t="s">
        <v>125</v>
      </c>
      <c r="P28">
        <v>111</v>
      </c>
      <c r="Q28" t="s">
        <v>125</v>
      </c>
      <c r="R28">
        <v>6</v>
      </c>
      <c r="S28">
        <v>66</v>
      </c>
    </row>
    <row r="29" spans="1:19" x14ac:dyDescent="0.2">
      <c r="A29">
        <v>118</v>
      </c>
      <c r="B29">
        <v>5</v>
      </c>
      <c r="C29">
        <v>6</v>
      </c>
      <c r="D29">
        <v>5</v>
      </c>
      <c r="E29" t="s">
        <v>125</v>
      </c>
      <c r="P29">
        <v>118</v>
      </c>
      <c r="Q29" t="s">
        <v>125</v>
      </c>
      <c r="R29">
        <v>6</v>
      </c>
      <c r="S29">
        <v>5</v>
      </c>
    </row>
    <row r="30" spans="1:19" x14ac:dyDescent="0.2">
      <c r="A30">
        <v>121</v>
      </c>
      <c r="B30">
        <v>14</v>
      </c>
      <c r="C30">
        <v>5</v>
      </c>
      <c r="D30">
        <v>15</v>
      </c>
      <c r="E30" t="s">
        <v>125</v>
      </c>
      <c r="P30">
        <v>121</v>
      </c>
      <c r="Q30" t="s">
        <v>125</v>
      </c>
      <c r="R30">
        <v>5</v>
      </c>
      <c r="S30">
        <v>15</v>
      </c>
    </row>
    <row r="31" spans="1:19" x14ac:dyDescent="0.2">
      <c r="A31">
        <v>124</v>
      </c>
      <c r="B31">
        <v>61</v>
      </c>
      <c r="C31">
        <v>7</v>
      </c>
      <c r="D31">
        <v>64</v>
      </c>
      <c r="E31" t="s">
        <v>125</v>
      </c>
      <c r="P31">
        <v>124</v>
      </c>
      <c r="Q31" t="s">
        <v>125</v>
      </c>
      <c r="R31">
        <v>7</v>
      </c>
      <c r="S31">
        <v>64</v>
      </c>
    </row>
    <row r="32" spans="1:19" x14ac:dyDescent="0.2">
      <c r="A32">
        <v>125</v>
      </c>
      <c r="B32">
        <v>73</v>
      </c>
      <c r="C32">
        <v>6</v>
      </c>
      <c r="D32">
        <v>77</v>
      </c>
      <c r="E32" t="s">
        <v>125</v>
      </c>
      <c r="P32">
        <v>125</v>
      </c>
      <c r="Q32" t="s">
        <v>125</v>
      </c>
      <c r="R32">
        <v>6</v>
      </c>
      <c r="S32">
        <v>77</v>
      </c>
    </row>
    <row r="33" spans="1:19" x14ac:dyDescent="0.2">
      <c r="A33">
        <v>126</v>
      </c>
      <c r="B33">
        <v>20</v>
      </c>
      <c r="C33">
        <v>7</v>
      </c>
      <c r="D33">
        <v>25</v>
      </c>
      <c r="E33" t="s">
        <v>125</v>
      </c>
      <c r="P33">
        <v>126</v>
      </c>
      <c r="Q33" t="s">
        <v>125</v>
      </c>
      <c r="R33">
        <v>7</v>
      </c>
      <c r="S33">
        <v>25</v>
      </c>
    </row>
    <row r="34" spans="1:19" x14ac:dyDescent="0.2">
      <c r="A34">
        <v>127</v>
      </c>
      <c r="B34">
        <v>80</v>
      </c>
      <c r="C34">
        <v>6</v>
      </c>
      <c r="D34">
        <v>80</v>
      </c>
      <c r="E34" t="s">
        <v>125</v>
      </c>
      <c r="P34">
        <v>127</v>
      </c>
      <c r="Q34" t="s">
        <v>125</v>
      </c>
      <c r="R34">
        <v>6</v>
      </c>
      <c r="S34">
        <v>80</v>
      </c>
    </row>
    <row r="35" spans="1:19" x14ac:dyDescent="0.2">
      <c r="A35">
        <v>128</v>
      </c>
      <c r="B35">
        <v>20</v>
      </c>
      <c r="C35">
        <v>7</v>
      </c>
      <c r="D35">
        <v>25</v>
      </c>
      <c r="E35" t="s">
        <v>125</v>
      </c>
      <c r="P35">
        <v>128</v>
      </c>
      <c r="Q35" t="s">
        <v>125</v>
      </c>
      <c r="R35">
        <v>7</v>
      </c>
      <c r="S35">
        <v>25</v>
      </c>
    </row>
    <row r="36" spans="1:19" x14ac:dyDescent="0.2">
      <c r="A36">
        <v>131</v>
      </c>
      <c r="B36">
        <v>15</v>
      </c>
      <c r="C36">
        <v>8</v>
      </c>
      <c r="D36">
        <v>0</v>
      </c>
      <c r="E36" t="s">
        <v>125</v>
      </c>
      <c r="P36">
        <v>131</v>
      </c>
      <c r="Q36" t="s">
        <v>125</v>
      </c>
      <c r="R36">
        <v>8</v>
      </c>
      <c r="S36">
        <v>0</v>
      </c>
    </row>
    <row r="37" spans="1:19" x14ac:dyDescent="0.2">
      <c r="A37">
        <v>134</v>
      </c>
      <c r="B37">
        <v>25</v>
      </c>
      <c r="C37">
        <v>4</v>
      </c>
      <c r="D37">
        <v>33</v>
      </c>
      <c r="E37" t="s">
        <v>125</v>
      </c>
      <c r="P37">
        <v>134</v>
      </c>
      <c r="Q37" t="s">
        <v>125</v>
      </c>
      <c r="R37">
        <v>4</v>
      </c>
      <c r="S37">
        <v>33</v>
      </c>
    </row>
    <row r="38" spans="1:19" x14ac:dyDescent="0.2">
      <c r="A38">
        <v>139</v>
      </c>
      <c r="B38">
        <v>25</v>
      </c>
      <c r="C38">
        <v>5</v>
      </c>
      <c r="D38">
        <v>30</v>
      </c>
      <c r="E38" t="s">
        <v>125</v>
      </c>
      <c r="P38">
        <v>139</v>
      </c>
      <c r="Q38" t="s">
        <v>125</v>
      </c>
      <c r="R38">
        <v>5</v>
      </c>
      <c r="S38">
        <v>30</v>
      </c>
    </row>
    <row r="39" spans="1:19" x14ac:dyDescent="0.2">
      <c r="A39">
        <v>142</v>
      </c>
      <c r="B39">
        <v>30</v>
      </c>
      <c r="C39">
        <v>7</v>
      </c>
      <c r="D39">
        <v>20</v>
      </c>
      <c r="E39" t="s">
        <v>125</v>
      </c>
      <c r="P39">
        <v>142</v>
      </c>
      <c r="Q39" t="s">
        <v>125</v>
      </c>
      <c r="R39">
        <v>7</v>
      </c>
      <c r="S39">
        <v>20</v>
      </c>
    </row>
    <row r="40" spans="1:19" x14ac:dyDescent="0.2">
      <c r="A40">
        <v>147</v>
      </c>
      <c r="B40">
        <v>20</v>
      </c>
      <c r="C40">
        <v>6</v>
      </c>
      <c r="D40">
        <v>25</v>
      </c>
      <c r="E40" t="s">
        <v>125</v>
      </c>
      <c r="P40">
        <v>147</v>
      </c>
      <c r="Q40" t="s">
        <v>125</v>
      </c>
      <c r="R40">
        <v>6</v>
      </c>
      <c r="S40">
        <v>25</v>
      </c>
    </row>
    <row r="41" spans="1:19" x14ac:dyDescent="0.2">
      <c r="A41">
        <v>153</v>
      </c>
      <c r="B41">
        <v>12</v>
      </c>
      <c r="C41">
        <v>5</v>
      </c>
      <c r="D41">
        <v>11</v>
      </c>
      <c r="E41" t="s">
        <v>125</v>
      </c>
      <c r="P41">
        <v>153</v>
      </c>
      <c r="Q41" t="s">
        <v>125</v>
      </c>
      <c r="R41">
        <v>5</v>
      </c>
      <c r="S41">
        <v>11</v>
      </c>
    </row>
    <row r="42" spans="1:19" x14ac:dyDescent="0.2">
      <c r="A42">
        <v>170</v>
      </c>
      <c r="B42">
        <v>60</v>
      </c>
      <c r="C42">
        <v>7</v>
      </c>
      <c r="D42">
        <v>60</v>
      </c>
      <c r="E42" t="s">
        <v>125</v>
      </c>
      <c r="P42">
        <v>170</v>
      </c>
      <c r="Q42" t="s">
        <v>125</v>
      </c>
      <c r="R42">
        <v>7</v>
      </c>
      <c r="S42">
        <v>60</v>
      </c>
    </row>
    <row r="43" spans="1:19" x14ac:dyDescent="0.2">
      <c r="A43">
        <v>172</v>
      </c>
      <c r="B43">
        <v>64</v>
      </c>
      <c r="C43">
        <v>7</v>
      </c>
      <c r="D43">
        <v>64</v>
      </c>
      <c r="E43" t="s">
        <v>125</v>
      </c>
      <c r="P43">
        <v>172</v>
      </c>
      <c r="Q43" t="s">
        <v>125</v>
      </c>
      <c r="R43">
        <v>7</v>
      </c>
      <c r="S43">
        <v>64</v>
      </c>
    </row>
    <row r="44" spans="1:19" x14ac:dyDescent="0.2">
      <c r="A44">
        <v>177</v>
      </c>
      <c r="B44">
        <v>50</v>
      </c>
      <c r="C44">
        <v>3</v>
      </c>
      <c r="D44">
        <v>50</v>
      </c>
      <c r="E44" t="s">
        <v>125</v>
      </c>
      <c r="P44">
        <v>177</v>
      </c>
      <c r="Q44" t="s">
        <v>125</v>
      </c>
      <c r="R44">
        <v>3</v>
      </c>
      <c r="S44">
        <v>50</v>
      </c>
    </row>
    <row r="45" spans="1:19" x14ac:dyDescent="0.2">
      <c r="A45">
        <v>179</v>
      </c>
      <c r="B45">
        <v>91</v>
      </c>
      <c r="C45">
        <v>3</v>
      </c>
      <c r="D45">
        <v>86</v>
      </c>
      <c r="E45" t="s">
        <v>125</v>
      </c>
      <c r="P45">
        <v>179</v>
      </c>
      <c r="Q45" t="s">
        <v>125</v>
      </c>
      <c r="R45">
        <v>3</v>
      </c>
      <c r="S45">
        <v>86</v>
      </c>
    </row>
    <row r="46" spans="1:19" x14ac:dyDescent="0.2">
      <c r="A46">
        <v>180</v>
      </c>
      <c r="B46">
        <v>10</v>
      </c>
      <c r="C46">
        <v>4</v>
      </c>
      <c r="D46">
        <v>10</v>
      </c>
      <c r="E46" t="s">
        <v>125</v>
      </c>
      <c r="P46">
        <v>180</v>
      </c>
      <c r="Q46" t="s">
        <v>125</v>
      </c>
      <c r="R46">
        <v>4</v>
      </c>
      <c r="S46">
        <v>10</v>
      </c>
    </row>
    <row r="47" spans="1:19" x14ac:dyDescent="0.2">
      <c r="A47">
        <v>181</v>
      </c>
      <c r="B47">
        <v>100</v>
      </c>
      <c r="C47">
        <v>7</v>
      </c>
      <c r="D47">
        <v>100</v>
      </c>
      <c r="E47" t="s">
        <v>125</v>
      </c>
      <c r="P47">
        <v>181</v>
      </c>
      <c r="Q47" t="s">
        <v>125</v>
      </c>
      <c r="R47">
        <v>7</v>
      </c>
      <c r="S47">
        <v>100</v>
      </c>
    </row>
    <row r="48" spans="1:19" x14ac:dyDescent="0.2">
      <c r="A48">
        <v>183</v>
      </c>
      <c r="B48">
        <v>25</v>
      </c>
      <c r="C48">
        <v>0</v>
      </c>
      <c r="D48">
        <v>25</v>
      </c>
      <c r="E48" t="s">
        <v>125</v>
      </c>
      <c r="P48">
        <v>183</v>
      </c>
      <c r="Q48" t="s">
        <v>125</v>
      </c>
      <c r="R48">
        <v>0</v>
      </c>
      <c r="S48">
        <v>25</v>
      </c>
    </row>
    <row r="49" spans="1:19" x14ac:dyDescent="0.2">
      <c r="A49">
        <v>191</v>
      </c>
      <c r="B49">
        <v>70</v>
      </c>
      <c r="C49">
        <v>2</v>
      </c>
      <c r="D49">
        <v>62</v>
      </c>
      <c r="E49" t="s">
        <v>125</v>
      </c>
      <c r="P49">
        <v>191</v>
      </c>
      <c r="Q49" t="s">
        <v>125</v>
      </c>
      <c r="R49">
        <v>2</v>
      </c>
      <c r="S49">
        <v>62</v>
      </c>
    </row>
    <row r="50" spans="1:19" x14ac:dyDescent="0.2">
      <c r="A50">
        <v>193</v>
      </c>
      <c r="B50">
        <v>56</v>
      </c>
      <c r="C50">
        <v>2</v>
      </c>
      <c r="D50">
        <v>79</v>
      </c>
      <c r="E50" t="s">
        <v>125</v>
      </c>
      <c r="P50">
        <v>193</v>
      </c>
      <c r="Q50" t="s">
        <v>125</v>
      </c>
      <c r="R50">
        <v>2</v>
      </c>
      <c r="S50">
        <v>79</v>
      </c>
    </row>
    <row r="51" spans="1:19" x14ac:dyDescent="0.2">
      <c r="A51">
        <v>195</v>
      </c>
      <c r="B51">
        <v>42</v>
      </c>
      <c r="C51">
        <v>5</v>
      </c>
      <c r="D51">
        <v>35</v>
      </c>
      <c r="E51" t="s">
        <v>125</v>
      </c>
      <c r="P51">
        <v>195</v>
      </c>
      <c r="Q51" t="s">
        <v>125</v>
      </c>
      <c r="R51">
        <v>5</v>
      </c>
      <c r="S51">
        <v>35</v>
      </c>
    </row>
    <row r="52" spans="1:19" x14ac:dyDescent="0.2">
      <c r="A52">
        <v>197</v>
      </c>
      <c r="B52">
        <v>26</v>
      </c>
      <c r="C52">
        <v>4</v>
      </c>
      <c r="D52">
        <v>20</v>
      </c>
      <c r="E52" t="s">
        <v>125</v>
      </c>
      <c r="P52">
        <v>197</v>
      </c>
      <c r="Q52" t="s">
        <v>125</v>
      </c>
      <c r="R52">
        <v>4</v>
      </c>
      <c r="S52">
        <v>20</v>
      </c>
    </row>
    <row r="53" spans="1:19" x14ac:dyDescent="0.2">
      <c r="A53">
        <v>198</v>
      </c>
      <c r="B53">
        <v>5</v>
      </c>
      <c r="C53">
        <v>8</v>
      </c>
      <c r="D53">
        <v>5</v>
      </c>
      <c r="E53" t="s">
        <v>125</v>
      </c>
      <c r="P53">
        <v>198</v>
      </c>
      <c r="Q53" t="s">
        <v>125</v>
      </c>
      <c r="R53">
        <v>8</v>
      </c>
      <c r="S53">
        <v>5</v>
      </c>
    </row>
    <row r="54" spans="1:19" x14ac:dyDescent="0.2">
      <c r="A54">
        <v>201</v>
      </c>
      <c r="B54">
        <v>76</v>
      </c>
      <c r="C54">
        <v>5</v>
      </c>
      <c r="D54">
        <v>92</v>
      </c>
      <c r="E54" t="s">
        <v>125</v>
      </c>
      <c r="P54">
        <v>201</v>
      </c>
      <c r="Q54" t="s">
        <v>125</v>
      </c>
      <c r="R54">
        <v>5</v>
      </c>
      <c r="S54">
        <v>92</v>
      </c>
    </row>
    <row r="55" spans="1:19" x14ac:dyDescent="0.2">
      <c r="A55">
        <v>208</v>
      </c>
      <c r="B55">
        <v>50</v>
      </c>
      <c r="C55">
        <v>8</v>
      </c>
      <c r="D55">
        <v>60</v>
      </c>
      <c r="E55" t="s">
        <v>125</v>
      </c>
      <c r="P55">
        <v>208</v>
      </c>
      <c r="Q55" t="s">
        <v>125</v>
      </c>
      <c r="R55">
        <v>8</v>
      </c>
      <c r="S55">
        <v>60</v>
      </c>
    </row>
    <row r="56" spans="1:19" x14ac:dyDescent="0.2">
      <c r="A56">
        <v>210</v>
      </c>
      <c r="B56">
        <v>21</v>
      </c>
      <c r="C56">
        <v>4</v>
      </c>
      <c r="D56">
        <v>43</v>
      </c>
      <c r="E56" t="s">
        <v>125</v>
      </c>
      <c r="P56">
        <v>210</v>
      </c>
      <c r="Q56" t="s">
        <v>125</v>
      </c>
      <c r="R56">
        <v>4</v>
      </c>
      <c r="S56">
        <v>43</v>
      </c>
    </row>
    <row r="57" spans="1:19" x14ac:dyDescent="0.2">
      <c r="A57">
        <v>211</v>
      </c>
      <c r="B57">
        <v>70</v>
      </c>
      <c r="C57">
        <v>6</v>
      </c>
      <c r="D57">
        <v>91</v>
      </c>
      <c r="E57" t="s">
        <v>125</v>
      </c>
      <c r="P57">
        <v>211</v>
      </c>
      <c r="Q57" t="s">
        <v>125</v>
      </c>
      <c r="R57">
        <v>6</v>
      </c>
      <c r="S57">
        <v>91</v>
      </c>
    </row>
    <row r="58" spans="1:19" x14ac:dyDescent="0.2">
      <c r="A58">
        <v>215</v>
      </c>
      <c r="B58">
        <v>25</v>
      </c>
      <c r="C58">
        <v>3</v>
      </c>
      <c r="D58">
        <v>60</v>
      </c>
      <c r="E58" t="s">
        <v>125</v>
      </c>
      <c r="P58">
        <v>215</v>
      </c>
      <c r="Q58" t="s">
        <v>125</v>
      </c>
      <c r="R58">
        <v>3</v>
      </c>
      <c r="S58">
        <v>60</v>
      </c>
    </row>
    <row r="59" spans="1:19" x14ac:dyDescent="0.2">
      <c r="A59">
        <v>222</v>
      </c>
      <c r="B59">
        <v>55</v>
      </c>
      <c r="C59">
        <v>6</v>
      </c>
      <c r="D59">
        <v>55</v>
      </c>
      <c r="E59" t="s">
        <v>125</v>
      </c>
      <c r="P59">
        <v>222</v>
      </c>
      <c r="Q59" t="s">
        <v>125</v>
      </c>
      <c r="R59">
        <v>6</v>
      </c>
      <c r="S59">
        <v>55</v>
      </c>
    </row>
    <row r="60" spans="1:19" x14ac:dyDescent="0.2">
      <c r="A60">
        <v>223</v>
      </c>
      <c r="B60">
        <v>5</v>
      </c>
      <c r="C60">
        <v>6</v>
      </c>
      <c r="D60">
        <v>1</v>
      </c>
      <c r="E60" t="s">
        <v>125</v>
      </c>
      <c r="P60">
        <v>223</v>
      </c>
      <c r="Q60" t="s">
        <v>125</v>
      </c>
      <c r="R60">
        <v>6</v>
      </c>
      <c r="S60">
        <v>1</v>
      </c>
    </row>
    <row r="61" spans="1:19" x14ac:dyDescent="0.2">
      <c r="A61">
        <v>228</v>
      </c>
      <c r="B61">
        <v>20</v>
      </c>
      <c r="C61">
        <v>5</v>
      </c>
      <c r="D61">
        <v>15</v>
      </c>
      <c r="E61" t="s">
        <v>125</v>
      </c>
      <c r="P61">
        <v>228</v>
      </c>
      <c r="Q61" t="s">
        <v>125</v>
      </c>
      <c r="R61">
        <v>5</v>
      </c>
      <c r="S61">
        <v>15</v>
      </c>
    </row>
    <row r="62" spans="1:19" x14ac:dyDescent="0.2">
      <c r="A62">
        <v>234</v>
      </c>
      <c r="B62">
        <v>100</v>
      </c>
      <c r="C62">
        <v>7</v>
      </c>
      <c r="D62">
        <v>100</v>
      </c>
      <c r="E62" t="s">
        <v>125</v>
      </c>
      <c r="P62">
        <v>234</v>
      </c>
      <c r="Q62" t="s">
        <v>125</v>
      </c>
      <c r="R62">
        <v>7</v>
      </c>
      <c r="S62">
        <v>100</v>
      </c>
    </row>
    <row r="63" spans="1:19" x14ac:dyDescent="0.2">
      <c r="A63">
        <v>236</v>
      </c>
      <c r="B63">
        <v>7</v>
      </c>
      <c r="C63">
        <v>8</v>
      </c>
      <c r="D63">
        <v>5</v>
      </c>
      <c r="E63" t="s">
        <v>125</v>
      </c>
      <c r="P63">
        <v>236</v>
      </c>
      <c r="Q63" t="s">
        <v>125</v>
      </c>
      <c r="R63">
        <v>8</v>
      </c>
      <c r="S63">
        <v>5</v>
      </c>
    </row>
    <row r="64" spans="1:19" x14ac:dyDescent="0.2">
      <c r="A64">
        <v>253</v>
      </c>
      <c r="B64">
        <v>0</v>
      </c>
      <c r="C64">
        <v>7</v>
      </c>
      <c r="D64">
        <v>20</v>
      </c>
      <c r="E64" t="s">
        <v>125</v>
      </c>
      <c r="P64">
        <v>253</v>
      </c>
      <c r="Q64" t="s">
        <v>125</v>
      </c>
      <c r="R64">
        <v>7</v>
      </c>
      <c r="S64">
        <v>20</v>
      </c>
    </row>
    <row r="65" spans="1:19" x14ac:dyDescent="0.2">
      <c r="A65">
        <v>254</v>
      </c>
      <c r="B65">
        <v>80</v>
      </c>
      <c r="C65">
        <v>6</v>
      </c>
      <c r="D65">
        <v>55</v>
      </c>
      <c r="E65" t="s">
        <v>125</v>
      </c>
      <c r="P65">
        <v>254</v>
      </c>
      <c r="Q65" t="s">
        <v>125</v>
      </c>
      <c r="R65">
        <v>6</v>
      </c>
      <c r="S65">
        <v>55</v>
      </c>
    </row>
    <row r="66" spans="1:19" x14ac:dyDescent="0.2">
      <c r="A66">
        <v>258</v>
      </c>
      <c r="B66">
        <v>30</v>
      </c>
      <c r="C66">
        <v>6</v>
      </c>
      <c r="D66">
        <v>11</v>
      </c>
      <c r="E66" t="s">
        <v>125</v>
      </c>
      <c r="P66">
        <v>258</v>
      </c>
      <c r="Q66" t="s">
        <v>125</v>
      </c>
      <c r="R66">
        <v>6</v>
      </c>
      <c r="S66">
        <v>11</v>
      </c>
    </row>
    <row r="67" spans="1:19" x14ac:dyDescent="0.2">
      <c r="A67">
        <v>260</v>
      </c>
      <c r="B67">
        <v>70</v>
      </c>
      <c r="C67">
        <v>4</v>
      </c>
      <c r="D67">
        <v>94</v>
      </c>
      <c r="E67" t="s">
        <v>125</v>
      </c>
      <c r="P67">
        <v>260</v>
      </c>
      <c r="Q67" t="s">
        <v>125</v>
      </c>
      <c r="R67">
        <v>4</v>
      </c>
      <c r="S67">
        <v>94</v>
      </c>
    </row>
    <row r="68" spans="1:19" x14ac:dyDescent="0.2">
      <c r="A68">
        <v>278</v>
      </c>
      <c r="B68">
        <v>17</v>
      </c>
      <c r="C68">
        <v>8</v>
      </c>
      <c r="D68">
        <v>6</v>
      </c>
      <c r="E68" t="s">
        <v>125</v>
      </c>
      <c r="P68">
        <v>278</v>
      </c>
      <c r="Q68" t="s">
        <v>125</v>
      </c>
      <c r="R68">
        <v>8</v>
      </c>
      <c r="S68">
        <v>6</v>
      </c>
    </row>
    <row r="69" spans="1:19" x14ac:dyDescent="0.2">
      <c r="A69">
        <v>280</v>
      </c>
      <c r="B69">
        <v>20</v>
      </c>
      <c r="C69">
        <v>7</v>
      </c>
      <c r="D69">
        <v>30</v>
      </c>
      <c r="E69" t="s">
        <v>125</v>
      </c>
      <c r="P69">
        <v>280</v>
      </c>
      <c r="Q69" t="s">
        <v>125</v>
      </c>
      <c r="R69">
        <v>7</v>
      </c>
      <c r="S69">
        <v>30</v>
      </c>
    </row>
    <row r="70" spans="1:19" x14ac:dyDescent="0.2">
      <c r="A70">
        <v>282</v>
      </c>
      <c r="B70">
        <v>27</v>
      </c>
      <c r="C70">
        <v>5</v>
      </c>
      <c r="D70">
        <v>15</v>
      </c>
      <c r="E70" t="s">
        <v>125</v>
      </c>
      <c r="P70">
        <v>282</v>
      </c>
      <c r="Q70" t="s">
        <v>125</v>
      </c>
      <c r="R70">
        <v>5</v>
      </c>
      <c r="S70">
        <v>15</v>
      </c>
    </row>
    <row r="71" spans="1:19" x14ac:dyDescent="0.2">
      <c r="A71">
        <v>286</v>
      </c>
      <c r="B71">
        <v>10</v>
      </c>
      <c r="C71">
        <v>5</v>
      </c>
      <c r="D71">
        <v>9</v>
      </c>
      <c r="E71" t="s">
        <v>125</v>
      </c>
      <c r="P71">
        <v>286</v>
      </c>
      <c r="Q71" t="s">
        <v>125</v>
      </c>
      <c r="R71">
        <v>5</v>
      </c>
      <c r="S71">
        <v>9</v>
      </c>
    </row>
    <row r="72" spans="1:19" x14ac:dyDescent="0.2">
      <c r="A72">
        <v>288</v>
      </c>
      <c r="B72">
        <v>40</v>
      </c>
      <c r="C72">
        <v>7</v>
      </c>
      <c r="D72">
        <v>60</v>
      </c>
      <c r="E72" t="s">
        <v>125</v>
      </c>
      <c r="P72">
        <v>288</v>
      </c>
      <c r="Q72" t="s">
        <v>125</v>
      </c>
      <c r="R72">
        <v>7</v>
      </c>
      <c r="S72">
        <v>60</v>
      </c>
    </row>
    <row r="73" spans="1:19" x14ac:dyDescent="0.2">
      <c r="A73">
        <v>299</v>
      </c>
      <c r="B73">
        <v>30</v>
      </c>
      <c r="C73">
        <v>7</v>
      </c>
      <c r="D73">
        <v>30</v>
      </c>
      <c r="E73" t="s">
        <v>125</v>
      </c>
      <c r="P73">
        <v>299</v>
      </c>
      <c r="Q73" t="s">
        <v>125</v>
      </c>
      <c r="R73">
        <v>7</v>
      </c>
      <c r="S73">
        <v>30</v>
      </c>
    </row>
    <row r="74" spans="1:19" x14ac:dyDescent="0.2">
      <c r="A74">
        <v>301</v>
      </c>
      <c r="B74">
        <v>80</v>
      </c>
      <c r="C74">
        <v>5</v>
      </c>
      <c r="D74">
        <v>90</v>
      </c>
      <c r="E74" t="s">
        <v>125</v>
      </c>
      <c r="P74">
        <v>301</v>
      </c>
      <c r="Q74" t="s">
        <v>125</v>
      </c>
      <c r="R74">
        <v>5</v>
      </c>
      <c r="S74">
        <v>90</v>
      </c>
    </row>
    <row r="75" spans="1:19" x14ac:dyDescent="0.2">
      <c r="A75">
        <v>302</v>
      </c>
      <c r="B75">
        <v>81</v>
      </c>
      <c r="C75">
        <v>3</v>
      </c>
      <c r="D75">
        <v>98</v>
      </c>
      <c r="E75" t="s">
        <v>125</v>
      </c>
      <c r="P75">
        <v>302</v>
      </c>
      <c r="Q75" t="s">
        <v>125</v>
      </c>
      <c r="R75">
        <v>3</v>
      </c>
      <c r="S75">
        <v>98</v>
      </c>
    </row>
    <row r="76" spans="1:19" x14ac:dyDescent="0.2">
      <c r="A76">
        <v>306</v>
      </c>
      <c r="B76">
        <v>40</v>
      </c>
      <c r="C76">
        <v>7</v>
      </c>
      <c r="D76">
        <v>19</v>
      </c>
      <c r="E76" t="s">
        <v>125</v>
      </c>
      <c r="P76">
        <v>306</v>
      </c>
      <c r="Q76" t="s">
        <v>125</v>
      </c>
      <c r="R76">
        <v>7</v>
      </c>
      <c r="S76">
        <v>19</v>
      </c>
    </row>
    <row r="77" spans="1:19" x14ac:dyDescent="0.2">
      <c r="A77">
        <v>307</v>
      </c>
      <c r="B77">
        <v>71</v>
      </c>
      <c r="C77">
        <v>7</v>
      </c>
      <c r="D77">
        <v>71</v>
      </c>
      <c r="E77" t="s">
        <v>125</v>
      </c>
      <c r="P77">
        <v>307</v>
      </c>
      <c r="Q77" t="s">
        <v>125</v>
      </c>
      <c r="R77">
        <v>7</v>
      </c>
      <c r="S77">
        <v>71</v>
      </c>
    </row>
    <row r="78" spans="1:19" x14ac:dyDescent="0.2">
      <c r="A78">
        <v>309</v>
      </c>
      <c r="B78">
        <v>30</v>
      </c>
      <c r="C78">
        <v>8</v>
      </c>
      <c r="D78">
        <v>35</v>
      </c>
      <c r="E78" t="s">
        <v>125</v>
      </c>
      <c r="P78">
        <v>309</v>
      </c>
      <c r="Q78" t="s">
        <v>125</v>
      </c>
      <c r="R78">
        <v>8</v>
      </c>
      <c r="S78">
        <v>35</v>
      </c>
    </row>
    <row r="79" spans="1:19" x14ac:dyDescent="0.2">
      <c r="A79">
        <v>313</v>
      </c>
      <c r="B79">
        <v>76</v>
      </c>
      <c r="C79">
        <v>2</v>
      </c>
      <c r="D79">
        <v>75</v>
      </c>
      <c r="E79" t="s">
        <v>125</v>
      </c>
      <c r="P79">
        <v>313</v>
      </c>
      <c r="Q79" t="s">
        <v>125</v>
      </c>
      <c r="R79">
        <v>2</v>
      </c>
      <c r="S79">
        <v>75</v>
      </c>
    </row>
    <row r="80" spans="1:19" x14ac:dyDescent="0.2">
      <c r="A80">
        <v>324</v>
      </c>
      <c r="B80">
        <v>76</v>
      </c>
      <c r="C80">
        <v>3</v>
      </c>
      <c r="D80">
        <v>70</v>
      </c>
      <c r="E80" t="s">
        <v>125</v>
      </c>
      <c r="P80">
        <v>324</v>
      </c>
      <c r="Q80" t="s">
        <v>125</v>
      </c>
      <c r="R80">
        <v>3</v>
      </c>
      <c r="S80">
        <v>70</v>
      </c>
    </row>
    <row r="81" spans="1:19" x14ac:dyDescent="0.2">
      <c r="A81">
        <v>325</v>
      </c>
      <c r="B81">
        <v>6</v>
      </c>
      <c r="C81">
        <v>7</v>
      </c>
      <c r="D81">
        <v>5</v>
      </c>
      <c r="E81" t="s">
        <v>125</v>
      </c>
      <c r="P81">
        <v>325</v>
      </c>
      <c r="Q81" t="s">
        <v>125</v>
      </c>
      <c r="R81">
        <v>7</v>
      </c>
      <c r="S81">
        <v>5</v>
      </c>
    </row>
    <row r="82" spans="1:19" x14ac:dyDescent="0.2">
      <c r="A82">
        <v>326</v>
      </c>
      <c r="B82">
        <v>25</v>
      </c>
      <c r="C82">
        <v>7</v>
      </c>
      <c r="D82">
        <v>20</v>
      </c>
      <c r="E82" t="s">
        <v>125</v>
      </c>
      <c r="P82">
        <v>326</v>
      </c>
      <c r="Q82" t="s">
        <v>125</v>
      </c>
      <c r="R82">
        <v>7</v>
      </c>
      <c r="S82">
        <v>20</v>
      </c>
    </row>
    <row r="83" spans="1:19" x14ac:dyDescent="0.2">
      <c r="A83">
        <v>332</v>
      </c>
      <c r="B83">
        <v>0</v>
      </c>
      <c r="C83">
        <v>5</v>
      </c>
      <c r="D83">
        <v>0</v>
      </c>
      <c r="E83" t="s">
        <v>125</v>
      </c>
      <c r="P83">
        <v>332</v>
      </c>
      <c r="Q83" t="s">
        <v>125</v>
      </c>
      <c r="R83">
        <v>5</v>
      </c>
      <c r="S83">
        <v>0</v>
      </c>
    </row>
    <row r="84" spans="1:19" x14ac:dyDescent="0.2">
      <c r="A84">
        <v>333</v>
      </c>
      <c r="B84">
        <v>100</v>
      </c>
      <c r="C84">
        <v>6</v>
      </c>
      <c r="D84">
        <v>100</v>
      </c>
      <c r="E84" t="s">
        <v>125</v>
      </c>
      <c r="P84">
        <v>333</v>
      </c>
      <c r="Q84" t="s">
        <v>125</v>
      </c>
      <c r="R84">
        <v>6</v>
      </c>
      <c r="S84">
        <v>100</v>
      </c>
    </row>
    <row r="85" spans="1:19" x14ac:dyDescent="0.2">
      <c r="A85">
        <v>342</v>
      </c>
      <c r="B85">
        <v>50</v>
      </c>
      <c r="C85">
        <v>3</v>
      </c>
      <c r="D85">
        <v>50</v>
      </c>
      <c r="E85" t="s">
        <v>125</v>
      </c>
      <c r="P85">
        <v>342</v>
      </c>
      <c r="Q85" t="s">
        <v>125</v>
      </c>
      <c r="R85">
        <v>3</v>
      </c>
      <c r="S85">
        <v>50</v>
      </c>
    </row>
    <row r="86" spans="1:19" x14ac:dyDescent="0.2">
      <c r="A86">
        <v>344</v>
      </c>
      <c r="B86">
        <v>15</v>
      </c>
      <c r="C86">
        <v>5</v>
      </c>
      <c r="D86">
        <v>25</v>
      </c>
      <c r="E86" t="s">
        <v>125</v>
      </c>
      <c r="P86">
        <v>344</v>
      </c>
      <c r="Q86" t="s">
        <v>125</v>
      </c>
      <c r="R86">
        <v>5</v>
      </c>
      <c r="S86">
        <v>25</v>
      </c>
    </row>
    <row r="87" spans="1:19" x14ac:dyDescent="0.2">
      <c r="A87">
        <v>348</v>
      </c>
      <c r="B87">
        <v>14</v>
      </c>
      <c r="C87">
        <v>7</v>
      </c>
      <c r="D87">
        <v>7</v>
      </c>
      <c r="E87" t="s">
        <v>125</v>
      </c>
      <c r="P87">
        <v>348</v>
      </c>
      <c r="Q87" t="s">
        <v>125</v>
      </c>
      <c r="R87">
        <v>7</v>
      </c>
      <c r="S87">
        <v>7</v>
      </c>
    </row>
    <row r="88" spans="1:19" x14ac:dyDescent="0.2">
      <c r="A88">
        <v>349</v>
      </c>
      <c r="B88">
        <v>81</v>
      </c>
      <c r="C88">
        <v>4</v>
      </c>
      <c r="D88">
        <v>79</v>
      </c>
      <c r="E88" t="s">
        <v>125</v>
      </c>
      <c r="P88">
        <v>349</v>
      </c>
      <c r="Q88" t="s">
        <v>125</v>
      </c>
      <c r="R88">
        <v>4</v>
      </c>
      <c r="S88">
        <v>79</v>
      </c>
    </row>
    <row r="89" spans="1:19" x14ac:dyDescent="0.2">
      <c r="A89">
        <v>350</v>
      </c>
      <c r="B89">
        <v>75</v>
      </c>
      <c r="C89">
        <v>5</v>
      </c>
      <c r="D89">
        <v>61</v>
      </c>
      <c r="E89" t="s">
        <v>125</v>
      </c>
      <c r="P89">
        <v>350</v>
      </c>
      <c r="Q89" t="s">
        <v>125</v>
      </c>
      <c r="R89">
        <v>5</v>
      </c>
      <c r="S89">
        <v>61</v>
      </c>
    </row>
    <row r="90" spans="1:19" x14ac:dyDescent="0.2">
      <c r="A90">
        <v>358</v>
      </c>
      <c r="B90">
        <v>80</v>
      </c>
      <c r="C90">
        <v>4</v>
      </c>
      <c r="D90">
        <v>82</v>
      </c>
      <c r="E90" t="s">
        <v>125</v>
      </c>
      <c r="P90">
        <v>358</v>
      </c>
      <c r="Q90" t="s">
        <v>125</v>
      </c>
      <c r="R90">
        <v>4</v>
      </c>
      <c r="S90">
        <v>82</v>
      </c>
    </row>
    <row r="91" spans="1:19" x14ac:dyDescent="0.2">
      <c r="A91">
        <v>360</v>
      </c>
      <c r="B91">
        <v>81</v>
      </c>
      <c r="C91">
        <v>6</v>
      </c>
      <c r="D91">
        <v>86</v>
      </c>
      <c r="E91" t="s">
        <v>125</v>
      </c>
      <c r="P91">
        <v>360</v>
      </c>
      <c r="Q91" t="s">
        <v>125</v>
      </c>
      <c r="R91">
        <v>6</v>
      </c>
      <c r="S91">
        <v>86</v>
      </c>
    </row>
    <row r="92" spans="1:19" x14ac:dyDescent="0.2">
      <c r="A92">
        <v>364</v>
      </c>
      <c r="B92">
        <v>85</v>
      </c>
      <c r="C92">
        <v>7</v>
      </c>
      <c r="D92">
        <v>90</v>
      </c>
      <c r="E92" t="s">
        <v>125</v>
      </c>
      <c r="P92">
        <v>364</v>
      </c>
      <c r="Q92" t="s">
        <v>125</v>
      </c>
      <c r="R92">
        <v>7</v>
      </c>
      <c r="S92">
        <v>90</v>
      </c>
    </row>
    <row r="93" spans="1:19" x14ac:dyDescent="0.2">
      <c r="A93">
        <v>368</v>
      </c>
      <c r="B93">
        <v>5</v>
      </c>
      <c r="C93">
        <v>8</v>
      </c>
      <c r="D93">
        <v>1</v>
      </c>
      <c r="E93" t="s">
        <v>125</v>
      </c>
      <c r="P93">
        <v>368</v>
      </c>
      <c r="Q93" t="s">
        <v>125</v>
      </c>
      <c r="R93">
        <v>8</v>
      </c>
      <c r="S93">
        <v>1</v>
      </c>
    </row>
    <row r="94" spans="1:19" x14ac:dyDescent="0.2">
      <c r="A94">
        <v>372</v>
      </c>
      <c r="B94">
        <v>74</v>
      </c>
      <c r="C94">
        <v>3</v>
      </c>
      <c r="D94">
        <v>93</v>
      </c>
      <c r="E94" t="s">
        <v>125</v>
      </c>
      <c r="P94">
        <v>372</v>
      </c>
      <c r="Q94" t="s">
        <v>125</v>
      </c>
      <c r="R94">
        <v>3</v>
      </c>
      <c r="S94">
        <v>93</v>
      </c>
    </row>
    <row r="95" spans="1:19" x14ac:dyDescent="0.2">
      <c r="A95">
        <v>374</v>
      </c>
      <c r="B95">
        <v>65</v>
      </c>
      <c r="C95">
        <v>6</v>
      </c>
      <c r="D95">
        <v>70</v>
      </c>
      <c r="E95" t="s">
        <v>125</v>
      </c>
      <c r="P95">
        <v>374</v>
      </c>
      <c r="Q95" t="s">
        <v>125</v>
      </c>
      <c r="R95">
        <v>6</v>
      </c>
      <c r="S95">
        <v>70</v>
      </c>
    </row>
    <row r="96" spans="1:19" x14ac:dyDescent="0.2">
      <c r="A96">
        <v>381</v>
      </c>
      <c r="B96">
        <v>25</v>
      </c>
      <c r="C96">
        <v>7</v>
      </c>
      <c r="D96">
        <v>24</v>
      </c>
      <c r="E96" t="s">
        <v>125</v>
      </c>
      <c r="P96">
        <v>381</v>
      </c>
      <c r="Q96" t="s">
        <v>125</v>
      </c>
      <c r="R96">
        <v>7</v>
      </c>
      <c r="S96">
        <v>24</v>
      </c>
    </row>
    <row r="97" spans="1:19" x14ac:dyDescent="0.2">
      <c r="A97">
        <v>392</v>
      </c>
      <c r="B97">
        <v>41</v>
      </c>
      <c r="C97">
        <v>6</v>
      </c>
      <c r="D97">
        <v>49</v>
      </c>
      <c r="E97" t="s">
        <v>125</v>
      </c>
      <c r="P97">
        <v>392</v>
      </c>
      <c r="Q97" t="s">
        <v>125</v>
      </c>
      <c r="R97">
        <v>6</v>
      </c>
      <c r="S97">
        <v>49</v>
      </c>
    </row>
    <row r="98" spans="1:19" x14ac:dyDescent="0.2">
      <c r="A98">
        <v>394</v>
      </c>
      <c r="B98">
        <v>70</v>
      </c>
      <c r="C98">
        <v>4</v>
      </c>
      <c r="D98">
        <v>85</v>
      </c>
      <c r="E98" t="s">
        <v>125</v>
      </c>
      <c r="P98">
        <v>394</v>
      </c>
      <c r="Q98" t="s">
        <v>125</v>
      </c>
      <c r="R98">
        <v>4</v>
      </c>
      <c r="S98">
        <v>85</v>
      </c>
    </row>
    <row r="99" spans="1:19" x14ac:dyDescent="0.2">
      <c r="A99">
        <v>397</v>
      </c>
      <c r="B99">
        <v>43</v>
      </c>
      <c r="C99">
        <v>7</v>
      </c>
      <c r="D99">
        <v>42</v>
      </c>
      <c r="E99" t="s">
        <v>125</v>
      </c>
      <c r="P99">
        <v>397</v>
      </c>
      <c r="Q99" t="s">
        <v>125</v>
      </c>
      <c r="R99">
        <v>7</v>
      </c>
      <c r="S99">
        <v>42</v>
      </c>
    </row>
    <row r="100" spans="1:19" x14ac:dyDescent="0.2">
      <c r="A100">
        <v>398</v>
      </c>
      <c r="B100">
        <v>60</v>
      </c>
      <c r="C100">
        <v>6</v>
      </c>
      <c r="D100">
        <v>60</v>
      </c>
      <c r="E100" t="s">
        <v>125</v>
      </c>
      <c r="P100">
        <v>398</v>
      </c>
      <c r="Q100" t="s">
        <v>125</v>
      </c>
      <c r="R100">
        <v>6</v>
      </c>
      <c r="S100">
        <v>60</v>
      </c>
    </row>
    <row r="101" spans="1:19" x14ac:dyDescent="0.2">
      <c r="A101">
        <v>399</v>
      </c>
      <c r="B101">
        <v>82</v>
      </c>
      <c r="C101">
        <v>6</v>
      </c>
      <c r="D101">
        <v>97</v>
      </c>
      <c r="E101" t="s">
        <v>125</v>
      </c>
      <c r="P101">
        <v>399</v>
      </c>
      <c r="Q101" t="s">
        <v>125</v>
      </c>
      <c r="R101">
        <v>6</v>
      </c>
      <c r="S101">
        <v>97</v>
      </c>
    </row>
  </sheetData>
  <sortState xmlns:xlrd2="http://schemas.microsoft.com/office/spreadsheetml/2017/richdata2" ref="P2:R101">
    <sortCondition ref="Q2:Q101"/>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99"/>
  <sheetViews>
    <sheetView topLeftCell="F1" workbookViewId="0">
      <selection activeCell="T1" sqref="T1:T1048576"/>
    </sheetView>
  </sheetViews>
  <sheetFormatPr baseColWidth="10" defaultRowHeight="16" x14ac:dyDescent="0.2"/>
  <cols>
    <col min="19" max="19" width="20.83203125" bestFit="1" customWidth="1"/>
  </cols>
  <sheetData>
    <row r="1" spans="1:20" x14ac:dyDescent="0.2">
      <c r="A1" t="s">
        <v>1918</v>
      </c>
      <c r="B1" t="s">
        <v>53</v>
      </c>
      <c r="C1" t="s">
        <v>54</v>
      </c>
      <c r="D1" t="s">
        <v>55</v>
      </c>
      <c r="E1" t="s">
        <v>56</v>
      </c>
      <c r="F1" t="s">
        <v>57</v>
      </c>
      <c r="G1" t="s">
        <v>58</v>
      </c>
      <c r="H1" t="s">
        <v>59</v>
      </c>
      <c r="I1" t="s">
        <v>60</v>
      </c>
      <c r="J1" t="s">
        <v>1919</v>
      </c>
      <c r="K1" t="s">
        <v>1920</v>
      </c>
      <c r="L1" t="s">
        <v>1921</v>
      </c>
      <c r="M1" t="s">
        <v>1922</v>
      </c>
      <c r="N1" t="s">
        <v>1923</v>
      </c>
      <c r="O1" t="s">
        <v>1924</v>
      </c>
      <c r="P1" t="s">
        <v>1925</v>
      </c>
      <c r="Q1" t="s">
        <v>1926</v>
      </c>
      <c r="R1" t="s">
        <v>1927</v>
      </c>
      <c r="S1" t="s">
        <v>1917</v>
      </c>
      <c r="T1" t="s">
        <v>1973</v>
      </c>
    </row>
    <row r="2" spans="1:20" x14ac:dyDescent="0.2">
      <c r="A2">
        <v>1</v>
      </c>
      <c r="B2">
        <v>500</v>
      </c>
      <c r="C2">
        <v>10</v>
      </c>
      <c r="D2">
        <v>0.1</v>
      </c>
      <c r="E2">
        <v>20</v>
      </c>
      <c r="F2">
        <v>100</v>
      </c>
      <c r="G2" t="s">
        <v>103</v>
      </c>
      <c r="H2">
        <v>0.05</v>
      </c>
      <c r="I2" t="s">
        <v>104</v>
      </c>
      <c r="J2">
        <f>IF(B2=500,1,0)</f>
        <v>1</v>
      </c>
      <c r="K2">
        <f>IF(C2=10,1,0)</f>
        <v>1</v>
      </c>
      <c r="L2">
        <f>IF(OR(D2=0.1,D2=0.1%),1,0)</f>
        <v>1</v>
      </c>
      <c r="M2">
        <f>IF(OR(E2=20,E2=20%),1,0)</f>
        <v>1</v>
      </c>
      <c r="N2">
        <f>IF(F2=100,1,0)</f>
        <v>1</v>
      </c>
      <c r="O2">
        <f>IF(OR(G2=50,G2=50%),1,0)</f>
        <v>0</v>
      </c>
      <c r="P2">
        <f>IF(OR(H2=0.05,H2="$0.05",H2="5 cents"),1,0)</f>
        <v>1</v>
      </c>
      <c r="Q2">
        <f>IF(OR(I2=5,I2="5 minutes"),1,0)</f>
        <v>1</v>
      </c>
      <c r="R2">
        <f>SUM(J2:Q2)</f>
        <v>7</v>
      </c>
      <c r="S2" t="s">
        <v>105</v>
      </c>
      <c r="T2">
        <f>SUM(J2:O2)</f>
        <v>5</v>
      </c>
    </row>
    <row r="3" spans="1:20" x14ac:dyDescent="0.2">
      <c r="A3">
        <v>2</v>
      </c>
      <c r="B3" s="3">
        <v>0.5</v>
      </c>
      <c r="C3" t="s">
        <v>110</v>
      </c>
      <c r="D3" s="4">
        <v>1E-3</v>
      </c>
      <c r="E3" s="3">
        <v>0.2</v>
      </c>
      <c r="F3" s="3">
        <v>0.01</v>
      </c>
      <c r="G3" s="3">
        <v>0.5</v>
      </c>
      <c r="H3" s="5">
        <v>0.05</v>
      </c>
      <c r="I3" t="s">
        <v>104</v>
      </c>
      <c r="J3">
        <v>1</v>
      </c>
      <c r="K3">
        <v>1</v>
      </c>
      <c r="L3">
        <f t="shared" ref="L3:L66" si="0">IF(OR(D3=0.1,D3=0.1%),1,0)</f>
        <v>1</v>
      </c>
      <c r="M3">
        <f>IF(OR(E3=20,E3=20%),1,0)</f>
        <v>1</v>
      </c>
      <c r="N3">
        <f t="shared" ref="N3:N66" si="1">IF(F3=100,1,0)</f>
        <v>0</v>
      </c>
      <c r="O3">
        <f t="shared" ref="O3:O66" si="2">IF(OR(G3=50,G3=50%),1,0)</f>
        <v>1</v>
      </c>
      <c r="P3">
        <f t="shared" ref="P3:P66" si="3">IF(OR(H3=0.05,H3="$0.05",H3="5 cents"),1,0)</f>
        <v>1</v>
      </c>
      <c r="Q3">
        <f t="shared" ref="Q3:Q66" si="4">IF(OR(I3=5,I3="5 minutes"),1,0)</f>
        <v>1</v>
      </c>
      <c r="R3">
        <f t="shared" ref="R3:R66" si="5">SUM(J3:Q3)</f>
        <v>7</v>
      </c>
      <c r="S3" t="s">
        <v>111</v>
      </c>
      <c r="T3">
        <f t="shared" ref="T3:T66" si="6">SUM(J3:O3)</f>
        <v>5</v>
      </c>
    </row>
    <row r="4" spans="1:20" x14ac:dyDescent="0.2">
      <c r="A4">
        <v>3</v>
      </c>
      <c r="B4">
        <v>500</v>
      </c>
      <c r="C4">
        <v>10</v>
      </c>
      <c r="D4" s="4">
        <v>1E-3</v>
      </c>
      <c r="E4" s="3">
        <v>0.2</v>
      </c>
      <c r="F4">
        <v>100</v>
      </c>
      <c r="G4">
        <v>20</v>
      </c>
      <c r="H4">
        <v>0.05</v>
      </c>
      <c r="I4" t="s">
        <v>104</v>
      </c>
      <c r="J4">
        <f t="shared" ref="J4:J66" si="7">IF(B4=500,1,0)</f>
        <v>1</v>
      </c>
      <c r="K4">
        <f t="shared" ref="K4:K66" si="8">IF(C4=10,1,0)</f>
        <v>1</v>
      </c>
      <c r="L4">
        <f t="shared" si="0"/>
        <v>1</v>
      </c>
      <c r="M4">
        <f t="shared" ref="M4:M67" si="9">IF(OR(E4=20,E4=20%),1,0)</f>
        <v>1</v>
      </c>
      <c r="N4">
        <f t="shared" si="1"/>
        <v>1</v>
      </c>
      <c r="O4">
        <f t="shared" si="2"/>
        <v>0</v>
      </c>
      <c r="P4">
        <f t="shared" si="3"/>
        <v>1</v>
      </c>
      <c r="Q4">
        <f t="shared" si="4"/>
        <v>1</v>
      </c>
      <c r="R4">
        <f t="shared" si="5"/>
        <v>7</v>
      </c>
      <c r="S4" t="s">
        <v>111</v>
      </c>
      <c r="T4">
        <f t="shared" si="6"/>
        <v>5</v>
      </c>
    </row>
    <row r="5" spans="1:20" x14ac:dyDescent="0.2">
      <c r="A5">
        <v>4</v>
      </c>
      <c r="B5" t="s">
        <v>120</v>
      </c>
      <c r="C5" s="3">
        <v>0.1</v>
      </c>
      <c r="D5" t="s">
        <v>121</v>
      </c>
      <c r="E5" t="s">
        <v>122</v>
      </c>
      <c r="F5">
        <v>100</v>
      </c>
      <c r="G5" s="3">
        <v>0.9</v>
      </c>
      <c r="H5" t="s">
        <v>123</v>
      </c>
      <c r="I5" t="s">
        <v>124</v>
      </c>
      <c r="J5">
        <f t="shared" si="7"/>
        <v>0</v>
      </c>
      <c r="K5">
        <f t="shared" si="8"/>
        <v>0</v>
      </c>
      <c r="L5">
        <v>1</v>
      </c>
      <c r="M5">
        <v>1</v>
      </c>
      <c r="N5">
        <f t="shared" si="1"/>
        <v>1</v>
      </c>
      <c r="O5">
        <f t="shared" si="2"/>
        <v>0</v>
      </c>
      <c r="P5">
        <f t="shared" si="3"/>
        <v>0</v>
      </c>
      <c r="Q5">
        <f t="shared" si="4"/>
        <v>0</v>
      </c>
      <c r="R5">
        <f t="shared" si="5"/>
        <v>3</v>
      </c>
      <c r="S5" t="s">
        <v>125</v>
      </c>
      <c r="T5">
        <f t="shared" si="6"/>
        <v>3</v>
      </c>
    </row>
    <row r="6" spans="1:20" x14ac:dyDescent="0.2">
      <c r="A6">
        <v>5</v>
      </c>
      <c r="B6">
        <v>50</v>
      </c>
      <c r="C6">
        <v>10</v>
      </c>
      <c r="D6">
        <v>1020</v>
      </c>
      <c r="E6">
        <v>20</v>
      </c>
      <c r="F6">
        <v>100</v>
      </c>
      <c r="G6">
        <v>1</v>
      </c>
      <c r="H6">
        <v>0.1</v>
      </c>
      <c r="I6">
        <v>5</v>
      </c>
      <c r="J6">
        <f t="shared" si="7"/>
        <v>0</v>
      </c>
      <c r="K6">
        <f t="shared" si="8"/>
        <v>1</v>
      </c>
      <c r="L6">
        <f t="shared" si="0"/>
        <v>0</v>
      </c>
      <c r="M6">
        <f t="shared" si="9"/>
        <v>1</v>
      </c>
      <c r="N6">
        <f t="shared" si="1"/>
        <v>1</v>
      </c>
      <c r="O6">
        <f t="shared" si="2"/>
        <v>0</v>
      </c>
      <c r="P6">
        <f t="shared" si="3"/>
        <v>0</v>
      </c>
      <c r="Q6">
        <f t="shared" si="4"/>
        <v>1</v>
      </c>
      <c r="R6">
        <f t="shared" si="5"/>
        <v>4</v>
      </c>
      <c r="S6" t="s">
        <v>97</v>
      </c>
      <c r="T6">
        <f t="shared" si="6"/>
        <v>3</v>
      </c>
    </row>
    <row r="7" spans="1:20" ht="51" x14ac:dyDescent="0.2">
      <c r="A7">
        <v>6</v>
      </c>
      <c r="B7" s="1" t="s">
        <v>134</v>
      </c>
      <c r="C7" t="s">
        <v>135</v>
      </c>
      <c r="D7" s="4">
        <v>1E-4</v>
      </c>
      <c r="E7">
        <v>20</v>
      </c>
      <c r="F7">
        <v>100</v>
      </c>
      <c r="G7" s="3">
        <v>0.1</v>
      </c>
      <c r="H7" s="5">
        <v>0.05</v>
      </c>
      <c r="I7" t="s">
        <v>136</v>
      </c>
      <c r="J7">
        <v>1</v>
      </c>
      <c r="K7">
        <f t="shared" si="8"/>
        <v>0</v>
      </c>
      <c r="L7">
        <f t="shared" si="0"/>
        <v>0</v>
      </c>
      <c r="M7">
        <f t="shared" si="9"/>
        <v>1</v>
      </c>
      <c r="N7">
        <f t="shared" si="1"/>
        <v>1</v>
      </c>
      <c r="O7">
        <f t="shared" si="2"/>
        <v>0</v>
      </c>
      <c r="P7">
        <f t="shared" si="3"/>
        <v>1</v>
      </c>
      <c r="Q7">
        <v>1</v>
      </c>
      <c r="R7">
        <f t="shared" si="5"/>
        <v>5</v>
      </c>
      <c r="S7" t="s">
        <v>125</v>
      </c>
      <c r="T7">
        <f t="shared" si="6"/>
        <v>3</v>
      </c>
    </row>
    <row r="8" spans="1:20" x14ac:dyDescent="0.2">
      <c r="A8">
        <v>7</v>
      </c>
      <c r="B8">
        <v>500</v>
      </c>
      <c r="C8">
        <v>10</v>
      </c>
      <c r="D8" s="4">
        <v>1E-3</v>
      </c>
      <c r="E8" s="3">
        <v>0.2</v>
      </c>
      <c r="F8">
        <v>100</v>
      </c>
      <c r="G8" s="4">
        <v>1.7999999999999999E-2</v>
      </c>
      <c r="H8">
        <v>0.1</v>
      </c>
      <c r="I8">
        <v>5</v>
      </c>
      <c r="J8">
        <f t="shared" si="7"/>
        <v>1</v>
      </c>
      <c r="K8">
        <f t="shared" si="8"/>
        <v>1</v>
      </c>
      <c r="L8">
        <f t="shared" si="0"/>
        <v>1</v>
      </c>
      <c r="M8">
        <f t="shared" si="9"/>
        <v>1</v>
      </c>
      <c r="N8">
        <f t="shared" si="1"/>
        <v>1</v>
      </c>
      <c r="O8">
        <f t="shared" si="2"/>
        <v>0</v>
      </c>
      <c r="P8">
        <f t="shared" si="3"/>
        <v>0</v>
      </c>
      <c r="Q8">
        <f t="shared" si="4"/>
        <v>1</v>
      </c>
      <c r="R8">
        <f t="shared" si="5"/>
        <v>6</v>
      </c>
      <c r="S8" t="s">
        <v>105</v>
      </c>
      <c r="T8">
        <f t="shared" si="6"/>
        <v>5</v>
      </c>
    </row>
    <row r="9" spans="1:20" x14ac:dyDescent="0.2">
      <c r="A9">
        <v>8</v>
      </c>
      <c r="B9">
        <v>550</v>
      </c>
      <c r="C9">
        <v>1</v>
      </c>
      <c r="D9">
        <v>1</v>
      </c>
      <c r="E9">
        <v>20</v>
      </c>
      <c r="F9">
        <v>1</v>
      </c>
      <c r="G9">
        <v>90</v>
      </c>
      <c r="H9">
        <v>0.1</v>
      </c>
      <c r="I9">
        <v>1</v>
      </c>
      <c r="J9">
        <f t="shared" si="7"/>
        <v>0</v>
      </c>
      <c r="K9">
        <f t="shared" si="8"/>
        <v>0</v>
      </c>
      <c r="L9">
        <f t="shared" si="0"/>
        <v>0</v>
      </c>
      <c r="M9">
        <f t="shared" si="9"/>
        <v>1</v>
      </c>
      <c r="N9">
        <f t="shared" si="1"/>
        <v>0</v>
      </c>
      <c r="O9">
        <f t="shared" si="2"/>
        <v>0</v>
      </c>
      <c r="P9">
        <f t="shared" si="3"/>
        <v>0</v>
      </c>
      <c r="Q9">
        <f t="shared" si="4"/>
        <v>0</v>
      </c>
      <c r="R9">
        <f t="shared" si="5"/>
        <v>1</v>
      </c>
      <c r="S9" t="s">
        <v>105</v>
      </c>
      <c r="T9">
        <f t="shared" si="6"/>
        <v>1</v>
      </c>
    </row>
    <row r="10" spans="1:20" x14ac:dyDescent="0.2">
      <c r="A10">
        <v>9</v>
      </c>
      <c r="B10">
        <v>500</v>
      </c>
      <c r="C10">
        <v>500</v>
      </c>
      <c r="D10" s="3">
        <v>0.01</v>
      </c>
      <c r="E10" s="3">
        <v>0.2</v>
      </c>
      <c r="F10">
        <v>100</v>
      </c>
      <c r="G10" s="3">
        <v>0.1</v>
      </c>
      <c r="H10">
        <v>0.1</v>
      </c>
      <c r="I10" t="s">
        <v>149</v>
      </c>
      <c r="J10">
        <f t="shared" si="7"/>
        <v>1</v>
      </c>
      <c r="K10">
        <f t="shared" si="8"/>
        <v>0</v>
      </c>
      <c r="L10">
        <f t="shared" si="0"/>
        <v>0</v>
      </c>
      <c r="M10">
        <f t="shared" si="9"/>
        <v>1</v>
      </c>
      <c r="N10">
        <f t="shared" si="1"/>
        <v>1</v>
      </c>
      <c r="O10">
        <f t="shared" si="2"/>
        <v>0</v>
      </c>
      <c r="P10">
        <f t="shared" si="3"/>
        <v>0</v>
      </c>
      <c r="Q10">
        <f t="shared" si="4"/>
        <v>0</v>
      </c>
      <c r="R10">
        <f t="shared" si="5"/>
        <v>3</v>
      </c>
      <c r="S10" t="s">
        <v>105</v>
      </c>
      <c r="T10">
        <f t="shared" si="6"/>
        <v>3</v>
      </c>
    </row>
    <row r="11" spans="1:20" x14ac:dyDescent="0.2">
      <c r="A11">
        <v>10</v>
      </c>
      <c r="B11">
        <v>500</v>
      </c>
      <c r="C11">
        <v>10</v>
      </c>
      <c r="D11" s="4">
        <v>1E-3</v>
      </c>
      <c r="E11">
        <v>20</v>
      </c>
      <c r="F11">
        <v>100</v>
      </c>
      <c r="G11" t="s">
        <v>154</v>
      </c>
      <c r="H11" s="5">
        <v>0.05</v>
      </c>
      <c r="I11">
        <v>100</v>
      </c>
      <c r="J11">
        <f t="shared" si="7"/>
        <v>1</v>
      </c>
      <c r="K11">
        <f t="shared" si="8"/>
        <v>1</v>
      </c>
      <c r="L11">
        <f t="shared" si="0"/>
        <v>1</v>
      </c>
      <c r="M11">
        <f t="shared" si="9"/>
        <v>1</v>
      </c>
      <c r="N11">
        <f t="shared" si="1"/>
        <v>1</v>
      </c>
      <c r="O11">
        <f t="shared" si="2"/>
        <v>0</v>
      </c>
      <c r="P11">
        <f t="shared" si="3"/>
        <v>1</v>
      </c>
      <c r="Q11">
        <f t="shared" si="4"/>
        <v>0</v>
      </c>
      <c r="R11">
        <f t="shared" si="5"/>
        <v>6</v>
      </c>
      <c r="S11" t="s">
        <v>111</v>
      </c>
      <c r="T11">
        <f t="shared" si="6"/>
        <v>5</v>
      </c>
    </row>
    <row r="12" spans="1:20" x14ac:dyDescent="0.2">
      <c r="A12">
        <v>11</v>
      </c>
      <c r="B12">
        <v>500</v>
      </c>
      <c r="C12">
        <v>10</v>
      </c>
      <c r="D12" s="3">
        <v>0.01</v>
      </c>
      <c r="E12">
        <v>20</v>
      </c>
      <c r="F12">
        <v>100</v>
      </c>
      <c r="G12" s="3">
        <v>0.9</v>
      </c>
      <c r="H12" t="s">
        <v>159</v>
      </c>
      <c r="I12" t="s">
        <v>160</v>
      </c>
      <c r="J12">
        <f t="shared" si="7"/>
        <v>1</v>
      </c>
      <c r="K12">
        <f t="shared" si="8"/>
        <v>1</v>
      </c>
      <c r="L12">
        <f t="shared" si="0"/>
        <v>0</v>
      </c>
      <c r="M12">
        <f t="shared" si="9"/>
        <v>1</v>
      </c>
      <c r="N12">
        <f t="shared" si="1"/>
        <v>1</v>
      </c>
      <c r="O12">
        <f t="shared" si="2"/>
        <v>0</v>
      </c>
      <c r="P12">
        <f t="shared" si="3"/>
        <v>1</v>
      </c>
      <c r="Q12">
        <v>1</v>
      </c>
      <c r="R12">
        <f t="shared" si="5"/>
        <v>6</v>
      </c>
      <c r="S12" t="s">
        <v>97</v>
      </c>
      <c r="T12">
        <f t="shared" si="6"/>
        <v>4</v>
      </c>
    </row>
    <row r="13" spans="1:20" x14ac:dyDescent="0.2">
      <c r="A13">
        <v>12</v>
      </c>
      <c r="B13">
        <v>500</v>
      </c>
      <c r="C13">
        <v>1</v>
      </c>
      <c r="D13">
        <v>1E-3</v>
      </c>
      <c r="E13">
        <v>5</v>
      </c>
      <c r="F13">
        <v>100</v>
      </c>
      <c r="G13" t="s">
        <v>165</v>
      </c>
      <c r="H13">
        <v>0.1</v>
      </c>
      <c r="I13" t="s">
        <v>104</v>
      </c>
      <c r="J13">
        <f t="shared" si="7"/>
        <v>1</v>
      </c>
      <c r="K13">
        <f t="shared" si="8"/>
        <v>0</v>
      </c>
      <c r="L13">
        <f t="shared" si="0"/>
        <v>1</v>
      </c>
      <c r="M13">
        <f t="shared" si="9"/>
        <v>0</v>
      </c>
      <c r="N13">
        <f t="shared" si="1"/>
        <v>1</v>
      </c>
      <c r="O13">
        <f t="shared" si="2"/>
        <v>0</v>
      </c>
      <c r="P13">
        <f t="shared" si="3"/>
        <v>0</v>
      </c>
      <c r="Q13">
        <f t="shared" si="4"/>
        <v>1</v>
      </c>
      <c r="R13">
        <f t="shared" si="5"/>
        <v>4</v>
      </c>
      <c r="S13" t="s">
        <v>125</v>
      </c>
      <c r="T13">
        <f t="shared" si="6"/>
        <v>3</v>
      </c>
    </row>
    <row r="14" spans="1:20" x14ac:dyDescent="0.2">
      <c r="A14">
        <v>13</v>
      </c>
      <c r="B14">
        <v>500</v>
      </c>
      <c r="C14">
        <v>10</v>
      </c>
      <c r="D14" s="4">
        <v>1E-3</v>
      </c>
      <c r="E14">
        <v>20</v>
      </c>
      <c r="F14">
        <v>100</v>
      </c>
      <c r="G14" s="3">
        <v>0.1</v>
      </c>
      <c r="H14" s="5">
        <v>0.05</v>
      </c>
      <c r="I14">
        <v>5</v>
      </c>
      <c r="J14">
        <f t="shared" si="7"/>
        <v>1</v>
      </c>
      <c r="K14">
        <f t="shared" si="8"/>
        <v>1</v>
      </c>
      <c r="L14">
        <f t="shared" si="0"/>
        <v>1</v>
      </c>
      <c r="M14">
        <f t="shared" si="9"/>
        <v>1</v>
      </c>
      <c r="N14">
        <f t="shared" si="1"/>
        <v>1</v>
      </c>
      <c r="O14">
        <f t="shared" si="2"/>
        <v>0</v>
      </c>
      <c r="P14">
        <f t="shared" si="3"/>
        <v>1</v>
      </c>
      <c r="Q14">
        <f t="shared" si="4"/>
        <v>1</v>
      </c>
      <c r="R14">
        <f t="shared" si="5"/>
        <v>7</v>
      </c>
      <c r="S14" t="s">
        <v>125</v>
      </c>
      <c r="T14">
        <f t="shared" si="6"/>
        <v>5</v>
      </c>
    </row>
    <row r="15" spans="1:20" x14ac:dyDescent="0.2">
      <c r="A15">
        <v>14</v>
      </c>
      <c r="B15">
        <v>452</v>
      </c>
      <c r="C15">
        <v>10</v>
      </c>
      <c r="D15" s="4">
        <v>1.0000000000000001E-5</v>
      </c>
      <c r="E15" s="4">
        <v>2E-3</v>
      </c>
      <c r="F15">
        <v>100</v>
      </c>
      <c r="G15" t="s">
        <v>175</v>
      </c>
      <c r="H15">
        <v>0.1</v>
      </c>
      <c r="I15">
        <v>20</v>
      </c>
      <c r="J15">
        <f t="shared" si="7"/>
        <v>0</v>
      </c>
      <c r="K15">
        <f t="shared" si="8"/>
        <v>1</v>
      </c>
      <c r="L15">
        <f t="shared" si="0"/>
        <v>0</v>
      </c>
      <c r="M15">
        <f t="shared" si="9"/>
        <v>0</v>
      </c>
      <c r="N15">
        <f t="shared" si="1"/>
        <v>1</v>
      </c>
      <c r="O15">
        <v>1</v>
      </c>
      <c r="P15">
        <f t="shared" si="3"/>
        <v>0</v>
      </c>
      <c r="Q15">
        <f t="shared" si="4"/>
        <v>0</v>
      </c>
      <c r="R15">
        <f t="shared" si="5"/>
        <v>3</v>
      </c>
      <c r="S15" t="s">
        <v>97</v>
      </c>
      <c r="T15">
        <f t="shared" si="6"/>
        <v>3</v>
      </c>
    </row>
    <row r="16" spans="1:20" x14ac:dyDescent="0.2">
      <c r="A16">
        <v>15</v>
      </c>
      <c r="B16">
        <v>450</v>
      </c>
      <c r="C16">
        <v>100000</v>
      </c>
      <c r="D16" s="3">
        <v>0.01</v>
      </c>
      <c r="E16">
        <v>20</v>
      </c>
      <c r="F16">
        <v>10</v>
      </c>
      <c r="G16">
        <v>10</v>
      </c>
      <c r="H16">
        <v>0.1</v>
      </c>
      <c r="I16">
        <v>500</v>
      </c>
      <c r="J16">
        <f t="shared" si="7"/>
        <v>0</v>
      </c>
      <c r="K16">
        <f t="shared" si="8"/>
        <v>0</v>
      </c>
      <c r="L16">
        <f t="shared" si="0"/>
        <v>0</v>
      </c>
      <c r="M16">
        <f t="shared" si="9"/>
        <v>1</v>
      </c>
      <c r="N16">
        <f t="shared" si="1"/>
        <v>0</v>
      </c>
      <c r="O16">
        <f t="shared" si="2"/>
        <v>0</v>
      </c>
      <c r="P16">
        <f t="shared" si="3"/>
        <v>0</v>
      </c>
      <c r="Q16">
        <f t="shared" si="4"/>
        <v>0</v>
      </c>
      <c r="R16">
        <f t="shared" si="5"/>
        <v>1</v>
      </c>
      <c r="S16" t="s">
        <v>97</v>
      </c>
      <c r="T16">
        <f t="shared" si="6"/>
        <v>1</v>
      </c>
    </row>
    <row r="17" spans="1:20" x14ac:dyDescent="0.2">
      <c r="A17">
        <v>16</v>
      </c>
      <c r="B17">
        <v>500</v>
      </c>
      <c r="C17">
        <v>10</v>
      </c>
      <c r="D17">
        <v>1</v>
      </c>
      <c r="E17">
        <v>10</v>
      </c>
      <c r="F17">
        <v>100</v>
      </c>
      <c r="G17">
        <v>80</v>
      </c>
      <c r="H17">
        <v>0.5</v>
      </c>
      <c r="I17">
        <v>500</v>
      </c>
      <c r="J17">
        <f t="shared" si="7"/>
        <v>1</v>
      </c>
      <c r="K17">
        <f t="shared" si="8"/>
        <v>1</v>
      </c>
      <c r="L17">
        <f t="shared" si="0"/>
        <v>0</v>
      </c>
      <c r="M17">
        <f t="shared" si="9"/>
        <v>0</v>
      </c>
      <c r="N17">
        <f t="shared" si="1"/>
        <v>1</v>
      </c>
      <c r="O17">
        <f t="shared" si="2"/>
        <v>0</v>
      </c>
      <c r="P17">
        <f t="shared" si="3"/>
        <v>0</v>
      </c>
      <c r="Q17">
        <f t="shared" si="4"/>
        <v>0</v>
      </c>
      <c r="R17">
        <f t="shared" si="5"/>
        <v>3</v>
      </c>
      <c r="S17" t="s">
        <v>111</v>
      </c>
      <c r="T17">
        <f t="shared" si="6"/>
        <v>3</v>
      </c>
    </row>
    <row r="18" spans="1:20" x14ac:dyDescent="0.2">
      <c r="A18">
        <v>17</v>
      </c>
      <c r="B18">
        <v>500</v>
      </c>
      <c r="C18">
        <v>10</v>
      </c>
      <c r="D18" s="4">
        <v>1E-4</v>
      </c>
      <c r="E18">
        <v>20</v>
      </c>
      <c r="F18">
        <v>100</v>
      </c>
      <c r="G18" s="3">
        <v>0.1</v>
      </c>
      <c r="H18">
        <v>0.05</v>
      </c>
      <c r="I18" t="s">
        <v>188</v>
      </c>
      <c r="J18">
        <f t="shared" si="7"/>
        <v>1</v>
      </c>
      <c r="K18">
        <f t="shared" si="8"/>
        <v>1</v>
      </c>
      <c r="L18">
        <f t="shared" si="0"/>
        <v>0</v>
      </c>
      <c r="M18">
        <f t="shared" si="9"/>
        <v>1</v>
      </c>
      <c r="N18">
        <f t="shared" si="1"/>
        <v>1</v>
      </c>
      <c r="O18">
        <f t="shared" si="2"/>
        <v>0</v>
      </c>
      <c r="P18">
        <f t="shared" si="3"/>
        <v>1</v>
      </c>
      <c r="Q18">
        <f t="shared" si="4"/>
        <v>1</v>
      </c>
      <c r="R18">
        <f t="shared" si="5"/>
        <v>6</v>
      </c>
      <c r="S18" t="s">
        <v>105</v>
      </c>
      <c r="T18">
        <f t="shared" si="6"/>
        <v>4</v>
      </c>
    </row>
    <row r="19" spans="1:20" x14ac:dyDescent="0.2">
      <c r="A19">
        <v>18</v>
      </c>
      <c r="B19">
        <v>500</v>
      </c>
      <c r="C19">
        <v>10</v>
      </c>
      <c r="D19">
        <v>0.1</v>
      </c>
      <c r="E19">
        <v>20</v>
      </c>
      <c r="F19">
        <v>100</v>
      </c>
      <c r="G19">
        <v>9</v>
      </c>
      <c r="H19">
        <v>0.1</v>
      </c>
      <c r="I19" t="s">
        <v>104</v>
      </c>
      <c r="J19">
        <f t="shared" si="7"/>
        <v>1</v>
      </c>
      <c r="K19">
        <f t="shared" si="8"/>
        <v>1</v>
      </c>
      <c r="L19">
        <f t="shared" si="0"/>
        <v>1</v>
      </c>
      <c r="M19">
        <f t="shared" si="9"/>
        <v>1</v>
      </c>
      <c r="N19">
        <f t="shared" si="1"/>
        <v>1</v>
      </c>
      <c r="O19">
        <f t="shared" si="2"/>
        <v>0</v>
      </c>
      <c r="P19">
        <f t="shared" si="3"/>
        <v>0</v>
      </c>
      <c r="Q19">
        <f t="shared" si="4"/>
        <v>1</v>
      </c>
      <c r="R19">
        <f t="shared" si="5"/>
        <v>6</v>
      </c>
      <c r="S19" t="s">
        <v>105</v>
      </c>
      <c r="T19">
        <f t="shared" si="6"/>
        <v>5</v>
      </c>
    </row>
    <row r="20" spans="1:20" x14ac:dyDescent="0.2">
      <c r="A20">
        <v>19</v>
      </c>
      <c r="B20">
        <v>525</v>
      </c>
      <c r="C20">
        <v>10</v>
      </c>
      <c r="D20" s="3">
        <v>0.1</v>
      </c>
      <c r="E20" s="3">
        <v>0.2</v>
      </c>
      <c r="F20">
        <v>100</v>
      </c>
      <c r="G20" s="3">
        <v>0.1</v>
      </c>
      <c r="H20">
        <v>0.1</v>
      </c>
      <c r="I20">
        <v>100</v>
      </c>
      <c r="J20">
        <f t="shared" si="7"/>
        <v>0</v>
      </c>
      <c r="K20">
        <f t="shared" si="8"/>
        <v>1</v>
      </c>
      <c r="L20">
        <f t="shared" si="0"/>
        <v>1</v>
      </c>
      <c r="M20">
        <f t="shared" si="9"/>
        <v>1</v>
      </c>
      <c r="N20">
        <f t="shared" si="1"/>
        <v>1</v>
      </c>
      <c r="O20">
        <f t="shared" si="2"/>
        <v>0</v>
      </c>
      <c r="P20">
        <f t="shared" si="3"/>
        <v>0</v>
      </c>
      <c r="Q20">
        <f t="shared" si="4"/>
        <v>0</v>
      </c>
      <c r="R20">
        <f t="shared" si="5"/>
        <v>4</v>
      </c>
      <c r="S20" t="s">
        <v>97</v>
      </c>
      <c r="T20">
        <f t="shared" si="6"/>
        <v>4</v>
      </c>
    </row>
    <row r="21" spans="1:20" x14ac:dyDescent="0.2">
      <c r="A21">
        <v>20</v>
      </c>
      <c r="B21">
        <v>500</v>
      </c>
      <c r="C21">
        <v>10</v>
      </c>
      <c r="D21">
        <v>0.1</v>
      </c>
      <c r="E21">
        <v>20</v>
      </c>
      <c r="F21">
        <v>100</v>
      </c>
      <c r="G21" s="3">
        <v>0.5</v>
      </c>
      <c r="H21" s="5">
        <v>0.05</v>
      </c>
      <c r="I21" t="s">
        <v>104</v>
      </c>
      <c r="J21">
        <f t="shared" si="7"/>
        <v>1</v>
      </c>
      <c r="K21">
        <f t="shared" si="8"/>
        <v>1</v>
      </c>
      <c r="L21">
        <f t="shared" si="0"/>
        <v>1</v>
      </c>
      <c r="M21">
        <f t="shared" si="9"/>
        <v>1</v>
      </c>
      <c r="N21">
        <f t="shared" si="1"/>
        <v>1</v>
      </c>
      <c r="O21">
        <f t="shared" si="2"/>
        <v>1</v>
      </c>
      <c r="P21">
        <f t="shared" si="3"/>
        <v>1</v>
      </c>
      <c r="Q21">
        <f t="shared" si="4"/>
        <v>1</v>
      </c>
      <c r="R21">
        <f t="shared" si="5"/>
        <v>8</v>
      </c>
      <c r="S21" t="s">
        <v>125</v>
      </c>
      <c r="T21">
        <f t="shared" si="6"/>
        <v>6</v>
      </c>
    </row>
    <row r="22" spans="1:20" x14ac:dyDescent="0.2">
      <c r="A22">
        <v>21</v>
      </c>
      <c r="B22">
        <v>500</v>
      </c>
      <c r="C22">
        <v>10</v>
      </c>
      <c r="D22">
        <v>0.1</v>
      </c>
      <c r="E22">
        <v>20</v>
      </c>
      <c r="F22">
        <v>100</v>
      </c>
      <c r="G22">
        <v>18</v>
      </c>
      <c r="H22">
        <v>10</v>
      </c>
      <c r="I22">
        <v>5</v>
      </c>
      <c r="J22">
        <f t="shared" si="7"/>
        <v>1</v>
      </c>
      <c r="K22">
        <f t="shared" si="8"/>
        <v>1</v>
      </c>
      <c r="L22">
        <f t="shared" si="0"/>
        <v>1</v>
      </c>
      <c r="M22">
        <f t="shared" si="9"/>
        <v>1</v>
      </c>
      <c r="N22">
        <f t="shared" si="1"/>
        <v>1</v>
      </c>
      <c r="O22">
        <f t="shared" si="2"/>
        <v>0</v>
      </c>
      <c r="P22">
        <f t="shared" si="3"/>
        <v>0</v>
      </c>
      <c r="Q22">
        <f t="shared" si="4"/>
        <v>1</v>
      </c>
      <c r="R22">
        <f t="shared" si="5"/>
        <v>6</v>
      </c>
      <c r="S22" t="s">
        <v>125</v>
      </c>
      <c r="T22">
        <f t="shared" si="6"/>
        <v>5</v>
      </c>
    </row>
    <row r="23" spans="1:20" x14ac:dyDescent="0.2">
      <c r="A23">
        <v>22</v>
      </c>
      <c r="B23">
        <v>500</v>
      </c>
      <c r="C23">
        <v>10</v>
      </c>
      <c r="D23">
        <v>0.01</v>
      </c>
      <c r="E23">
        <v>20</v>
      </c>
      <c r="F23">
        <v>100</v>
      </c>
      <c r="G23">
        <v>10</v>
      </c>
      <c r="H23">
        <v>0.05</v>
      </c>
      <c r="I23">
        <v>5</v>
      </c>
      <c r="J23">
        <f t="shared" si="7"/>
        <v>1</v>
      </c>
      <c r="K23">
        <f t="shared" si="8"/>
        <v>1</v>
      </c>
      <c r="L23">
        <f t="shared" si="0"/>
        <v>0</v>
      </c>
      <c r="M23">
        <f t="shared" si="9"/>
        <v>1</v>
      </c>
      <c r="N23">
        <f t="shared" si="1"/>
        <v>1</v>
      </c>
      <c r="O23">
        <f t="shared" si="2"/>
        <v>0</v>
      </c>
      <c r="P23">
        <f t="shared" si="3"/>
        <v>1</v>
      </c>
      <c r="Q23">
        <f t="shared" si="4"/>
        <v>1</v>
      </c>
      <c r="R23">
        <f t="shared" si="5"/>
        <v>6</v>
      </c>
      <c r="S23" t="s">
        <v>97</v>
      </c>
      <c r="T23">
        <f t="shared" si="6"/>
        <v>4</v>
      </c>
    </row>
    <row r="24" spans="1:20" x14ac:dyDescent="0.2">
      <c r="A24">
        <v>23</v>
      </c>
      <c r="B24">
        <v>500</v>
      </c>
      <c r="C24">
        <v>10</v>
      </c>
      <c r="D24">
        <v>0.1</v>
      </c>
      <c r="E24">
        <v>20</v>
      </c>
      <c r="F24">
        <v>100</v>
      </c>
      <c r="G24">
        <v>90</v>
      </c>
      <c r="H24">
        <v>5</v>
      </c>
      <c r="I24">
        <v>5</v>
      </c>
      <c r="J24">
        <f t="shared" si="7"/>
        <v>1</v>
      </c>
      <c r="K24">
        <f t="shared" si="8"/>
        <v>1</v>
      </c>
      <c r="L24">
        <f t="shared" si="0"/>
        <v>1</v>
      </c>
      <c r="M24">
        <f t="shared" si="9"/>
        <v>1</v>
      </c>
      <c r="N24">
        <f t="shared" si="1"/>
        <v>1</v>
      </c>
      <c r="O24">
        <f t="shared" si="2"/>
        <v>0</v>
      </c>
      <c r="P24">
        <f t="shared" si="3"/>
        <v>0</v>
      </c>
      <c r="Q24">
        <f t="shared" si="4"/>
        <v>1</v>
      </c>
      <c r="R24">
        <f t="shared" si="5"/>
        <v>6</v>
      </c>
      <c r="S24" t="s">
        <v>105</v>
      </c>
      <c r="T24">
        <f t="shared" si="6"/>
        <v>5</v>
      </c>
    </row>
    <row r="25" spans="1:20" x14ac:dyDescent="0.2">
      <c r="A25">
        <v>24</v>
      </c>
      <c r="B25">
        <v>500</v>
      </c>
      <c r="C25">
        <v>10</v>
      </c>
      <c r="D25">
        <v>1</v>
      </c>
      <c r="E25">
        <v>20</v>
      </c>
      <c r="F25">
        <v>100</v>
      </c>
      <c r="G25" t="s">
        <v>217</v>
      </c>
      <c r="H25">
        <v>0.1</v>
      </c>
      <c r="I25">
        <v>100</v>
      </c>
      <c r="J25">
        <f t="shared" si="7"/>
        <v>1</v>
      </c>
      <c r="K25">
        <f t="shared" si="8"/>
        <v>1</v>
      </c>
      <c r="L25">
        <f t="shared" si="0"/>
        <v>0</v>
      </c>
      <c r="M25">
        <f t="shared" si="9"/>
        <v>1</v>
      </c>
      <c r="N25">
        <f t="shared" si="1"/>
        <v>1</v>
      </c>
      <c r="O25">
        <f t="shared" si="2"/>
        <v>0</v>
      </c>
      <c r="P25">
        <f t="shared" si="3"/>
        <v>0</v>
      </c>
      <c r="Q25">
        <f t="shared" si="4"/>
        <v>0</v>
      </c>
      <c r="R25">
        <f t="shared" si="5"/>
        <v>4</v>
      </c>
      <c r="S25" t="s">
        <v>105</v>
      </c>
      <c r="T25">
        <f t="shared" si="6"/>
        <v>4</v>
      </c>
    </row>
    <row r="26" spans="1:20" x14ac:dyDescent="0.2">
      <c r="A26">
        <v>25</v>
      </c>
      <c r="B26">
        <v>500</v>
      </c>
      <c r="C26">
        <v>10</v>
      </c>
      <c r="D26" s="4">
        <v>1E-3</v>
      </c>
      <c r="E26">
        <v>20</v>
      </c>
      <c r="F26">
        <v>100</v>
      </c>
      <c r="G26">
        <v>50</v>
      </c>
      <c r="H26">
        <v>0.05</v>
      </c>
      <c r="I26">
        <v>5</v>
      </c>
      <c r="J26">
        <f t="shared" si="7"/>
        <v>1</v>
      </c>
      <c r="K26">
        <f t="shared" si="8"/>
        <v>1</v>
      </c>
      <c r="L26">
        <f t="shared" si="0"/>
        <v>1</v>
      </c>
      <c r="M26">
        <f t="shared" si="9"/>
        <v>1</v>
      </c>
      <c r="N26">
        <f t="shared" si="1"/>
        <v>1</v>
      </c>
      <c r="O26">
        <f t="shared" si="2"/>
        <v>1</v>
      </c>
      <c r="P26">
        <f t="shared" si="3"/>
        <v>1</v>
      </c>
      <c r="Q26">
        <f t="shared" si="4"/>
        <v>1</v>
      </c>
      <c r="R26">
        <f t="shared" si="5"/>
        <v>8</v>
      </c>
      <c r="S26" t="s">
        <v>97</v>
      </c>
      <c r="T26">
        <f t="shared" si="6"/>
        <v>6</v>
      </c>
    </row>
    <row r="27" spans="1:20" x14ac:dyDescent="0.2">
      <c r="A27">
        <v>26</v>
      </c>
      <c r="B27">
        <v>500</v>
      </c>
      <c r="C27">
        <v>2</v>
      </c>
      <c r="D27">
        <v>1</v>
      </c>
      <c r="E27">
        <v>20</v>
      </c>
      <c r="F27">
        <v>10</v>
      </c>
      <c r="G27">
        <v>99</v>
      </c>
      <c r="H27">
        <v>0.1</v>
      </c>
      <c r="I27">
        <v>100</v>
      </c>
      <c r="J27">
        <f t="shared" si="7"/>
        <v>1</v>
      </c>
      <c r="K27">
        <f t="shared" si="8"/>
        <v>0</v>
      </c>
      <c r="L27">
        <f t="shared" si="0"/>
        <v>0</v>
      </c>
      <c r="M27">
        <f t="shared" si="9"/>
        <v>1</v>
      </c>
      <c r="N27">
        <f t="shared" si="1"/>
        <v>0</v>
      </c>
      <c r="O27">
        <f t="shared" si="2"/>
        <v>0</v>
      </c>
      <c r="P27">
        <f t="shared" si="3"/>
        <v>0</v>
      </c>
      <c r="Q27">
        <f t="shared" si="4"/>
        <v>0</v>
      </c>
      <c r="R27">
        <f t="shared" si="5"/>
        <v>2</v>
      </c>
      <c r="S27" t="s">
        <v>125</v>
      </c>
      <c r="T27">
        <f t="shared" si="6"/>
        <v>2</v>
      </c>
    </row>
    <row r="28" spans="1:20" x14ac:dyDescent="0.2">
      <c r="A28">
        <v>27</v>
      </c>
      <c r="B28">
        <v>500</v>
      </c>
      <c r="C28">
        <v>10</v>
      </c>
      <c r="D28">
        <v>0.1</v>
      </c>
      <c r="E28">
        <v>20</v>
      </c>
      <c r="F28">
        <v>100</v>
      </c>
      <c r="G28" t="s">
        <v>230</v>
      </c>
      <c r="H28" t="s">
        <v>231</v>
      </c>
      <c r="I28" t="s">
        <v>232</v>
      </c>
      <c r="J28">
        <f t="shared" si="7"/>
        <v>1</v>
      </c>
      <c r="K28">
        <f t="shared" si="8"/>
        <v>1</v>
      </c>
      <c r="L28">
        <f t="shared" si="0"/>
        <v>1</v>
      </c>
      <c r="M28">
        <f t="shared" si="9"/>
        <v>1</v>
      </c>
      <c r="N28">
        <f t="shared" si="1"/>
        <v>1</v>
      </c>
      <c r="O28">
        <f t="shared" si="2"/>
        <v>0</v>
      </c>
      <c r="P28">
        <v>1</v>
      </c>
      <c r="Q28">
        <f t="shared" si="4"/>
        <v>0</v>
      </c>
      <c r="R28">
        <f t="shared" si="5"/>
        <v>6</v>
      </c>
      <c r="S28" t="s">
        <v>111</v>
      </c>
      <c r="T28">
        <f t="shared" si="6"/>
        <v>5</v>
      </c>
    </row>
    <row r="29" spans="1:20" x14ac:dyDescent="0.2">
      <c r="A29">
        <v>28</v>
      </c>
      <c r="B29">
        <v>500</v>
      </c>
      <c r="C29">
        <v>10</v>
      </c>
      <c r="D29">
        <v>0.1</v>
      </c>
      <c r="E29">
        <v>20</v>
      </c>
      <c r="F29">
        <v>100</v>
      </c>
      <c r="G29" t="s">
        <v>237</v>
      </c>
      <c r="H29">
        <v>0.05</v>
      </c>
      <c r="I29">
        <v>5</v>
      </c>
      <c r="J29">
        <f t="shared" si="7"/>
        <v>1</v>
      </c>
      <c r="K29">
        <f t="shared" si="8"/>
        <v>1</v>
      </c>
      <c r="L29">
        <f t="shared" si="0"/>
        <v>1</v>
      </c>
      <c r="M29">
        <f t="shared" si="9"/>
        <v>1</v>
      </c>
      <c r="N29">
        <f t="shared" si="1"/>
        <v>1</v>
      </c>
      <c r="O29">
        <f t="shared" si="2"/>
        <v>0</v>
      </c>
      <c r="P29">
        <f t="shared" si="3"/>
        <v>1</v>
      </c>
      <c r="Q29">
        <f t="shared" si="4"/>
        <v>1</v>
      </c>
      <c r="R29">
        <f t="shared" si="5"/>
        <v>7</v>
      </c>
      <c r="S29" t="s">
        <v>111</v>
      </c>
      <c r="T29">
        <f t="shared" si="6"/>
        <v>5</v>
      </c>
    </row>
    <row r="30" spans="1:20" x14ac:dyDescent="0.2">
      <c r="A30">
        <v>29</v>
      </c>
      <c r="B30">
        <v>500</v>
      </c>
      <c r="C30">
        <v>10</v>
      </c>
      <c r="D30">
        <v>0.1</v>
      </c>
      <c r="E30">
        <v>20</v>
      </c>
      <c r="F30">
        <v>100</v>
      </c>
      <c r="G30">
        <v>50</v>
      </c>
      <c r="H30">
        <v>0.05</v>
      </c>
      <c r="I30" t="s">
        <v>104</v>
      </c>
      <c r="J30">
        <f t="shared" si="7"/>
        <v>1</v>
      </c>
      <c r="K30">
        <f t="shared" si="8"/>
        <v>1</v>
      </c>
      <c r="L30">
        <f t="shared" si="0"/>
        <v>1</v>
      </c>
      <c r="M30">
        <f t="shared" si="9"/>
        <v>1</v>
      </c>
      <c r="N30">
        <f t="shared" si="1"/>
        <v>1</v>
      </c>
      <c r="O30">
        <f t="shared" si="2"/>
        <v>1</v>
      </c>
      <c r="P30">
        <f t="shared" si="3"/>
        <v>1</v>
      </c>
      <c r="Q30">
        <f t="shared" si="4"/>
        <v>1</v>
      </c>
      <c r="R30">
        <f t="shared" si="5"/>
        <v>8</v>
      </c>
      <c r="S30" t="s">
        <v>111</v>
      </c>
      <c r="T30">
        <f t="shared" si="6"/>
        <v>6</v>
      </c>
    </row>
    <row r="31" spans="1:20" ht="85" x14ac:dyDescent="0.2">
      <c r="A31">
        <v>30</v>
      </c>
      <c r="B31">
        <v>500</v>
      </c>
      <c r="C31">
        <v>10</v>
      </c>
      <c r="D31" t="s">
        <v>246</v>
      </c>
      <c r="E31">
        <v>20</v>
      </c>
      <c r="F31">
        <v>100</v>
      </c>
      <c r="G31" s="1" t="s">
        <v>247</v>
      </c>
      <c r="H31" t="s">
        <v>123</v>
      </c>
      <c r="I31" t="s">
        <v>136</v>
      </c>
      <c r="J31">
        <f t="shared" si="7"/>
        <v>1</v>
      </c>
      <c r="K31">
        <f t="shared" si="8"/>
        <v>1</v>
      </c>
      <c r="L31">
        <f t="shared" si="0"/>
        <v>0</v>
      </c>
      <c r="M31">
        <f t="shared" si="9"/>
        <v>1</v>
      </c>
      <c r="N31">
        <f t="shared" si="1"/>
        <v>1</v>
      </c>
      <c r="O31">
        <f t="shared" si="2"/>
        <v>0</v>
      </c>
      <c r="P31">
        <f t="shared" si="3"/>
        <v>0</v>
      </c>
      <c r="Q31">
        <v>1</v>
      </c>
      <c r="R31">
        <f t="shared" si="5"/>
        <v>5</v>
      </c>
      <c r="S31" t="s">
        <v>125</v>
      </c>
      <c r="T31">
        <f t="shared" si="6"/>
        <v>4</v>
      </c>
    </row>
    <row r="32" spans="1:20" x14ac:dyDescent="0.2">
      <c r="A32">
        <v>31</v>
      </c>
      <c r="B32">
        <v>500</v>
      </c>
      <c r="C32">
        <v>10</v>
      </c>
      <c r="D32" s="4">
        <v>1E-3</v>
      </c>
      <c r="E32">
        <v>20</v>
      </c>
      <c r="F32">
        <v>100</v>
      </c>
      <c r="G32" s="3">
        <v>0.18</v>
      </c>
      <c r="H32">
        <v>1.05</v>
      </c>
      <c r="I32" t="s">
        <v>252</v>
      </c>
      <c r="J32">
        <f t="shared" si="7"/>
        <v>1</v>
      </c>
      <c r="K32">
        <f t="shared" si="8"/>
        <v>1</v>
      </c>
      <c r="L32">
        <f t="shared" si="0"/>
        <v>1</v>
      </c>
      <c r="M32">
        <f t="shared" si="9"/>
        <v>1</v>
      </c>
      <c r="N32">
        <f t="shared" si="1"/>
        <v>1</v>
      </c>
      <c r="O32">
        <f t="shared" si="2"/>
        <v>0</v>
      </c>
      <c r="P32">
        <f t="shared" si="3"/>
        <v>0</v>
      </c>
      <c r="Q32">
        <f t="shared" si="4"/>
        <v>0</v>
      </c>
      <c r="R32">
        <f t="shared" si="5"/>
        <v>5</v>
      </c>
      <c r="S32" t="s">
        <v>97</v>
      </c>
      <c r="T32">
        <f t="shared" si="6"/>
        <v>5</v>
      </c>
    </row>
    <row r="33" spans="1:20" x14ac:dyDescent="0.2">
      <c r="A33">
        <v>32</v>
      </c>
      <c r="B33">
        <v>500</v>
      </c>
      <c r="C33">
        <v>10</v>
      </c>
      <c r="D33" s="4">
        <v>1E-3</v>
      </c>
      <c r="E33">
        <v>20</v>
      </c>
      <c r="F33">
        <v>100</v>
      </c>
      <c r="G33">
        <v>90</v>
      </c>
      <c r="H33" s="5">
        <v>0.05</v>
      </c>
      <c r="I33" t="s">
        <v>252</v>
      </c>
      <c r="J33">
        <f t="shared" si="7"/>
        <v>1</v>
      </c>
      <c r="K33">
        <f t="shared" si="8"/>
        <v>1</v>
      </c>
      <c r="L33">
        <f t="shared" si="0"/>
        <v>1</v>
      </c>
      <c r="M33">
        <f t="shared" si="9"/>
        <v>1</v>
      </c>
      <c r="N33">
        <f t="shared" si="1"/>
        <v>1</v>
      </c>
      <c r="O33">
        <f t="shared" si="2"/>
        <v>0</v>
      </c>
      <c r="P33">
        <f t="shared" si="3"/>
        <v>1</v>
      </c>
      <c r="Q33">
        <f t="shared" si="4"/>
        <v>0</v>
      </c>
      <c r="R33">
        <f t="shared" si="5"/>
        <v>6</v>
      </c>
      <c r="S33" t="s">
        <v>97</v>
      </c>
      <c r="T33">
        <f t="shared" si="6"/>
        <v>5</v>
      </c>
    </row>
    <row r="34" spans="1:20" x14ac:dyDescent="0.2">
      <c r="A34">
        <v>33</v>
      </c>
      <c r="B34">
        <v>500</v>
      </c>
      <c r="C34">
        <v>10</v>
      </c>
      <c r="D34" s="4">
        <v>1E-3</v>
      </c>
      <c r="E34" s="3">
        <v>0.2</v>
      </c>
      <c r="F34">
        <v>100</v>
      </c>
      <c r="G34" s="3">
        <v>0.5</v>
      </c>
      <c r="H34">
        <v>0.05</v>
      </c>
      <c r="I34" t="s">
        <v>104</v>
      </c>
      <c r="J34">
        <f t="shared" si="7"/>
        <v>1</v>
      </c>
      <c r="K34">
        <f t="shared" si="8"/>
        <v>1</v>
      </c>
      <c r="L34">
        <f t="shared" si="0"/>
        <v>1</v>
      </c>
      <c r="M34">
        <f t="shared" si="9"/>
        <v>1</v>
      </c>
      <c r="N34">
        <f t="shared" si="1"/>
        <v>1</v>
      </c>
      <c r="O34">
        <f t="shared" si="2"/>
        <v>1</v>
      </c>
      <c r="P34">
        <f t="shared" si="3"/>
        <v>1</v>
      </c>
      <c r="Q34">
        <f t="shared" si="4"/>
        <v>1</v>
      </c>
      <c r="R34">
        <f t="shared" si="5"/>
        <v>8</v>
      </c>
      <c r="S34" t="s">
        <v>111</v>
      </c>
      <c r="T34">
        <f t="shared" si="6"/>
        <v>6</v>
      </c>
    </row>
    <row r="35" spans="1:20" x14ac:dyDescent="0.2">
      <c r="A35">
        <v>34</v>
      </c>
      <c r="B35">
        <v>300</v>
      </c>
      <c r="C35">
        <v>10</v>
      </c>
      <c r="D35">
        <v>1</v>
      </c>
      <c r="E35">
        <v>20</v>
      </c>
      <c r="F35">
        <v>100</v>
      </c>
      <c r="G35" t="s">
        <v>265</v>
      </c>
      <c r="H35">
        <v>0.1</v>
      </c>
      <c r="I35" t="s">
        <v>266</v>
      </c>
      <c r="J35">
        <f t="shared" si="7"/>
        <v>0</v>
      </c>
      <c r="K35">
        <f t="shared" si="8"/>
        <v>1</v>
      </c>
      <c r="L35">
        <f t="shared" si="0"/>
        <v>0</v>
      </c>
      <c r="M35">
        <f t="shared" si="9"/>
        <v>1</v>
      </c>
      <c r="N35">
        <f t="shared" si="1"/>
        <v>1</v>
      </c>
      <c r="O35">
        <f t="shared" si="2"/>
        <v>0</v>
      </c>
      <c r="P35">
        <f t="shared" si="3"/>
        <v>0</v>
      </c>
      <c r="Q35">
        <f t="shared" si="4"/>
        <v>0</v>
      </c>
      <c r="R35">
        <f t="shared" si="5"/>
        <v>3</v>
      </c>
      <c r="S35" t="s">
        <v>97</v>
      </c>
      <c r="T35">
        <f t="shared" si="6"/>
        <v>3</v>
      </c>
    </row>
    <row r="36" spans="1:20" x14ac:dyDescent="0.2">
      <c r="A36">
        <v>35</v>
      </c>
      <c r="B36">
        <v>500</v>
      </c>
      <c r="C36">
        <v>10</v>
      </c>
      <c r="D36">
        <v>0.1</v>
      </c>
      <c r="E36">
        <v>20</v>
      </c>
      <c r="F36">
        <v>100</v>
      </c>
      <c r="G36">
        <v>90</v>
      </c>
      <c r="H36">
        <v>0.1</v>
      </c>
      <c r="I36">
        <v>100</v>
      </c>
      <c r="J36">
        <f t="shared" si="7"/>
        <v>1</v>
      </c>
      <c r="K36">
        <f t="shared" si="8"/>
        <v>1</v>
      </c>
      <c r="L36">
        <f t="shared" si="0"/>
        <v>1</v>
      </c>
      <c r="M36">
        <f t="shared" si="9"/>
        <v>1</v>
      </c>
      <c r="N36">
        <f t="shared" si="1"/>
        <v>1</v>
      </c>
      <c r="O36">
        <f t="shared" si="2"/>
        <v>0</v>
      </c>
      <c r="P36">
        <f t="shared" si="3"/>
        <v>0</v>
      </c>
      <c r="Q36">
        <f t="shared" si="4"/>
        <v>0</v>
      </c>
      <c r="R36">
        <f t="shared" si="5"/>
        <v>5</v>
      </c>
      <c r="S36" t="s">
        <v>97</v>
      </c>
      <c r="T36">
        <f t="shared" si="6"/>
        <v>5</v>
      </c>
    </row>
    <row r="37" spans="1:20" x14ac:dyDescent="0.2">
      <c r="A37">
        <v>36</v>
      </c>
      <c r="B37" s="3">
        <v>0.5</v>
      </c>
      <c r="C37">
        <v>10</v>
      </c>
      <c r="D37" s="4">
        <v>1E-3</v>
      </c>
      <c r="E37" s="3">
        <v>0.2</v>
      </c>
      <c r="F37">
        <v>100</v>
      </c>
      <c r="G37" s="3">
        <v>0.1</v>
      </c>
      <c r="H37" s="5">
        <v>0.05</v>
      </c>
      <c r="I37" t="s">
        <v>266</v>
      </c>
      <c r="J37">
        <v>1</v>
      </c>
      <c r="K37">
        <f t="shared" si="8"/>
        <v>1</v>
      </c>
      <c r="L37">
        <f t="shared" si="0"/>
        <v>1</v>
      </c>
      <c r="M37">
        <f t="shared" si="9"/>
        <v>1</v>
      </c>
      <c r="N37">
        <f t="shared" si="1"/>
        <v>1</v>
      </c>
      <c r="O37">
        <f t="shared" si="2"/>
        <v>0</v>
      </c>
      <c r="P37">
        <f t="shared" si="3"/>
        <v>1</v>
      </c>
      <c r="Q37">
        <f t="shared" si="4"/>
        <v>0</v>
      </c>
      <c r="R37">
        <f t="shared" si="5"/>
        <v>6</v>
      </c>
      <c r="S37" t="s">
        <v>125</v>
      </c>
      <c r="T37">
        <f t="shared" si="6"/>
        <v>5</v>
      </c>
    </row>
    <row r="38" spans="1:20" x14ac:dyDescent="0.2">
      <c r="A38">
        <v>37</v>
      </c>
      <c r="B38">
        <v>500</v>
      </c>
      <c r="C38">
        <v>10</v>
      </c>
      <c r="D38">
        <v>1E-3</v>
      </c>
      <c r="E38">
        <v>20</v>
      </c>
      <c r="F38">
        <v>100</v>
      </c>
      <c r="G38" s="3">
        <v>0.5</v>
      </c>
      <c r="H38">
        <v>0.05</v>
      </c>
      <c r="I38" t="s">
        <v>104</v>
      </c>
      <c r="J38">
        <f t="shared" si="7"/>
        <v>1</v>
      </c>
      <c r="K38">
        <f t="shared" si="8"/>
        <v>1</v>
      </c>
      <c r="L38">
        <f t="shared" si="0"/>
        <v>1</v>
      </c>
      <c r="M38">
        <f t="shared" si="9"/>
        <v>1</v>
      </c>
      <c r="N38">
        <f t="shared" si="1"/>
        <v>1</v>
      </c>
      <c r="O38">
        <f t="shared" si="2"/>
        <v>1</v>
      </c>
      <c r="P38">
        <f t="shared" si="3"/>
        <v>1</v>
      </c>
      <c r="Q38">
        <f t="shared" si="4"/>
        <v>1</v>
      </c>
      <c r="R38">
        <f t="shared" si="5"/>
        <v>8</v>
      </c>
      <c r="S38" t="s">
        <v>105</v>
      </c>
      <c r="T38">
        <f t="shared" si="6"/>
        <v>6</v>
      </c>
    </row>
    <row r="39" spans="1:20" x14ac:dyDescent="0.2">
      <c r="A39">
        <v>38</v>
      </c>
      <c r="B39">
        <v>500</v>
      </c>
      <c r="C39">
        <v>10</v>
      </c>
      <c r="D39" s="4">
        <v>1E-3</v>
      </c>
      <c r="E39">
        <v>20</v>
      </c>
      <c r="F39">
        <v>1</v>
      </c>
      <c r="G39" s="3">
        <v>0.1</v>
      </c>
      <c r="H39" s="5">
        <v>0.1</v>
      </c>
      <c r="I39" t="s">
        <v>104</v>
      </c>
      <c r="J39">
        <f t="shared" si="7"/>
        <v>1</v>
      </c>
      <c r="K39">
        <f t="shared" si="8"/>
        <v>1</v>
      </c>
      <c r="L39">
        <f t="shared" si="0"/>
        <v>1</v>
      </c>
      <c r="M39">
        <f t="shared" si="9"/>
        <v>1</v>
      </c>
      <c r="N39">
        <f t="shared" si="1"/>
        <v>0</v>
      </c>
      <c r="O39">
        <f t="shared" si="2"/>
        <v>0</v>
      </c>
      <c r="P39">
        <f t="shared" si="3"/>
        <v>0</v>
      </c>
      <c r="Q39">
        <f t="shared" si="4"/>
        <v>1</v>
      </c>
      <c r="R39">
        <f t="shared" si="5"/>
        <v>5</v>
      </c>
      <c r="S39" t="s">
        <v>97</v>
      </c>
      <c r="T39">
        <f t="shared" si="6"/>
        <v>4</v>
      </c>
    </row>
    <row r="40" spans="1:20" x14ac:dyDescent="0.2">
      <c r="A40">
        <v>39</v>
      </c>
      <c r="B40">
        <v>500</v>
      </c>
      <c r="C40">
        <v>10</v>
      </c>
      <c r="D40" s="4">
        <v>1E-3</v>
      </c>
      <c r="E40">
        <v>20</v>
      </c>
      <c r="F40">
        <v>100</v>
      </c>
      <c r="G40" t="s">
        <v>288</v>
      </c>
      <c r="H40">
        <v>0.05</v>
      </c>
      <c r="I40">
        <v>100</v>
      </c>
      <c r="J40">
        <f t="shared" si="7"/>
        <v>1</v>
      </c>
      <c r="K40">
        <f t="shared" si="8"/>
        <v>1</v>
      </c>
      <c r="L40">
        <f t="shared" si="0"/>
        <v>1</v>
      </c>
      <c r="M40">
        <f t="shared" si="9"/>
        <v>1</v>
      </c>
      <c r="N40">
        <f t="shared" si="1"/>
        <v>1</v>
      </c>
      <c r="O40">
        <f t="shared" si="2"/>
        <v>0</v>
      </c>
      <c r="P40">
        <f t="shared" si="3"/>
        <v>1</v>
      </c>
      <c r="Q40">
        <f t="shared" si="4"/>
        <v>0</v>
      </c>
      <c r="R40">
        <f t="shared" si="5"/>
        <v>6</v>
      </c>
      <c r="S40" t="s">
        <v>125</v>
      </c>
      <c r="T40">
        <f t="shared" si="6"/>
        <v>5</v>
      </c>
    </row>
    <row r="41" spans="1:20" x14ac:dyDescent="0.2">
      <c r="A41">
        <v>40</v>
      </c>
      <c r="B41">
        <v>500</v>
      </c>
      <c r="C41">
        <v>10</v>
      </c>
      <c r="D41" s="4">
        <v>1E-3</v>
      </c>
      <c r="E41">
        <v>20</v>
      </c>
      <c r="F41">
        <v>100</v>
      </c>
      <c r="G41" s="3">
        <v>0.5</v>
      </c>
      <c r="H41">
        <v>0.05</v>
      </c>
      <c r="I41" t="s">
        <v>104</v>
      </c>
      <c r="J41">
        <f t="shared" si="7"/>
        <v>1</v>
      </c>
      <c r="K41">
        <f t="shared" si="8"/>
        <v>1</v>
      </c>
      <c r="L41">
        <f t="shared" si="0"/>
        <v>1</v>
      </c>
      <c r="M41">
        <f t="shared" si="9"/>
        <v>1</v>
      </c>
      <c r="N41">
        <f t="shared" si="1"/>
        <v>1</v>
      </c>
      <c r="O41">
        <f t="shared" si="2"/>
        <v>1</v>
      </c>
      <c r="P41">
        <f t="shared" si="3"/>
        <v>1</v>
      </c>
      <c r="Q41">
        <f t="shared" si="4"/>
        <v>1</v>
      </c>
      <c r="R41">
        <f t="shared" si="5"/>
        <v>8</v>
      </c>
      <c r="S41" t="s">
        <v>105</v>
      </c>
      <c r="T41">
        <f t="shared" si="6"/>
        <v>6</v>
      </c>
    </row>
    <row r="42" spans="1:20" x14ac:dyDescent="0.2">
      <c r="A42">
        <v>41</v>
      </c>
      <c r="B42">
        <v>500</v>
      </c>
      <c r="C42">
        <v>10</v>
      </c>
      <c r="D42" s="3">
        <v>0.01</v>
      </c>
      <c r="E42">
        <v>20</v>
      </c>
      <c r="F42">
        <v>100</v>
      </c>
      <c r="G42" s="3">
        <v>0.9</v>
      </c>
      <c r="H42" t="s">
        <v>297</v>
      </c>
      <c r="I42" t="s">
        <v>252</v>
      </c>
      <c r="J42">
        <f t="shared" si="7"/>
        <v>1</v>
      </c>
      <c r="K42">
        <f t="shared" si="8"/>
        <v>1</v>
      </c>
      <c r="L42">
        <f t="shared" si="0"/>
        <v>0</v>
      </c>
      <c r="M42">
        <f t="shared" si="9"/>
        <v>1</v>
      </c>
      <c r="N42">
        <f t="shared" si="1"/>
        <v>1</v>
      </c>
      <c r="O42">
        <f t="shared" si="2"/>
        <v>0</v>
      </c>
      <c r="P42">
        <f t="shared" si="3"/>
        <v>0</v>
      </c>
      <c r="Q42">
        <f t="shared" si="4"/>
        <v>0</v>
      </c>
      <c r="R42">
        <f t="shared" si="5"/>
        <v>4</v>
      </c>
      <c r="S42" t="s">
        <v>97</v>
      </c>
      <c r="T42">
        <f t="shared" si="6"/>
        <v>4</v>
      </c>
    </row>
    <row r="43" spans="1:20" x14ac:dyDescent="0.2">
      <c r="A43">
        <v>42</v>
      </c>
      <c r="B43">
        <v>500</v>
      </c>
      <c r="C43">
        <v>10</v>
      </c>
      <c r="D43" s="4">
        <v>1E-3</v>
      </c>
      <c r="E43" s="3">
        <v>0.2</v>
      </c>
      <c r="F43">
        <v>100</v>
      </c>
      <c r="G43" s="3">
        <v>0.5</v>
      </c>
      <c r="H43" s="5">
        <v>0.1</v>
      </c>
      <c r="I43" t="s">
        <v>266</v>
      </c>
      <c r="J43">
        <f t="shared" si="7"/>
        <v>1</v>
      </c>
      <c r="K43">
        <f t="shared" si="8"/>
        <v>1</v>
      </c>
      <c r="L43">
        <f t="shared" si="0"/>
        <v>1</v>
      </c>
      <c r="M43">
        <f t="shared" si="9"/>
        <v>1</v>
      </c>
      <c r="N43">
        <f t="shared" si="1"/>
        <v>1</v>
      </c>
      <c r="O43">
        <f t="shared" si="2"/>
        <v>1</v>
      </c>
      <c r="P43">
        <f t="shared" si="3"/>
        <v>0</v>
      </c>
      <c r="Q43">
        <f t="shared" si="4"/>
        <v>0</v>
      </c>
      <c r="R43">
        <f t="shared" si="5"/>
        <v>6</v>
      </c>
      <c r="S43" t="s">
        <v>111</v>
      </c>
      <c r="T43">
        <f t="shared" si="6"/>
        <v>6</v>
      </c>
    </row>
    <row r="44" spans="1:20" x14ac:dyDescent="0.2">
      <c r="A44">
        <v>43</v>
      </c>
      <c r="B44">
        <v>500</v>
      </c>
      <c r="C44">
        <v>10</v>
      </c>
      <c r="D44" s="4">
        <v>1E-3</v>
      </c>
      <c r="E44">
        <v>20</v>
      </c>
      <c r="F44">
        <v>100</v>
      </c>
      <c r="G44" s="3">
        <v>0.9</v>
      </c>
      <c r="H44">
        <v>0.1</v>
      </c>
      <c r="I44">
        <v>1000</v>
      </c>
      <c r="J44">
        <f t="shared" si="7"/>
        <v>1</v>
      </c>
      <c r="K44">
        <f t="shared" si="8"/>
        <v>1</v>
      </c>
      <c r="L44">
        <f t="shared" si="0"/>
        <v>1</v>
      </c>
      <c r="M44">
        <f t="shared" si="9"/>
        <v>1</v>
      </c>
      <c r="N44">
        <f t="shared" si="1"/>
        <v>1</v>
      </c>
      <c r="O44">
        <f t="shared" si="2"/>
        <v>0</v>
      </c>
      <c r="P44">
        <f t="shared" si="3"/>
        <v>0</v>
      </c>
      <c r="Q44">
        <f t="shared" si="4"/>
        <v>0</v>
      </c>
      <c r="R44">
        <f t="shared" si="5"/>
        <v>5</v>
      </c>
      <c r="S44" t="s">
        <v>97</v>
      </c>
      <c r="T44">
        <f t="shared" si="6"/>
        <v>5</v>
      </c>
    </row>
    <row r="45" spans="1:20" x14ac:dyDescent="0.2">
      <c r="A45">
        <v>44</v>
      </c>
      <c r="B45">
        <v>500</v>
      </c>
      <c r="C45">
        <v>10</v>
      </c>
      <c r="D45" s="4">
        <v>1E-3</v>
      </c>
      <c r="E45">
        <v>20</v>
      </c>
      <c r="F45">
        <v>100</v>
      </c>
      <c r="G45" s="3">
        <v>0.52</v>
      </c>
      <c r="H45">
        <v>0.05</v>
      </c>
      <c r="I45" t="s">
        <v>104</v>
      </c>
      <c r="J45">
        <f t="shared" si="7"/>
        <v>1</v>
      </c>
      <c r="K45">
        <f t="shared" si="8"/>
        <v>1</v>
      </c>
      <c r="L45">
        <f t="shared" si="0"/>
        <v>1</v>
      </c>
      <c r="M45">
        <f t="shared" si="9"/>
        <v>1</v>
      </c>
      <c r="N45">
        <f t="shared" si="1"/>
        <v>1</v>
      </c>
      <c r="O45">
        <f t="shared" si="2"/>
        <v>0</v>
      </c>
      <c r="P45">
        <f t="shared" si="3"/>
        <v>1</v>
      </c>
      <c r="Q45">
        <f t="shared" si="4"/>
        <v>1</v>
      </c>
      <c r="R45">
        <f t="shared" si="5"/>
        <v>7</v>
      </c>
      <c r="S45" t="s">
        <v>111</v>
      </c>
      <c r="T45">
        <f t="shared" si="6"/>
        <v>5</v>
      </c>
    </row>
    <row r="46" spans="1:20" x14ac:dyDescent="0.2">
      <c r="A46">
        <v>45</v>
      </c>
      <c r="B46">
        <v>500</v>
      </c>
      <c r="C46">
        <v>10</v>
      </c>
      <c r="D46" s="4">
        <v>1E-3</v>
      </c>
      <c r="E46" s="3">
        <v>0.2</v>
      </c>
      <c r="F46">
        <v>100</v>
      </c>
      <c r="G46" s="3">
        <v>0.5</v>
      </c>
      <c r="H46" s="5">
        <v>0.05</v>
      </c>
      <c r="I46" t="s">
        <v>104</v>
      </c>
      <c r="J46">
        <f t="shared" si="7"/>
        <v>1</v>
      </c>
      <c r="K46">
        <f t="shared" si="8"/>
        <v>1</v>
      </c>
      <c r="L46">
        <f t="shared" si="0"/>
        <v>1</v>
      </c>
      <c r="M46">
        <f t="shared" si="9"/>
        <v>1</v>
      </c>
      <c r="N46">
        <f t="shared" si="1"/>
        <v>1</v>
      </c>
      <c r="O46">
        <f t="shared" si="2"/>
        <v>1</v>
      </c>
      <c r="P46">
        <f t="shared" si="3"/>
        <v>1</v>
      </c>
      <c r="Q46">
        <f t="shared" si="4"/>
        <v>1</v>
      </c>
      <c r="R46">
        <f t="shared" si="5"/>
        <v>8</v>
      </c>
      <c r="S46" t="s">
        <v>105</v>
      </c>
      <c r="T46">
        <f t="shared" si="6"/>
        <v>6</v>
      </c>
    </row>
    <row r="47" spans="1:20" x14ac:dyDescent="0.2">
      <c r="A47">
        <v>46</v>
      </c>
      <c r="B47">
        <v>500</v>
      </c>
      <c r="C47">
        <v>10</v>
      </c>
      <c r="D47" s="3">
        <v>0.01</v>
      </c>
      <c r="E47">
        <v>20</v>
      </c>
      <c r="F47">
        <v>100</v>
      </c>
      <c r="G47" s="3">
        <v>0.09</v>
      </c>
      <c r="H47">
        <v>0.1</v>
      </c>
      <c r="I47" t="s">
        <v>104</v>
      </c>
      <c r="J47">
        <f t="shared" si="7"/>
        <v>1</v>
      </c>
      <c r="K47">
        <f t="shared" si="8"/>
        <v>1</v>
      </c>
      <c r="L47">
        <f t="shared" si="0"/>
        <v>0</v>
      </c>
      <c r="M47">
        <f t="shared" si="9"/>
        <v>1</v>
      </c>
      <c r="N47">
        <f t="shared" si="1"/>
        <v>1</v>
      </c>
      <c r="O47">
        <f t="shared" si="2"/>
        <v>0</v>
      </c>
      <c r="P47">
        <f t="shared" si="3"/>
        <v>0</v>
      </c>
      <c r="Q47">
        <f t="shared" si="4"/>
        <v>1</v>
      </c>
      <c r="R47">
        <f t="shared" si="5"/>
        <v>5</v>
      </c>
      <c r="S47" t="s">
        <v>111</v>
      </c>
      <c r="T47">
        <f t="shared" si="6"/>
        <v>4</v>
      </c>
    </row>
    <row r="48" spans="1:20" x14ac:dyDescent="0.2">
      <c r="A48">
        <v>47</v>
      </c>
      <c r="B48">
        <v>500</v>
      </c>
      <c r="C48">
        <v>10</v>
      </c>
      <c r="D48">
        <v>0.1</v>
      </c>
      <c r="E48">
        <v>20</v>
      </c>
      <c r="F48">
        <v>100</v>
      </c>
      <c r="G48" s="3">
        <v>0.18</v>
      </c>
      <c r="H48">
        <v>1.05</v>
      </c>
      <c r="I48" t="s">
        <v>104</v>
      </c>
      <c r="J48">
        <f t="shared" si="7"/>
        <v>1</v>
      </c>
      <c r="K48">
        <f t="shared" si="8"/>
        <v>1</v>
      </c>
      <c r="L48">
        <f t="shared" si="0"/>
        <v>1</v>
      </c>
      <c r="M48">
        <f t="shared" si="9"/>
        <v>1</v>
      </c>
      <c r="N48">
        <f t="shared" si="1"/>
        <v>1</v>
      </c>
      <c r="O48">
        <f t="shared" si="2"/>
        <v>0</v>
      </c>
      <c r="P48">
        <f t="shared" si="3"/>
        <v>0</v>
      </c>
      <c r="Q48">
        <f t="shared" si="4"/>
        <v>1</v>
      </c>
      <c r="R48">
        <f t="shared" si="5"/>
        <v>6</v>
      </c>
      <c r="S48" t="s">
        <v>111</v>
      </c>
      <c r="T48">
        <f t="shared" si="6"/>
        <v>5</v>
      </c>
    </row>
    <row r="49" spans="1:20" x14ac:dyDescent="0.2">
      <c r="A49">
        <v>48</v>
      </c>
      <c r="B49">
        <v>500</v>
      </c>
      <c r="C49">
        <v>10</v>
      </c>
      <c r="D49">
        <v>1</v>
      </c>
      <c r="E49">
        <v>20</v>
      </c>
      <c r="F49">
        <v>100</v>
      </c>
      <c r="G49">
        <v>10</v>
      </c>
      <c r="H49">
        <v>0.1</v>
      </c>
      <c r="I49">
        <v>5</v>
      </c>
      <c r="J49">
        <f t="shared" si="7"/>
        <v>1</v>
      </c>
      <c r="K49">
        <f t="shared" si="8"/>
        <v>1</v>
      </c>
      <c r="L49">
        <f t="shared" si="0"/>
        <v>0</v>
      </c>
      <c r="M49">
        <f t="shared" si="9"/>
        <v>1</v>
      </c>
      <c r="N49">
        <f t="shared" si="1"/>
        <v>1</v>
      </c>
      <c r="O49">
        <f t="shared" si="2"/>
        <v>0</v>
      </c>
      <c r="P49">
        <f t="shared" si="3"/>
        <v>0</v>
      </c>
      <c r="Q49">
        <f t="shared" si="4"/>
        <v>1</v>
      </c>
      <c r="R49">
        <f t="shared" si="5"/>
        <v>5</v>
      </c>
      <c r="S49" t="s">
        <v>97</v>
      </c>
      <c r="T49">
        <f t="shared" si="6"/>
        <v>4</v>
      </c>
    </row>
    <row r="50" spans="1:20" x14ac:dyDescent="0.2">
      <c r="A50">
        <v>49</v>
      </c>
      <c r="B50">
        <v>500</v>
      </c>
      <c r="C50">
        <v>10</v>
      </c>
      <c r="D50">
        <v>0.1</v>
      </c>
      <c r="E50">
        <v>20</v>
      </c>
      <c r="F50">
        <v>100</v>
      </c>
      <c r="G50" s="3">
        <v>0.9</v>
      </c>
      <c r="H50">
        <v>0.05</v>
      </c>
      <c r="I50" t="s">
        <v>330</v>
      </c>
      <c r="J50">
        <f t="shared" si="7"/>
        <v>1</v>
      </c>
      <c r="K50">
        <f t="shared" si="8"/>
        <v>1</v>
      </c>
      <c r="L50">
        <f t="shared" si="0"/>
        <v>1</v>
      </c>
      <c r="M50">
        <f t="shared" si="9"/>
        <v>1</v>
      </c>
      <c r="N50">
        <f t="shared" si="1"/>
        <v>1</v>
      </c>
      <c r="O50">
        <f t="shared" si="2"/>
        <v>0</v>
      </c>
      <c r="P50">
        <f t="shared" si="3"/>
        <v>1</v>
      </c>
      <c r="Q50">
        <v>1</v>
      </c>
      <c r="R50">
        <f t="shared" si="5"/>
        <v>7</v>
      </c>
      <c r="S50" t="s">
        <v>97</v>
      </c>
      <c r="T50">
        <f t="shared" si="6"/>
        <v>5</v>
      </c>
    </row>
    <row r="51" spans="1:20" x14ac:dyDescent="0.2">
      <c r="A51">
        <v>50</v>
      </c>
      <c r="B51">
        <v>500</v>
      </c>
      <c r="C51">
        <v>100</v>
      </c>
      <c r="D51">
        <v>0.1</v>
      </c>
      <c r="E51">
        <v>20</v>
      </c>
      <c r="F51">
        <v>100</v>
      </c>
      <c r="G51" s="7">
        <v>44928</v>
      </c>
      <c r="H51">
        <v>0.05</v>
      </c>
      <c r="I51">
        <v>5</v>
      </c>
      <c r="J51">
        <f t="shared" si="7"/>
        <v>1</v>
      </c>
      <c r="K51">
        <f t="shared" si="8"/>
        <v>0</v>
      </c>
      <c r="L51">
        <f t="shared" si="0"/>
        <v>1</v>
      </c>
      <c r="M51">
        <f t="shared" si="9"/>
        <v>1</v>
      </c>
      <c r="N51">
        <f t="shared" si="1"/>
        <v>1</v>
      </c>
      <c r="O51">
        <v>1</v>
      </c>
      <c r="P51">
        <f t="shared" si="3"/>
        <v>1</v>
      </c>
      <c r="Q51">
        <f t="shared" si="4"/>
        <v>1</v>
      </c>
      <c r="R51">
        <f t="shared" si="5"/>
        <v>7</v>
      </c>
      <c r="S51" t="s">
        <v>125</v>
      </c>
      <c r="T51">
        <f t="shared" si="6"/>
        <v>5</v>
      </c>
    </row>
    <row r="52" spans="1:20" x14ac:dyDescent="0.2">
      <c r="A52">
        <v>51</v>
      </c>
      <c r="B52">
        <v>500</v>
      </c>
      <c r="C52">
        <v>10</v>
      </c>
      <c r="D52" s="4">
        <v>1E-3</v>
      </c>
      <c r="E52">
        <v>20</v>
      </c>
      <c r="F52">
        <v>100</v>
      </c>
      <c r="G52" s="3">
        <v>0.5</v>
      </c>
      <c r="H52">
        <v>0.05</v>
      </c>
      <c r="I52" t="s">
        <v>104</v>
      </c>
      <c r="J52">
        <f t="shared" si="7"/>
        <v>1</v>
      </c>
      <c r="K52">
        <f t="shared" si="8"/>
        <v>1</v>
      </c>
      <c r="L52">
        <f t="shared" si="0"/>
        <v>1</v>
      </c>
      <c r="M52">
        <f t="shared" si="9"/>
        <v>1</v>
      </c>
      <c r="N52">
        <f t="shared" si="1"/>
        <v>1</v>
      </c>
      <c r="O52">
        <f t="shared" si="2"/>
        <v>1</v>
      </c>
      <c r="P52">
        <f t="shared" si="3"/>
        <v>1</v>
      </c>
      <c r="Q52">
        <f t="shared" si="4"/>
        <v>1</v>
      </c>
      <c r="R52">
        <f t="shared" si="5"/>
        <v>8</v>
      </c>
      <c r="S52" t="s">
        <v>111</v>
      </c>
      <c r="T52">
        <f t="shared" si="6"/>
        <v>6</v>
      </c>
    </row>
    <row r="53" spans="1:20" x14ac:dyDescent="0.2">
      <c r="A53">
        <v>52</v>
      </c>
      <c r="B53">
        <v>40</v>
      </c>
      <c r="C53">
        <v>10</v>
      </c>
      <c r="D53" s="3">
        <v>0.01</v>
      </c>
      <c r="E53">
        <v>20</v>
      </c>
      <c r="F53">
        <v>100</v>
      </c>
      <c r="G53" s="3">
        <v>0.1</v>
      </c>
      <c r="H53">
        <v>0.1</v>
      </c>
      <c r="I53" t="s">
        <v>330</v>
      </c>
      <c r="J53">
        <f t="shared" si="7"/>
        <v>0</v>
      </c>
      <c r="K53">
        <f t="shared" si="8"/>
        <v>1</v>
      </c>
      <c r="L53">
        <f t="shared" si="0"/>
        <v>0</v>
      </c>
      <c r="M53">
        <f t="shared" si="9"/>
        <v>1</v>
      </c>
      <c r="N53">
        <f t="shared" si="1"/>
        <v>1</v>
      </c>
      <c r="O53">
        <f t="shared" si="2"/>
        <v>0</v>
      </c>
      <c r="P53">
        <f t="shared" si="3"/>
        <v>0</v>
      </c>
      <c r="Q53">
        <v>1</v>
      </c>
      <c r="R53">
        <f t="shared" si="5"/>
        <v>4</v>
      </c>
      <c r="S53" t="s">
        <v>105</v>
      </c>
      <c r="T53">
        <f t="shared" si="6"/>
        <v>3</v>
      </c>
    </row>
    <row r="54" spans="1:20" x14ac:dyDescent="0.2">
      <c r="A54">
        <v>53</v>
      </c>
      <c r="B54">
        <v>500</v>
      </c>
      <c r="C54">
        <v>1</v>
      </c>
      <c r="D54">
        <v>0.1</v>
      </c>
      <c r="E54">
        <v>20</v>
      </c>
      <c r="F54">
        <v>200</v>
      </c>
      <c r="G54">
        <v>10</v>
      </c>
      <c r="H54">
        <v>0.1</v>
      </c>
      <c r="I54">
        <v>100</v>
      </c>
      <c r="J54">
        <f t="shared" si="7"/>
        <v>1</v>
      </c>
      <c r="K54">
        <f t="shared" si="8"/>
        <v>0</v>
      </c>
      <c r="L54">
        <f t="shared" si="0"/>
        <v>1</v>
      </c>
      <c r="M54">
        <f t="shared" si="9"/>
        <v>1</v>
      </c>
      <c r="N54">
        <f t="shared" si="1"/>
        <v>0</v>
      </c>
      <c r="O54">
        <f t="shared" si="2"/>
        <v>0</v>
      </c>
      <c r="P54">
        <f t="shared" si="3"/>
        <v>0</v>
      </c>
      <c r="Q54">
        <f t="shared" si="4"/>
        <v>0</v>
      </c>
      <c r="R54">
        <f t="shared" si="5"/>
        <v>3</v>
      </c>
      <c r="S54" t="s">
        <v>111</v>
      </c>
      <c r="T54">
        <f t="shared" si="6"/>
        <v>3</v>
      </c>
    </row>
    <row r="55" spans="1:20" x14ac:dyDescent="0.2">
      <c r="A55">
        <v>54</v>
      </c>
      <c r="B55">
        <v>500</v>
      </c>
      <c r="C55">
        <v>0</v>
      </c>
      <c r="D55">
        <v>0.01</v>
      </c>
      <c r="E55">
        <v>20</v>
      </c>
      <c r="F55">
        <v>100</v>
      </c>
      <c r="G55" t="s">
        <v>351</v>
      </c>
      <c r="H55">
        <v>0.1</v>
      </c>
      <c r="I55">
        <v>5</v>
      </c>
      <c r="J55">
        <f t="shared" si="7"/>
        <v>1</v>
      </c>
      <c r="K55">
        <f t="shared" si="8"/>
        <v>0</v>
      </c>
      <c r="L55">
        <f t="shared" si="0"/>
        <v>0</v>
      </c>
      <c r="M55">
        <f t="shared" si="9"/>
        <v>1</v>
      </c>
      <c r="N55">
        <f t="shared" si="1"/>
        <v>1</v>
      </c>
      <c r="O55">
        <f t="shared" si="2"/>
        <v>0</v>
      </c>
      <c r="P55">
        <f t="shared" si="3"/>
        <v>0</v>
      </c>
      <c r="Q55">
        <f t="shared" si="4"/>
        <v>1</v>
      </c>
      <c r="R55">
        <f t="shared" si="5"/>
        <v>4</v>
      </c>
      <c r="S55" t="s">
        <v>111</v>
      </c>
      <c r="T55">
        <f t="shared" si="6"/>
        <v>3</v>
      </c>
    </row>
    <row r="56" spans="1:20" x14ac:dyDescent="0.2">
      <c r="A56">
        <v>55</v>
      </c>
      <c r="B56">
        <v>500</v>
      </c>
      <c r="C56">
        <v>10</v>
      </c>
      <c r="D56">
        <v>0.1</v>
      </c>
      <c r="E56">
        <v>20</v>
      </c>
      <c r="F56">
        <v>100</v>
      </c>
      <c r="G56" s="3">
        <v>0.5</v>
      </c>
      <c r="H56" s="5">
        <v>0.05</v>
      </c>
      <c r="I56" t="s">
        <v>104</v>
      </c>
      <c r="J56">
        <f t="shared" si="7"/>
        <v>1</v>
      </c>
      <c r="K56">
        <f t="shared" si="8"/>
        <v>1</v>
      </c>
      <c r="L56">
        <f t="shared" si="0"/>
        <v>1</v>
      </c>
      <c r="M56">
        <f t="shared" si="9"/>
        <v>1</v>
      </c>
      <c r="N56">
        <f t="shared" si="1"/>
        <v>1</v>
      </c>
      <c r="O56">
        <f t="shared" si="2"/>
        <v>1</v>
      </c>
      <c r="P56">
        <f t="shared" si="3"/>
        <v>1</v>
      </c>
      <c r="Q56">
        <f t="shared" si="4"/>
        <v>1</v>
      </c>
      <c r="R56">
        <f t="shared" si="5"/>
        <v>8</v>
      </c>
      <c r="S56" t="s">
        <v>105</v>
      </c>
      <c r="T56">
        <f t="shared" si="6"/>
        <v>6</v>
      </c>
    </row>
    <row r="57" spans="1:20" x14ac:dyDescent="0.2">
      <c r="A57">
        <v>56</v>
      </c>
      <c r="B57">
        <v>500</v>
      </c>
      <c r="C57">
        <v>10</v>
      </c>
      <c r="D57">
        <v>1E-3</v>
      </c>
      <c r="E57">
        <v>20</v>
      </c>
      <c r="F57">
        <v>100</v>
      </c>
      <c r="G57" s="3">
        <v>0.5</v>
      </c>
      <c r="H57" t="s">
        <v>297</v>
      </c>
      <c r="I57" t="s">
        <v>266</v>
      </c>
      <c r="J57">
        <f t="shared" si="7"/>
        <v>1</v>
      </c>
      <c r="K57">
        <f t="shared" si="8"/>
        <v>1</v>
      </c>
      <c r="L57">
        <f t="shared" si="0"/>
        <v>1</v>
      </c>
      <c r="M57">
        <f t="shared" si="9"/>
        <v>1</v>
      </c>
      <c r="N57">
        <f t="shared" si="1"/>
        <v>1</v>
      </c>
      <c r="O57">
        <f t="shared" si="2"/>
        <v>1</v>
      </c>
      <c r="P57">
        <f t="shared" si="3"/>
        <v>0</v>
      </c>
      <c r="Q57">
        <f t="shared" si="4"/>
        <v>0</v>
      </c>
      <c r="R57">
        <f t="shared" si="5"/>
        <v>6</v>
      </c>
      <c r="S57" t="s">
        <v>105</v>
      </c>
      <c r="T57">
        <f t="shared" si="6"/>
        <v>6</v>
      </c>
    </row>
    <row r="58" spans="1:20" x14ac:dyDescent="0.2">
      <c r="A58">
        <v>57</v>
      </c>
      <c r="B58">
        <v>500</v>
      </c>
      <c r="C58">
        <v>10</v>
      </c>
      <c r="D58">
        <v>0.1</v>
      </c>
      <c r="E58">
        <v>20</v>
      </c>
      <c r="F58">
        <v>100</v>
      </c>
      <c r="G58">
        <v>50</v>
      </c>
      <c r="H58">
        <v>0.05</v>
      </c>
      <c r="I58">
        <v>5</v>
      </c>
      <c r="J58">
        <f t="shared" si="7"/>
        <v>1</v>
      </c>
      <c r="K58">
        <f t="shared" si="8"/>
        <v>1</v>
      </c>
      <c r="L58">
        <f t="shared" si="0"/>
        <v>1</v>
      </c>
      <c r="M58">
        <f t="shared" si="9"/>
        <v>1</v>
      </c>
      <c r="N58">
        <f t="shared" si="1"/>
        <v>1</v>
      </c>
      <c r="O58">
        <f t="shared" si="2"/>
        <v>1</v>
      </c>
      <c r="P58">
        <f t="shared" si="3"/>
        <v>1</v>
      </c>
      <c r="Q58">
        <f t="shared" si="4"/>
        <v>1</v>
      </c>
      <c r="R58">
        <f t="shared" si="5"/>
        <v>8</v>
      </c>
      <c r="S58" t="s">
        <v>105</v>
      </c>
      <c r="T58">
        <f t="shared" si="6"/>
        <v>6</v>
      </c>
    </row>
    <row r="59" spans="1:20" x14ac:dyDescent="0.2">
      <c r="A59">
        <v>58</v>
      </c>
      <c r="B59">
        <v>500</v>
      </c>
      <c r="C59">
        <v>10</v>
      </c>
      <c r="D59">
        <v>0.1</v>
      </c>
      <c r="E59">
        <v>20</v>
      </c>
      <c r="F59">
        <v>10</v>
      </c>
      <c r="G59" s="3">
        <v>0.5</v>
      </c>
      <c r="H59">
        <v>1.05</v>
      </c>
      <c r="I59" t="s">
        <v>104</v>
      </c>
      <c r="J59">
        <f t="shared" si="7"/>
        <v>1</v>
      </c>
      <c r="K59">
        <f t="shared" si="8"/>
        <v>1</v>
      </c>
      <c r="L59">
        <f t="shared" si="0"/>
        <v>1</v>
      </c>
      <c r="M59">
        <f t="shared" si="9"/>
        <v>1</v>
      </c>
      <c r="N59">
        <f t="shared" si="1"/>
        <v>0</v>
      </c>
      <c r="O59">
        <f t="shared" si="2"/>
        <v>1</v>
      </c>
      <c r="P59">
        <f t="shared" si="3"/>
        <v>0</v>
      </c>
      <c r="Q59">
        <f t="shared" si="4"/>
        <v>1</v>
      </c>
      <c r="R59">
        <f t="shared" si="5"/>
        <v>6</v>
      </c>
      <c r="S59" t="s">
        <v>105</v>
      </c>
      <c r="T59">
        <f t="shared" si="6"/>
        <v>5</v>
      </c>
    </row>
    <row r="60" spans="1:20" x14ac:dyDescent="0.2">
      <c r="A60">
        <v>59</v>
      </c>
      <c r="B60">
        <v>500</v>
      </c>
      <c r="C60">
        <v>10</v>
      </c>
      <c r="D60">
        <v>0.01</v>
      </c>
      <c r="E60">
        <v>20</v>
      </c>
      <c r="F60">
        <v>10</v>
      </c>
      <c r="G60" s="3">
        <v>0.1</v>
      </c>
      <c r="H60">
        <v>1.05</v>
      </c>
      <c r="I60" t="s">
        <v>104</v>
      </c>
      <c r="J60">
        <f t="shared" si="7"/>
        <v>1</v>
      </c>
      <c r="K60">
        <f t="shared" si="8"/>
        <v>1</v>
      </c>
      <c r="L60">
        <f t="shared" si="0"/>
        <v>0</v>
      </c>
      <c r="M60">
        <f t="shared" si="9"/>
        <v>1</v>
      </c>
      <c r="N60">
        <f t="shared" si="1"/>
        <v>0</v>
      </c>
      <c r="O60">
        <f t="shared" si="2"/>
        <v>0</v>
      </c>
      <c r="P60">
        <f t="shared" si="3"/>
        <v>0</v>
      </c>
      <c r="Q60">
        <f t="shared" si="4"/>
        <v>1</v>
      </c>
      <c r="R60">
        <f t="shared" si="5"/>
        <v>4</v>
      </c>
      <c r="S60" t="s">
        <v>125</v>
      </c>
      <c r="T60">
        <f t="shared" si="6"/>
        <v>3</v>
      </c>
    </row>
    <row r="61" spans="1:20" x14ac:dyDescent="0.2">
      <c r="A61">
        <v>60</v>
      </c>
      <c r="B61">
        <v>500</v>
      </c>
      <c r="C61">
        <v>10</v>
      </c>
      <c r="D61">
        <v>0.1</v>
      </c>
      <c r="E61">
        <v>20</v>
      </c>
      <c r="F61">
        <v>100</v>
      </c>
      <c r="G61" s="4">
        <v>0.98799999999999999</v>
      </c>
      <c r="H61" t="s">
        <v>159</v>
      </c>
      <c r="I61" t="s">
        <v>104</v>
      </c>
      <c r="J61">
        <f t="shared" si="7"/>
        <v>1</v>
      </c>
      <c r="K61">
        <f t="shared" si="8"/>
        <v>1</v>
      </c>
      <c r="L61">
        <f t="shared" si="0"/>
        <v>1</v>
      </c>
      <c r="M61">
        <f t="shared" si="9"/>
        <v>1</v>
      </c>
      <c r="N61">
        <f t="shared" si="1"/>
        <v>1</v>
      </c>
      <c r="O61">
        <f t="shared" si="2"/>
        <v>0</v>
      </c>
      <c r="P61">
        <f t="shared" si="3"/>
        <v>1</v>
      </c>
      <c r="Q61">
        <f t="shared" si="4"/>
        <v>1</v>
      </c>
      <c r="R61">
        <f t="shared" si="5"/>
        <v>7</v>
      </c>
      <c r="S61" t="s">
        <v>105</v>
      </c>
      <c r="T61">
        <f t="shared" si="6"/>
        <v>5</v>
      </c>
    </row>
    <row r="62" spans="1:20" x14ac:dyDescent="0.2">
      <c r="A62">
        <v>61</v>
      </c>
      <c r="B62">
        <v>500</v>
      </c>
      <c r="C62">
        <v>10</v>
      </c>
      <c r="D62">
        <v>0.1</v>
      </c>
      <c r="E62">
        <v>20</v>
      </c>
      <c r="F62">
        <v>100</v>
      </c>
      <c r="G62" t="s">
        <v>380</v>
      </c>
      <c r="H62">
        <v>0.05</v>
      </c>
      <c r="I62">
        <v>5</v>
      </c>
      <c r="J62">
        <f t="shared" si="7"/>
        <v>1</v>
      </c>
      <c r="K62">
        <f t="shared" si="8"/>
        <v>1</v>
      </c>
      <c r="L62">
        <f t="shared" si="0"/>
        <v>1</v>
      </c>
      <c r="M62">
        <f t="shared" si="9"/>
        <v>1</v>
      </c>
      <c r="N62">
        <f t="shared" si="1"/>
        <v>1</v>
      </c>
      <c r="O62">
        <f t="shared" si="2"/>
        <v>0</v>
      </c>
      <c r="P62">
        <f t="shared" si="3"/>
        <v>1</v>
      </c>
      <c r="Q62">
        <f t="shared" si="4"/>
        <v>1</v>
      </c>
      <c r="R62">
        <f t="shared" si="5"/>
        <v>7</v>
      </c>
      <c r="S62" t="s">
        <v>97</v>
      </c>
      <c r="T62">
        <f t="shared" si="6"/>
        <v>5</v>
      </c>
    </row>
    <row r="63" spans="1:20" x14ac:dyDescent="0.2">
      <c r="A63">
        <v>62</v>
      </c>
      <c r="B63">
        <v>500</v>
      </c>
      <c r="C63">
        <v>10</v>
      </c>
      <c r="D63">
        <v>0.1</v>
      </c>
      <c r="E63">
        <v>20</v>
      </c>
      <c r="F63">
        <v>100</v>
      </c>
      <c r="G63" t="s">
        <v>385</v>
      </c>
      <c r="H63">
        <v>0.1</v>
      </c>
      <c r="I63" t="s">
        <v>104</v>
      </c>
      <c r="J63">
        <f t="shared" si="7"/>
        <v>1</v>
      </c>
      <c r="K63">
        <f t="shared" si="8"/>
        <v>1</v>
      </c>
      <c r="L63">
        <f t="shared" si="0"/>
        <v>1</v>
      </c>
      <c r="M63">
        <f t="shared" si="9"/>
        <v>1</v>
      </c>
      <c r="N63">
        <f t="shared" si="1"/>
        <v>1</v>
      </c>
      <c r="O63">
        <v>1</v>
      </c>
      <c r="P63">
        <f t="shared" si="3"/>
        <v>0</v>
      </c>
      <c r="Q63">
        <f t="shared" si="4"/>
        <v>1</v>
      </c>
      <c r="R63">
        <f t="shared" si="5"/>
        <v>7</v>
      </c>
      <c r="S63" t="s">
        <v>111</v>
      </c>
      <c r="T63">
        <f t="shared" si="6"/>
        <v>6</v>
      </c>
    </row>
    <row r="64" spans="1:20" x14ac:dyDescent="0.2">
      <c r="A64">
        <v>63</v>
      </c>
      <c r="B64">
        <v>500</v>
      </c>
      <c r="C64">
        <v>10</v>
      </c>
      <c r="D64">
        <v>0.1</v>
      </c>
      <c r="E64">
        <v>20</v>
      </c>
      <c r="F64">
        <v>100</v>
      </c>
      <c r="G64" s="3">
        <v>0.5</v>
      </c>
      <c r="H64">
        <v>0.05</v>
      </c>
      <c r="I64">
        <v>5</v>
      </c>
      <c r="J64">
        <f t="shared" si="7"/>
        <v>1</v>
      </c>
      <c r="K64">
        <f t="shared" si="8"/>
        <v>1</v>
      </c>
      <c r="L64">
        <f t="shared" si="0"/>
        <v>1</v>
      </c>
      <c r="M64">
        <f t="shared" si="9"/>
        <v>1</v>
      </c>
      <c r="N64">
        <f t="shared" si="1"/>
        <v>1</v>
      </c>
      <c r="O64">
        <f t="shared" si="2"/>
        <v>1</v>
      </c>
      <c r="P64">
        <f t="shared" si="3"/>
        <v>1</v>
      </c>
      <c r="Q64">
        <f t="shared" si="4"/>
        <v>1</v>
      </c>
      <c r="R64">
        <f t="shared" si="5"/>
        <v>8</v>
      </c>
      <c r="S64" t="s">
        <v>97</v>
      </c>
      <c r="T64">
        <f t="shared" si="6"/>
        <v>6</v>
      </c>
    </row>
    <row r="65" spans="1:20" x14ac:dyDescent="0.2">
      <c r="A65">
        <v>64</v>
      </c>
      <c r="B65">
        <v>50010</v>
      </c>
      <c r="C65">
        <v>10</v>
      </c>
      <c r="D65">
        <v>0.1</v>
      </c>
      <c r="E65">
        <v>20</v>
      </c>
      <c r="F65">
        <v>100</v>
      </c>
      <c r="G65">
        <v>9</v>
      </c>
      <c r="H65">
        <v>0.10100000000000001</v>
      </c>
      <c r="I65">
        <v>100</v>
      </c>
      <c r="J65">
        <f t="shared" si="7"/>
        <v>0</v>
      </c>
      <c r="K65">
        <f t="shared" si="8"/>
        <v>1</v>
      </c>
      <c r="L65">
        <f t="shared" si="0"/>
        <v>1</v>
      </c>
      <c r="M65">
        <f t="shared" si="9"/>
        <v>1</v>
      </c>
      <c r="N65">
        <f t="shared" si="1"/>
        <v>1</v>
      </c>
      <c r="O65">
        <f t="shared" si="2"/>
        <v>0</v>
      </c>
      <c r="P65">
        <f t="shared" si="3"/>
        <v>0</v>
      </c>
      <c r="Q65">
        <f t="shared" si="4"/>
        <v>0</v>
      </c>
      <c r="R65">
        <f t="shared" si="5"/>
        <v>4</v>
      </c>
      <c r="S65" t="s">
        <v>111</v>
      </c>
      <c r="T65">
        <f t="shared" si="6"/>
        <v>4</v>
      </c>
    </row>
    <row r="66" spans="1:20" x14ac:dyDescent="0.2">
      <c r="A66">
        <v>65</v>
      </c>
      <c r="B66">
        <v>500</v>
      </c>
      <c r="C66">
        <v>10</v>
      </c>
      <c r="D66">
        <v>0.1</v>
      </c>
      <c r="E66">
        <v>20</v>
      </c>
      <c r="F66">
        <v>10</v>
      </c>
      <c r="G66">
        <v>50</v>
      </c>
      <c r="H66">
        <v>0.05</v>
      </c>
      <c r="I66" t="s">
        <v>104</v>
      </c>
      <c r="J66">
        <f t="shared" si="7"/>
        <v>1</v>
      </c>
      <c r="K66">
        <f t="shared" si="8"/>
        <v>1</v>
      </c>
      <c r="L66">
        <f t="shared" si="0"/>
        <v>1</v>
      </c>
      <c r="M66">
        <f t="shared" si="9"/>
        <v>1</v>
      </c>
      <c r="N66">
        <f t="shared" si="1"/>
        <v>0</v>
      </c>
      <c r="O66">
        <f t="shared" si="2"/>
        <v>1</v>
      </c>
      <c r="P66">
        <f t="shared" si="3"/>
        <v>1</v>
      </c>
      <c r="Q66">
        <f t="shared" si="4"/>
        <v>1</v>
      </c>
      <c r="R66">
        <f t="shared" si="5"/>
        <v>7</v>
      </c>
      <c r="S66" t="s">
        <v>97</v>
      </c>
      <c r="T66">
        <f t="shared" si="6"/>
        <v>5</v>
      </c>
    </row>
    <row r="67" spans="1:20" x14ac:dyDescent="0.2">
      <c r="A67">
        <v>66</v>
      </c>
      <c r="B67">
        <v>521</v>
      </c>
      <c r="C67">
        <v>10</v>
      </c>
      <c r="D67">
        <v>1</v>
      </c>
      <c r="E67">
        <v>20</v>
      </c>
      <c r="F67">
        <v>100</v>
      </c>
      <c r="G67">
        <v>9</v>
      </c>
      <c r="H67">
        <v>0.1</v>
      </c>
      <c r="I67">
        <v>100</v>
      </c>
      <c r="J67">
        <f t="shared" ref="J67:J130" si="10">IF(B67=500,1,0)</f>
        <v>0</v>
      </c>
      <c r="K67">
        <f t="shared" ref="K67:K130" si="11">IF(C67=10,1,0)</f>
        <v>1</v>
      </c>
      <c r="L67">
        <f t="shared" ref="L67:L130" si="12">IF(OR(D67=0.1,D67=0.1%),1,0)</f>
        <v>0</v>
      </c>
      <c r="M67">
        <f t="shared" si="9"/>
        <v>1</v>
      </c>
      <c r="N67">
        <f t="shared" ref="N67:N130" si="13">IF(F67=100,1,0)</f>
        <v>1</v>
      </c>
      <c r="O67">
        <f t="shared" ref="O67:O130" si="14">IF(OR(G67=50,G67=50%),1,0)</f>
        <v>0</v>
      </c>
      <c r="P67">
        <f t="shared" ref="P67:P130" si="15">IF(OR(H67=0.05,H67="$0.05",H67="5 cents"),1,0)</f>
        <v>0</v>
      </c>
      <c r="Q67">
        <f t="shared" ref="Q67:Q130" si="16">IF(OR(I67=5,I67="5 minutes"),1,0)</f>
        <v>0</v>
      </c>
      <c r="R67">
        <f t="shared" ref="R67:R130" si="17">SUM(J67:Q67)</f>
        <v>3</v>
      </c>
      <c r="S67" t="s">
        <v>125</v>
      </c>
      <c r="T67">
        <f t="shared" ref="T67:T130" si="18">SUM(J67:O67)</f>
        <v>3</v>
      </c>
    </row>
    <row r="68" spans="1:20" x14ac:dyDescent="0.2">
      <c r="A68">
        <v>67</v>
      </c>
      <c r="B68">
        <v>500</v>
      </c>
      <c r="C68">
        <v>10</v>
      </c>
      <c r="D68">
        <v>1</v>
      </c>
      <c r="E68">
        <v>20</v>
      </c>
      <c r="F68">
        <v>100</v>
      </c>
      <c r="G68">
        <v>10</v>
      </c>
      <c r="H68">
        <v>0.05</v>
      </c>
      <c r="I68">
        <v>5</v>
      </c>
      <c r="J68">
        <f t="shared" si="10"/>
        <v>1</v>
      </c>
      <c r="K68">
        <f t="shared" si="11"/>
        <v>1</v>
      </c>
      <c r="L68">
        <f t="shared" si="12"/>
        <v>0</v>
      </c>
      <c r="M68">
        <f t="shared" ref="M68:M131" si="19">IF(OR(E68=20,E68=20%),1,0)</f>
        <v>1</v>
      </c>
      <c r="N68">
        <f t="shared" si="13"/>
        <v>1</v>
      </c>
      <c r="O68">
        <f t="shared" si="14"/>
        <v>0</v>
      </c>
      <c r="P68">
        <f t="shared" si="15"/>
        <v>1</v>
      </c>
      <c r="Q68">
        <f t="shared" si="16"/>
        <v>1</v>
      </c>
      <c r="R68">
        <f t="shared" si="17"/>
        <v>6</v>
      </c>
      <c r="S68" t="s">
        <v>105</v>
      </c>
      <c r="T68">
        <f t="shared" si="18"/>
        <v>4</v>
      </c>
    </row>
    <row r="69" spans="1:20" x14ac:dyDescent="0.2">
      <c r="A69">
        <v>68</v>
      </c>
      <c r="B69">
        <v>500</v>
      </c>
      <c r="C69">
        <v>10</v>
      </c>
      <c r="D69" s="4">
        <v>1E-3</v>
      </c>
      <c r="E69">
        <v>20</v>
      </c>
      <c r="F69">
        <v>100</v>
      </c>
      <c r="G69" s="3">
        <v>0.5</v>
      </c>
      <c r="H69" s="5">
        <v>0.05</v>
      </c>
      <c r="I69" t="s">
        <v>104</v>
      </c>
      <c r="J69">
        <f t="shared" si="10"/>
        <v>1</v>
      </c>
      <c r="K69">
        <f t="shared" si="11"/>
        <v>1</v>
      </c>
      <c r="L69">
        <f t="shared" si="12"/>
        <v>1</v>
      </c>
      <c r="M69">
        <f t="shared" si="19"/>
        <v>1</v>
      </c>
      <c r="N69">
        <f t="shared" si="13"/>
        <v>1</v>
      </c>
      <c r="O69">
        <f t="shared" si="14"/>
        <v>1</v>
      </c>
      <c r="P69">
        <f t="shared" si="15"/>
        <v>1</v>
      </c>
      <c r="Q69">
        <f t="shared" si="16"/>
        <v>1</v>
      </c>
      <c r="R69">
        <f t="shared" si="17"/>
        <v>8</v>
      </c>
      <c r="S69" t="s">
        <v>125</v>
      </c>
      <c r="T69">
        <f t="shared" si="18"/>
        <v>6</v>
      </c>
    </row>
    <row r="70" spans="1:20" x14ac:dyDescent="0.2">
      <c r="A70">
        <v>69</v>
      </c>
      <c r="B70" t="s">
        <v>415</v>
      </c>
      <c r="C70">
        <v>10</v>
      </c>
      <c r="D70">
        <v>1</v>
      </c>
      <c r="E70">
        <v>40</v>
      </c>
      <c r="F70">
        <v>100</v>
      </c>
      <c r="G70" t="s">
        <v>165</v>
      </c>
      <c r="H70">
        <v>0.08</v>
      </c>
      <c r="I70" t="s">
        <v>416</v>
      </c>
      <c r="J70">
        <f t="shared" si="10"/>
        <v>0</v>
      </c>
      <c r="K70">
        <f t="shared" si="11"/>
        <v>1</v>
      </c>
      <c r="L70">
        <f t="shared" si="12"/>
        <v>0</v>
      </c>
      <c r="M70">
        <f t="shared" si="19"/>
        <v>0</v>
      </c>
      <c r="N70">
        <f t="shared" si="13"/>
        <v>1</v>
      </c>
      <c r="O70">
        <f t="shared" si="14"/>
        <v>0</v>
      </c>
      <c r="P70">
        <f t="shared" si="15"/>
        <v>0</v>
      </c>
      <c r="Q70">
        <f t="shared" si="16"/>
        <v>0</v>
      </c>
      <c r="R70">
        <f t="shared" si="17"/>
        <v>2</v>
      </c>
      <c r="S70" t="s">
        <v>105</v>
      </c>
      <c r="T70">
        <f t="shared" si="18"/>
        <v>2</v>
      </c>
    </row>
    <row r="71" spans="1:20" x14ac:dyDescent="0.2">
      <c r="A71">
        <v>70</v>
      </c>
      <c r="B71">
        <v>500</v>
      </c>
      <c r="C71">
        <v>10</v>
      </c>
      <c r="D71">
        <v>1E-3</v>
      </c>
      <c r="E71">
        <v>20</v>
      </c>
      <c r="F71">
        <v>100</v>
      </c>
      <c r="G71" s="3">
        <v>0.09</v>
      </c>
      <c r="H71">
        <v>0.05</v>
      </c>
      <c r="I71" t="s">
        <v>104</v>
      </c>
      <c r="J71">
        <f t="shared" si="10"/>
        <v>1</v>
      </c>
      <c r="K71">
        <f t="shared" si="11"/>
        <v>1</v>
      </c>
      <c r="L71">
        <f t="shared" si="12"/>
        <v>1</v>
      </c>
      <c r="M71">
        <f t="shared" si="19"/>
        <v>1</v>
      </c>
      <c r="N71">
        <f t="shared" si="13"/>
        <v>1</v>
      </c>
      <c r="O71">
        <f t="shared" si="14"/>
        <v>0</v>
      </c>
      <c r="P71">
        <f t="shared" si="15"/>
        <v>1</v>
      </c>
      <c r="Q71">
        <f t="shared" si="16"/>
        <v>1</v>
      </c>
      <c r="R71">
        <f t="shared" si="17"/>
        <v>7</v>
      </c>
      <c r="S71" t="s">
        <v>125</v>
      </c>
      <c r="T71">
        <f t="shared" si="18"/>
        <v>5</v>
      </c>
    </row>
    <row r="72" spans="1:20" x14ac:dyDescent="0.2">
      <c r="A72">
        <v>71</v>
      </c>
      <c r="B72">
        <v>500</v>
      </c>
      <c r="C72">
        <v>10</v>
      </c>
      <c r="D72" s="4">
        <v>1E-3</v>
      </c>
      <c r="E72">
        <v>20</v>
      </c>
      <c r="F72">
        <v>100</v>
      </c>
      <c r="G72">
        <v>50</v>
      </c>
      <c r="H72" t="s">
        <v>425</v>
      </c>
      <c r="I72" t="s">
        <v>426</v>
      </c>
      <c r="J72">
        <f t="shared" si="10"/>
        <v>1</v>
      </c>
      <c r="K72">
        <f t="shared" si="11"/>
        <v>1</v>
      </c>
      <c r="L72">
        <f t="shared" si="12"/>
        <v>1</v>
      </c>
      <c r="M72">
        <f t="shared" si="19"/>
        <v>1</v>
      </c>
      <c r="N72">
        <f t="shared" si="13"/>
        <v>1</v>
      </c>
      <c r="O72">
        <f t="shared" si="14"/>
        <v>1</v>
      </c>
      <c r="P72">
        <f t="shared" si="15"/>
        <v>0</v>
      </c>
      <c r="Q72">
        <f t="shared" si="16"/>
        <v>0</v>
      </c>
      <c r="R72">
        <f t="shared" si="17"/>
        <v>6</v>
      </c>
      <c r="S72" t="s">
        <v>97</v>
      </c>
      <c r="T72">
        <f t="shared" si="18"/>
        <v>6</v>
      </c>
    </row>
    <row r="73" spans="1:20" x14ac:dyDescent="0.2">
      <c r="A73">
        <v>72</v>
      </c>
      <c r="B73">
        <v>500</v>
      </c>
      <c r="C73">
        <v>10</v>
      </c>
      <c r="D73" s="4">
        <v>1E-3</v>
      </c>
      <c r="E73">
        <v>20</v>
      </c>
      <c r="F73">
        <v>100</v>
      </c>
      <c r="G73" s="3">
        <v>0.5</v>
      </c>
      <c r="H73" s="5">
        <v>0.05</v>
      </c>
      <c r="I73" t="s">
        <v>104</v>
      </c>
      <c r="J73">
        <f t="shared" si="10"/>
        <v>1</v>
      </c>
      <c r="K73">
        <f t="shared" si="11"/>
        <v>1</v>
      </c>
      <c r="L73">
        <f t="shared" si="12"/>
        <v>1</v>
      </c>
      <c r="M73">
        <f t="shared" si="19"/>
        <v>1</v>
      </c>
      <c r="N73">
        <f t="shared" si="13"/>
        <v>1</v>
      </c>
      <c r="O73">
        <f t="shared" si="14"/>
        <v>1</v>
      </c>
      <c r="P73">
        <f t="shared" si="15"/>
        <v>1</v>
      </c>
      <c r="Q73">
        <f t="shared" si="16"/>
        <v>1</v>
      </c>
      <c r="R73">
        <f t="shared" si="17"/>
        <v>8</v>
      </c>
      <c r="S73" t="s">
        <v>125</v>
      </c>
      <c r="T73">
        <f t="shared" si="18"/>
        <v>6</v>
      </c>
    </row>
    <row r="74" spans="1:20" x14ac:dyDescent="0.2">
      <c r="A74">
        <v>73</v>
      </c>
      <c r="B74">
        <v>500</v>
      </c>
      <c r="C74">
        <v>10</v>
      </c>
      <c r="D74" s="4">
        <v>1E-3</v>
      </c>
      <c r="E74">
        <v>20</v>
      </c>
      <c r="F74">
        <v>100</v>
      </c>
      <c r="G74" s="3">
        <v>0.1</v>
      </c>
      <c r="H74" s="5">
        <v>0.05</v>
      </c>
      <c r="I74" t="s">
        <v>104</v>
      </c>
      <c r="J74">
        <f t="shared" si="10"/>
        <v>1</v>
      </c>
      <c r="K74">
        <f t="shared" si="11"/>
        <v>1</v>
      </c>
      <c r="L74">
        <f t="shared" si="12"/>
        <v>1</v>
      </c>
      <c r="M74">
        <f t="shared" si="19"/>
        <v>1</v>
      </c>
      <c r="N74">
        <f t="shared" si="13"/>
        <v>1</v>
      </c>
      <c r="O74">
        <f t="shared" si="14"/>
        <v>0</v>
      </c>
      <c r="P74">
        <f t="shared" si="15"/>
        <v>1</v>
      </c>
      <c r="Q74">
        <f t="shared" si="16"/>
        <v>1</v>
      </c>
      <c r="R74">
        <f t="shared" si="17"/>
        <v>7</v>
      </c>
      <c r="S74" t="s">
        <v>111</v>
      </c>
      <c r="T74">
        <f t="shared" si="18"/>
        <v>5</v>
      </c>
    </row>
    <row r="75" spans="1:20" x14ac:dyDescent="0.2">
      <c r="A75">
        <v>74</v>
      </c>
      <c r="B75">
        <v>500</v>
      </c>
      <c r="C75">
        <v>10</v>
      </c>
      <c r="D75" s="3">
        <v>0.1</v>
      </c>
      <c r="E75" s="3">
        <v>0.2</v>
      </c>
      <c r="F75">
        <v>100</v>
      </c>
      <c r="G75" t="s">
        <v>440</v>
      </c>
      <c r="H75">
        <v>0.05</v>
      </c>
      <c r="I75">
        <v>100</v>
      </c>
      <c r="J75">
        <f t="shared" si="10"/>
        <v>1</v>
      </c>
      <c r="K75">
        <f t="shared" si="11"/>
        <v>1</v>
      </c>
      <c r="L75">
        <f t="shared" si="12"/>
        <v>1</v>
      </c>
      <c r="M75">
        <f t="shared" si="19"/>
        <v>1</v>
      </c>
      <c r="N75">
        <f t="shared" si="13"/>
        <v>1</v>
      </c>
      <c r="O75">
        <f t="shared" si="14"/>
        <v>0</v>
      </c>
      <c r="P75">
        <f t="shared" si="15"/>
        <v>1</v>
      </c>
      <c r="Q75">
        <f t="shared" si="16"/>
        <v>0</v>
      </c>
      <c r="R75">
        <f t="shared" si="17"/>
        <v>6</v>
      </c>
      <c r="S75" t="s">
        <v>125</v>
      </c>
      <c r="T75">
        <f t="shared" si="18"/>
        <v>5</v>
      </c>
    </row>
    <row r="76" spans="1:20" x14ac:dyDescent="0.2">
      <c r="A76">
        <v>75</v>
      </c>
      <c r="B76">
        <v>500</v>
      </c>
      <c r="C76">
        <v>10</v>
      </c>
      <c r="D76">
        <v>0.1</v>
      </c>
      <c r="E76">
        <v>20</v>
      </c>
      <c r="F76">
        <v>100</v>
      </c>
      <c r="G76">
        <v>90</v>
      </c>
      <c r="H76">
        <v>0.05</v>
      </c>
      <c r="I76">
        <v>5</v>
      </c>
      <c r="J76">
        <f t="shared" si="10"/>
        <v>1</v>
      </c>
      <c r="K76">
        <f t="shared" si="11"/>
        <v>1</v>
      </c>
      <c r="L76">
        <f t="shared" si="12"/>
        <v>1</v>
      </c>
      <c r="M76">
        <f t="shared" si="19"/>
        <v>1</v>
      </c>
      <c r="N76">
        <f t="shared" si="13"/>
        <v>1</v>
      </c>
      <c r="O76">
        <f t="shared" si="14"/>
        <v>0</v>
      </c>
      <c r="P76">
        <f t="shared" si="15"/>
        <v>1</v>
      </c>
      <c r="Q76">
        <f t="shared" si="16"/>
        <v>1</v>
      </c>
      <c r="R76">
        <f t="shared" si="17"/>
        <v>7</v>
      </c>
      <c r="S76" t="s">
        <v>111</v>
      </c>
      <c r="T76">
        <f t="shared" si="18"/>
        <v>5</v>
      </c>
    </row>
    <row r="77" spans="1:20" x14ac:dyDescent="0.2">
      <c r="A77">
        <v>76</v>
      </c>
      <c r="B77">
        <v>500</v>
      </c>
      <c r="C77">
        <v>10</v>
      </c>
      <c r="D77" s="4">
        <v>1E-3</v>
      </c>
      <c r="E77">
        <v>20</v>
      </c>
      <c r="F77">
        <v>100</v>
      </c>
      <c r="G77" s="3">
        <v>0.9</v>
      </c>
      <c r="H77" s="5">
        <v>0.1</v>
      </c>
      <c r="I77" t="s">
        <v>104</v>
      </c>
      <c r="J77">
        <f t="shared" si="10"/>
        <v>1</v>
      </c>
      <c r="K77">
        <f t="shared" si="11"/>
        <v>1</v>
      </c>
      <c r="L77">
        <f t="shared" si="12"/>
        <v>1</v>
      </c>
      <c r="M77">
        <f t="shared" si="19"/>
        <v>1</v>
      </c>
      <c r="N77">
        <f t="shared" si="13"/>
        <v>1</v>
      </c>
      <c r="O77">
        <f t="shared" si="14"/>
        <v>0</v>
      </c>
      <c r="P77">
        <f t="shared" si="15"/>
        <v>0</v>
      </c>
      <c r="Q77">
        <f t="shared" si="16"/>
        <v>1</v>
      </c>
      <c r="R77">
        <f t="shared" si="17"/>
        <v>6</v>
      </c>
      <c r="S77" t="s">
        <v>125</v>
      </c>
      <c r="T77">
        <f t="shared" si="18"/>
        <v>5</v>
      </c>
    </row>
    <row r="78" spans="1:20" x14ac:dyDescent="0.2">
      <c r="A78">
        <v>77</v>
      </c>
      <c r="B78">
        <v>600</v>
      </c>
      <c r="C78">
        <v>10</v>
      </c>
      <c r="D78">
        <v>1</v>
      </c>
      <c r="E78">
        <v>20</v>
      </c>
      <c r="F78">
        <v>100</v>
      </c>
      <c r="G78" s="3">
        <v>0.9</v>
      </c>
      <c r="H78">
        <v>0.1</v>
      </c>
      <c r="I78">
        <v>100</v>
      </c>
      <c r="J78">
        <f t="shared" si="10"/>
        <v>0</v>
      </c>
      <c r="K78">
        <f t="shared" si="11"/>
        <v>1</v>
      </c>
      <c r="L78">
        <f t="shared" si="12"/>
        <v>0</v>
      </c>
      <c r="M78">
        <f t="shared" si="19"/>
        <v>1</v>
      </c>
      <c r="N78">
        <f t="shared" si="13"/>
        <v>1</v>
      </c>
      <c r="O78">
        <f t="shared" si="14"/>
        <v>0</v>
      </c>
      <c r="P78">
        <f t="shared" si="15"/>
        <v>0</v>
      </c>
      <c r="Q78">
        <f t="shared" si="16"/>
        <v>0</v>
      </c>
      <c r="R78">
        <f t="shared" si="17"/>
        <v>3</v>
      </c>
      <c r="S78" t="s">
        <v>111</v>
      </c>
      <c r="T78">
        <f t="shared" si="18"/>
        <v>3</v>
      </c>
    </row>
    <row r="79" spans="1:20" x14ac:dyDescent="0.2">
      <c r="A79">
        <v>78</v>
      </c>
      <c r="B79">
        <v>500</v>
      </c>
      <c r="C79">
        <v>10</v>
      </c>
      <c r="D79">
        <v>1E-3</v>
      </c>
      <c r="E79">
        <v>20</v>
      </c>
      <c r="F79">
        <v>100</v>
      </c>
      <c r="G79" s="3">
        <v>0.9</v>
      </c>
      <c r="H79" t="s">
        <v>458</v>
      </c>
      <c r="I79" t="s">
        <v>459</v>
      </c>
      <c r="J79">
        <f t="shared" si="10"/>
        <v>1</v>
      </c>
      <c r="K79">
        <f t="shared" si="11"/>
        <v>1</v>
      </c>
      <c r="L79">
        <f t="shared" si="12"/>
        <v>1</v>
      </c>
      <c r="M79">
        <f t="shared" si="19"/>
        <v>1</v>
      </c>
      <c r="N79">
        <f t="shared" si="13"/>
        <v>1</v>
      </c>
      <c r="O79">
        <f t="shared" si="14"/>
        <v>0</v>
      </c>
      <c r="P79">
        <v>1</v>
      </c>
      <c r="Q79">
        <v>1</v>
      </c>
      <c r="R79">
        <f t="shared" si="17"/>
        <v>7</v>
      </c>
      <c r="S79" t="s">
        <v>105</v>
      </c>
      <c r="T79">
        <f t="shared" si="18"/>
        <v>5</v>
      </c>
    </row>
    <row r="80" spans="1:20" x14ac:dyDescent="0.2">
      <c r="A80">
        <v>79</v>
      </c>
      <c r="B80">
        <v>500</v>
      </c>
      <c r="C80">
        <v>10</v>
      </c>
      <c r="D80">
        <v>0.1</v>
      </c>
      <c r="E80">
        <v>20</v>
      </c>
      <c r="F80">
        <v>100</v>
      </c>
      <c r="G80" s="3">
        <v>0.1</v>
      </c>
      <c r="H80">
        <v>0.05</v>
      </c>
      <c r="I80" t="s">
        <v>266</v>
      </c>
      <c r="J80">
        <f t="shared" si="10"/>
        <v>1</v>
      </c>
      <c r="K80">
        <f t="shared" si="11"/>
        <v>1</v>
      </c>
      <c r="L80">
        <f t="shared" si="12"/>
        <v>1</v>
      </c>
      <c r="M80">
        <f t="shared" si="19"/>
        <v>1</v>
      </c>
      <c r="N80">
        <f t="shared" si="13"/>
        <v>1</v>
      </c>
      <c r="O80">
        <f t="shared" si="14"/>
        <v>0</v>
      </c>
      <c r="P80">
        <f t="shared" si="15"/>
        <v>1</v>
      </c>
      <c r="Q80">
        <f t="shared" si="16"/>
        <v>0</v>
      </c>
      <c r="R80">
        <f t="shared" si="17"/>
        <v>6</v>
      </c>
      <c r="S80" t="s">
        <v>105</v>
      </c>
      <c r="T80">
        <f t="shared" si="18"/>
        <v>5</v>
      </c>
    </row>
    <row r="81" spans="1:20" x14ac:dyDescent="0.2">
      <c r="A81">
        <v>80</v>
      </c>
      <c r="B81">
        <v>500</v>
      </c>
      <c r="C81">
        <v>10</v>
      </c>
      <c r="D81">
        <v>0.1</v>
      </c>
      <c r="E81">
        <v>20</v>
      </c>
      <c r="F81">
        <v>100</v>
      </c>
      <c r="G81">
        <v>10</v>
      </c>
      <c r="H81">
        <v>0.05</v>
      </c>
      <c r="I81">
        <v>5</v>
      </c>
      <c r="J81">
        <f t="shared" si="10"/>
        <v>1</v>
      </c>
      <c r="K81">
        <f t="shared" si="11"/>
        <v>1</v>
      </c>
      <c r="L81">
        <f t="shared" si="12"/>
        <v>1</v>
      </c>
      <c r="M81">
        <f t="shared" si="19"/>
        <v>1</v>
      </c>
      <c r="N81">
        <f t="shared" si="13"/>
        <v>1</v>
      </c>
      <c r="O81">
        <f t="shared" si="14"/>
        <v>0</v>
      </c>
      <c r="P81">
        <f t="shared" si="15"/>
        <v>1</v>
      </c>
      <c r="Q81">
        <f t="shared" si="16"/>
        <v>1</v>
      </c>
      <c r="R81">
        <f t="shared" si="17"/>
        <v>7</v>
      </c>
      <c r="S81" t="s">
        <v>125</v>
      </c>
      <c r="T81">
        <f t="shared" si="18"/>
        <v>5</v>
      </c>
    </row>
    <row r="82" spans="1:20" x14ac:dyDescent="0.2">
      <c r="A82">
        <v>81</v>
      </c>
      <c r="B82">
        <v>500</v>
      </c>
      <c r="C82">
        <v>10</v>
      </c>
      <c r="D82">
        <v>0.1</v>
      </c>
      <c r="E82">
        <v>20</v>
      </c>
      <c r="F82">
        <v>100</v>
      </c>
      <c r="G82">
        <v>10</v>
      </c>
      <c r="H82">
        <v>0.05</v>
      </c>
      <c r="I82">
        <v>5</v>
      </c>
      <c r="J82">
        <f t="shared" si="10"/>
        <v>1</v>
      </c>
      <c r="K82">
        <f t="shared" si="11"/>
        <v>1</v>
      </c>
      <c r="L82">
        <f t="shared" si="12"/>
        <v>1</v>
      </c>
      <c r="M82">
        <f t="shared" si="19"/>
        <v>1</v>
      </c>
      <c r="N82">
        <f t="shared" si="13"/>
        <v>1</v>
      </c>
      <c r="O82">
        <f t="shared" si="14"/>
        <v>0</v>
      </c>
      <c r="P82">
        <f t="shared" si="15"/>
        <v>1</v>
      </c>
      <c r="Q82">
        <f t="shared" si="16"/>
        <v>1</v>
      </c>
      <c r="R82">
        <f t="shared" si="17"/>
        <v>7</v>
      </c>
      <c r="S82" t="s">
        <v>111</v>
      </c>
      <c r="T82">
        <f t="shared" si="18"/>
        <v>5</v>
      </c>
    </row>
    <row r="83" spans="1:20" x14ac:dyDescent="0.2">
      <c r="A83">
        <v>82</v>
      </c>
      <c r="B83" t="s">
        <v>476</v>
      </c>
      <c r="C83" t="s">
        <v>477</v>
      </c>
      <c r="D83" t="s">
        <v>478</v>
      </c>
      <c r="E83">
        <v>5</v>
      </c>
      <c r="F83">
        <v>2</v>
      </c>
      <c r="G83">
        <v>3</v>
      </c>
      <c r="H83">
        <v>0.1</v>
      </c>
      <c r="I83">
        <v>100</v>
      </c>
      <c r="J83">
        <f t="shared" si="10"/>
        <v>0</v>
      </c>
      <c r="K83">
        <f t="shared" si="11"/>
        <v>0</v>
      </c>
      <c r="L83">
        <f t="shared" si="12"/>
        <v>0</v>
      </c>
      <c r="M83">
        <f t="shared" si="19"/>
        <v>0</v>
      </c>
      <c r="N83">
        <f t="shared" si="13"/>
        <v>0</v>
      </c>
      <c r="O83">
        <f t="shared" si="14"/>
        <v>0</v>
      </c>
      <c r="P83">
        <f t="shared" si="15"/>
        <v>0</v>
      </c>
      <c r="Q83">
        <f t="shared" si="16"/>
        <v>0</v>
      </c>
      <c r="R83">
        <f t="shared" si="17"/>
        <v>0</v>
      </c>
      <c r="S83" t="s">
        <v>125</v>
      </c>
      <c r="T83">
        <f t="shared" si="18"/>
        <v>0</v>
      </c>
    </row>
    <row r="84" spans="1:20" x14ac:dyDescent="0.2">
      <c r="A84">
        <v>83</v>
      </c>
      <c r="B84">
        <v>500</v>
      </c>
      <c r="C84">
        <v>10</v>
      </c>
      <c r="D84">
        <v>1E-3</v>
      </c>
      <c r="E84">
        <v>20</v>
      </c>
      <c r="F84">
        <v>100</v>
      </c>
      <c r="G84" s="3">
        <v>0.09</v>
      </c>
      <c r="H84" s="5">
        <v>0.1</v>
      </c>
      <c r="I84">
        <v>20</v>
      </c>
      <c r="J84">
        <f t="shared" si="10"/>
        <v>1</v>
      </c>
      <c r="K84">
        <f t="shared" si="11"/>
        <v>1</v>
      </c>
      <c r="L84">
        <f t="shared" si="12"/>
        <v>1</v>
      </c>
      <c r="M84">
        <f t="shared" si="19"/>
        <v>1</v>
      </c>
      <c r="N84">
        <f t="shared" si="13"/>
        <v>1</v>
      </c>
      <c r="O84">
        <f t="shared" si="14"/>
        <v>0</v>
      </c>
      <c r="P84">
        <f t="shared" si="15"/>
        <v>0</v>
      </c>
      <c r="Q84">
        <f t="shared" si="16"/>
        <v>0</v>
      </c>
      <c r="R84">
        <f t="shared" si="17"/>
        <v>5</v>
      </c>
      <c r="S84" t="s">
        <v>105</v>
      </c>
      <c r="T84">
        <f t="shared" si="18"/>
        <v>5</v>
      </c>
    </row>
    <row r="85" spans="1:20" x14ac:dyDescent="0.2">
      <c r="A85">
        <v>84</v>
      </c>
      <c r="B85">
        <v>512</v>
      </c>
      <c r="C85">
        <v>10</v>
      </c>
      <c r="D85" t="s">
        <v>487</v>
      </c>
      <c r="E85">
        <v>20</v>
      </c>
      <c r="F85">
        <v>100</v>
      </c>
      <c r="G85" t="s">
        <v>237</v>
      </c>
      <c r="H85">
        <v>0.05</v>
      </c>
      <c r="I85" t="s">
        <v>104</v>
      </c>
      <c r="J85">
        <f t="shared" si="10"/>
        <v>0</v>
      </c>
      <c r="K85">
        <f t="shared" si="11"/>
        <v>1</v>
      </c>
      <c r="L85">
        <v>1</v>
      </c>
      <c r="M85">
        <f t="shared" si="19"/>
        <v>1</v>
      </c>
      <c r="N85">
        <f t="shared" si="13"/>
        <v>1</v>
      </c>
      <c r="O85">
        <f t="shared" si="14"/>
        <v>0</v>
      </c>
      <c r="P85">
        <f t="shared" si="15"/>
        <v>1</v>
      </c>
      <c r="Q85">
        <f t="shared" si="16"/>
        <v>1</v>
      </c>
      <c r="R85">
        <f t="shared" si="17"/>
        <v>6</v>
      </c>
      <c r="S85" t="s">
        <v>97</v>
      </c>
      <c r="T85">
        <f t="shared" si="18"/>
        <v>4</v>
      </c>
    </row>
    <row r="86" spans="1:20" x14ac:dyDescent="0.2">
      <c r="A86">
        <v>85</v>
      </c>
      <c r="B86">
        <v>500</v>
      </c>
      <c r="C86">
        <v>10</v>
      </c>
      <c r="D86">
        <v>0.1</v>
      </c>
      <c r="E86">
        <v>20</v>
      </c>
      <c r="F86">
        <v>100</v>
      </c>
      <c r="G86">
        <v>50</v>
      </c>
      <c r="H86">
        <v>0.1</v>
      </c>
      <c r="I86" t="s">
        <v>104</v>
      </c>
      <c r="J86">
        <f t="shared" si="10"/>
        <v>1</v>
      </c>
      <c r="K86">
        <f t="shared" si="11"/>
        <v>1</v>
      </c>
      <c r="L86">
        <f t="shared" si="12"/>
        <v>1</v>
      </c>
      <c r="M86">
        <f t="shared" si="19"/>
        <v>1</v>
      </c>
      <c r="N86">
        <f t="shared" si="13"/>
        <v>1</v>
      </c>
      <c r="O86">
        <f t="shared" si="14"/>
        <v>1</v>
      </c>
      <c r="P86">
        <f t="shared" si="15"/>
        <v>0</v>
      </c>
      <c r="Q86">
        <f t="shared" si="16"/>
        <v>1</v>
      </c>
      <c r="R86">
        <f t="shared" si="17"/>
        <v>7</v>
      </c>
      <c r="S86" t="s">
        <v>125</v>
      </c>
      <c r="T86">
        <f t="shared" si="18"/>
        <v>6</v>
      </c>
    </row>
    <row r="87" spans="1:20" x14ac:dyDescent="0.2">
      <c r="A87">
        <v>86</v>
      </c>
      <c r="B87">
        <v>700</v>
      </c>
      <c r="C87">
        <v>10</v>
      </c>
      <c r="D87">
        <v>10</v>
      </c>
      <c r="E87">
        <v>20</v>
      </c>
      <c r="F87">
        <v>1</v>
      </c>
      <c r="G87" t="s">
        <v>496</v>
      </c>
      <c r="H87">
        <v>0.1</v>
      </c>
      <c r="I87" t="s">
        <v>266</v>
      </c>
      <c r="J87">
        <f t="shared" si="10"/>
        <v>0</v>
      </c>
      <c r="K87">
        <f t="shared" si="11"/>
        <v>1</v>
      </c>
      <c r="L87">
        <f t="shared" si="12"/>
        <v>0</v>
      </c>
      <c r="M87">
        <f t="shared" si="19"/>
        <v>1</v>
      </c>
      <c r="N87">
        <f t="shared" si="13"/>
        <v>0</v>
      </c>
      <c r="O87">
        <f t="shared" si="14"/>
        <v>0</v>
      </c>
      <c r="P87">
        <f t="shared" si="15"/>
        <v>0</v>
      </c>
      <c r="Q87">
        <f t="shared" si="16"/>
        <v>0</v>
      </c>
      <c r="R87">
        <f t="shared" si="17"/>
        <v>2</v>
      </c>
      <c r="S87" t="s">
        <v>125</v>
      </c>
      <c r="T87">
        <f t="shared" si="18"/>
        <v>2</v>
      </c>
    </row>
    <row r="88" spans="1:20" x14ac:dyDescent="0.2">
      <c r="A88">
        <v>87</v>
      </c>
      <c r="B88">
        <v>508</v>
      </c>
      <c r="C88">
        <v>1</v>
      </c>
      <c r="D88">
        <v>0.5</v>
      </c>
      <c r="E88">
        <v>20</v>
      </c>
      <c r="F88">
        <v>5</v>
      </c>
      <c r="G88">
        <v>10</v>
      </c>
      <c r="H88">
        <v>0.1</v>
      </c>
      <c r="I88">
        <v>50</v>
      </c>
      <c r="J88">
        <f t="shared" si="10"/>
        <v>0</v>
      </c>
      <c r="K88">
        <f t="shared" si="11"/>
        <v>0</v>
      </c>
      <c r="L88">
        <f t="shared" si="12"/>
        <v>0</v>
      </c>
      <c r="M88">
        <f t="shared" si="19"/>
        <v>1</v>
      </c>
      <c r="N88">
        <f t="shared" si="13"/>
        <v>0</v>
      </c>
      <c r="O88">
        <f t="shared" si="14"/>
        <v>0</v>
      </c>
      <c r="P88">
        <f t="shared" si="15"/>
        <v>0</v>
      </c>
      <c r="Q88">
        <f t="shared" si="16"/>
        <v>0</v>
      </c>
      <c r="R88">
        <f t="shared" si="17"/>
        <v>1</v>
      </c>
      <c r="S88" t="s">
        <v>97</v>
      </c>
      <c r="T88">
        <f t="shared" si="18"/>
        <v>1</v>
      </c>
    </row>
    <row r="89" spans="1:20" x14ac:dyDescent="0.2">
      <c r="A89">
        <v>88</v>
      </c>
      <c r="B89">
        <v>500</v>
      </c>
      <c r="C89">
        <v>10</v>
      </c>
      <c r="D89" s="3">
        <v>0.01</v>
      </c>
      <c r="E89" s="3">
        <v>0.2</v>
      </c>
      <c r="F89">
        <v>100</v>
      </c>
      <c r="G89" s="3">
        <v>0.01</v>
      </c>
      <c r="H89">
        <v>0.05</v>
      </c>
      <c r="I89" t="s">
        <v>104</v>
      </c>
      <c r="J89">
        <f t="shared" si="10"/>
        <v>1</v>
      </c>
      <c r="K89">
        <f t="shared" si="11"/>
        <v>1</v>
      </c>
      <c r="L89">
        <f t="shared" si="12"/>
        <v>0</v>
      </c>
      <c r="M89">
        <f t="shared" si="19"/>
        <v>1</v>
      </c>
      <c r="N89">
        <f t="shared" si="13"/>
        <v>1</v>
      </c>
      <c r="O89">
        <f t="shared" si="14"/>
        <v>0</v>
      </c>
      <c r="P89">
        <f t="shared" si="15"/>
        <v>1</v>
      </c>
      <c r="Q89">
        <f t="shared" si="16"/>
        <v>1</v>
      </c>
      <c r="R89">
        <f t="shared" si="17"/>
        <v>6</v>
      </c>
      <c r="S89" t="s">
        <v>111</v>
      </c>
      <c r="T89">
        <f t="shared" si="18"/>
        <v>4</v>
      </c>
    </row>
    <row r="90" spans="1:20" x14ac:dyDescent="0.2">
      <c r="A90">
        <v>89</v>
      </c>
      <c r="B90">
        <v>559</v>
      </c>
      <c r="C90">
        <v>10</v>
      </c>
      <c r="D90">
        <v>1</v>
      </c>
      <c r="E90">
        <v>20</v>
      </c>
      <c r="F90">
        <v>100</v>
      </c>
      <c r="G90">
        <v>10</v>
      </c>
      <c r="H90">
        <v>0.05</v>
      </c>
      <c r="I90">
        <v>5</v>
      </c>
      <c r="J90">
        <f t="shared" si="10"/>
        <v>0</v>
      </c>
      <c r="K90">
        <f t="shared" si="11"/>
        <v>1</v>
      </c>
      <c r="L90">
        <f t="shared" si="12"/>
        <v>0</v>
      </c>
      <c r="M90">
        <f t="shared" si="19"/>
        <v>1</v>
      </c>
      <c r="N90">
        <f t="shared" si="13"/>
        <v>1</v>
      </c>
      <c r="O90">
        <f t="shared" si="14"/>
        <v>0</v>
      </c>
      <c r="P90">
        <f t="shared" si="15"/>
        <v>1</v>
      </c>
      <c r="Q90">
        <f t="shared" si="16"/>
        <v>1</v>
      </c>
      <c r="R90">
        <f t="shared" si="17"/>
        <v>5</v>
      </c>
      <c r="S90" t="s">
        <v>111</v>
      </c>
      <c r="T90">
        <f t="shared" si="18"/>
        <v>3</v>
      </c>
    </row>
    <row r="91" spans="1:20" x14ac:dyDescent="0.2">
      <c r="A91">
        <v>90</v>
      </c>
      <c r="B91">
        <v>500</v>
      </c>
      <c r="C91">
        <v>10</v>
      </c>
      <c r="D91">
        <v>0.01</v>
      </c>
      <c r="E91" s="3">
        <v>0.2</v>
      </c>
      <c r="F91">
        <v>100</v>
      </c>
      <c r="G91" t="s">
        <v>513</v>
      </c>
      <c r="H91">
        <v>0.05</v>
      </c>
      <c r="I91" t="s">
        <v>330</v>
      </c>
      <c r="J91">
        <f t="shared" si="10"/>
        <v>1</v>
      </c>
      <c r="K91">
        <f t="shared" si="11"/>
        <v>1</v>
      </c>
      <c r="L91">
        <f t="shared" si="12"/>
        <v>0</v>
      </c>
      <c r="M91">
        <f t="shared" si="19"/>
        <v>1</v>
      </c>
      <c r="N91">
        <f t="shared" si="13"/>
        <v>1</v>
      </c>
      <c r="O91">
        <f t="shared" si="14"/>
        <v>0</v>
      </c>
      <c r="P91">
        <f t="shared" si="15"/>
        <v>1</v>
      </c>
      <c r="Q91">
        <v>1</v>
      </c>
      <c r="R91">
        <f t="shared" si="17"/>
        <v>6</v>
      </c>
      <c r="S91" t="s">
        <v>111</v>
      </c>
      <c r="T91">
        <f t="shared" si="18"/>
        <v>4</v>
      </c>
    </row>
    <row r="92" spans="1:20" x14ac:dyDescent="0.2">
      <c r="A92">
        <v>91</v>
      </c>
      <c r="B92">
        <v>500</v>
      </c>
      <c r="C92">
        <v>10</v>
      </c>
      <c r="D92">
        <v>0.1</v>
      </c>
      <c r="E92">
        <v>20</v>
      </c>
      <c r="F92">
        <v>100</v>
      </c>
      <c r="G92" s="3">
        <v>0.9</v>
      </c>
      <c r="H92">
        <v>0.05</v>
      </c>
      <c r="I92">
        <v>5</v>
      </c>
      <c r="J92">
        <f t="shared" si="10"/>
        <v>1</v>
      </c>
      <c r="K92">
        <f t="shared" si="11"/>
        <v>1</v>
      </c>
      <c r="L92">
        <f t="shared" si="12"/>
        <v>1</v>
      </c>
      <c r="M92">
        <f t="shared" si="19"/>
        <v>1</v>
      </c>
      <c r="N92">
        <f t="shared" si="13"/>
        <v>1</v>
      </c>
      <c r="O92">
        <f t="shared" si="14"/>
        <v>0</v>
      </c>
      <c r="P92">
        <f t="shared" si="15"/>
        <v>1</v>
      </c>
      <c r="Q92">
        <f t="shared" si="16"/>
        <v>1</v>
      </c>
      <c r="R92">
        <f t="shared" si="17"/>
        <v>7</v>
      </c>
      <c r="S92" t="s">
        <v>111</v>
      </c>
      <c r="T92">
        <f t="shared" si="18"/>
        <v>5</v>
      </c>
    </row>
    <row r="93" spans="1:20" x14ac:dyDescent="0.2">
      <c r="A93">
        <v>92</v>
      </c>
      <c r="B93" t="s">
        <v>523</v>
      </c>
      <c r="C93">
        <v>10</v>
      </c>
      <c r="D93" t="s">
        <v>524</v>
      </c>
      <c r="E93">
        <v>20</v>
      </c>
      <c r="F93">
        <v>100</v>
      </c>
      <c r="G93" t="s">
        <v>525</v>
      </c>
      <c r="H93" s="5">
        <v>0.1</v>
      </c>
      <c r="I93" t="s">
        <v>104</v>
      </c>
      <c r="J93">
        <v>1</v>
      </c>
      <c r="K93">
        <f t="shared" si="11"/>
        <v>1</v>
      </c>
      <c r="L93">
        <f t="shared" si="12"/>
        <v>0</v>
      </c>
      <c r="M93">
        <f t="shared" si="19"/>
        <v>1</v>
      </c>
      <c r="N93">
        <f t="shared" si="13"/>
        <v>1</v>
      </c>
      <c r="O93">
        <f t="shared" si="14"/>
        <v>0</v>
      </c>
      <c r="P93">
        <f t="shared" si="15"/>
        <v>0</v>
      </c>
      <c r="Q93">
        <f t="shared" si="16"/>
        <v>1</v>
      </c>
      <c r="R93">
        <f t="shared" si="17"/>
        <v>5</v>
      </c>
      <c r="S93" t="s">
        <v>125</v>
      </c>
      <c r="T93">
        <f t="shared" si="18"/>
        <v>4</v>
      </c>
    </row>
    <row r="94" spans="1:20" x14ac:dyDescent="0.2">
      <c r="A94">
        <v>93</v>
      </c>
      <c r="B94">
        <v>500</v>
      </c>
      <c r="C94">
        <v>10</v>
      </c>
      <c r="D94" s="4">
        <v>1.0000000000000001E-5</v>
      </c>
      <c r="E94" s="3">
        <v>0.2</v>
      </c>
      <c r="F94">
        <v>100</v>
      </c>
      <c r="G94" s="3">
        <v>0.09</v>
      </c>
      <c r="H94" t="s">
        <v>297</v>
      </c>
      <c r="I94" t="s">
        <v>530</v>
      </c>
      <c r="J94">
        <f t="shared" si="10"/>
        <v>1</v>
      </c>
      <c r="K94">
        <f t="shared" si="11"/>
        <v>1</v>
      </c>
      <c r="L94">
        <f t="shared" si="12"/>
        <v>0</v>
      </c>
      <c r="M94">
        <f t="shared" si="19"/>
        <v>1</v>
      </c>
      <c r="N94">
        <f t="shared" si="13"/>
        <v>1</v>
      </c>
      <c r="O94">
        <f t="shared" si="14"/>
        <v>0</v>
      </c>
      <c r="P94">
        <f t="shared" si="15"/>
        <v>0</v>
      </c>
      <c r="Q94">
        <f t="shared" si="16"/>
        <v>0</v>
      </c>
      <c r="R94">
        <f t="shared" si="17"/>
        <v>4</v>
      </c>
      <c r="S94" t="s">
        <v>105</v>
      </c>
      <c r="T94">
        <f t="shared" si="18"/>
        <v>4</v>
      </c>
    </row>
    <row r="95" spans="1:20" x14ac:dyDescent="0.2">
      <c r="A95">
        <v>94</v>
      </c>
      <c r="B95">
        <v>500</v>
      </c>
      <c r="C95">
        <v>10</v>
      </c>
      <c r="D95">
        <v>10</v>
      </c>
      <c r="E95">
        <v>20</v>
      </c>
      <c r="F95">
        <v>100</v>
      </c>
      <c r="G95">
        <v>50</v>
      </c>
      <c r="H95">
        <v>0.1</v>
      </c>
      <c r="I95">
        <v>5</v>
      </c>
      <c r="J95">
        <f t="shared" si="10"/>
        <v>1</v>
      </c>
      <c r="K95">
        <f t="shared" si="11"/>
        <v>1</v>
      </c>
      <c r="L95">
        <f t="shared" si="12"/>
        <v>0</v>
      </c>
      <c r="M95">
        <f t="shared" si="19"/>
        <v>1</v>
      </c>
      <c r="N95">
        <f t="shared" si="13"/>
        <v>1</v>
      </c>
      <c r="O95">
        <f t="shared" si="14"/>
        <v>1</v>
      </c>
      <c r="P95">
        <f t="shared" si="15"/>
        <v>0</v>
      </c>
      <c r="Q95">
        <f t="shared" si="16"/>
        <v>1</v>
      </c>
      <c r="R95">
        <f t="shared" si="17"/>
        <v>6</v>
      </c>
      <c r="S95" t="s">
        <v>97</v>
      </c>
      <c r="T95">
        <f t="shared" si="18"/>
        <v>5</v>
      </c>
    </row>
    <row r="96" spans="1:20" x14ac:dyDescent="0.2">
      <c r="A96">
        <v>95</v>
      </c>
      <c r="B96">
        <v>500</v>
      </c>
      <c r="C96">
        <v>10</v>
      </c>
      <c r="D96">
        <v>0.1</v>
      </c>
      <c r="E96" s="3">
        <v>0.2</v>
      </c>
      <c r="F96">
        <v>100</v>
      </c>
      <c r="G96" s="3">
        <v>0.1</v>
      </c>
      <c r="H96">
        <v>0.1</v>
      </c>
      <c r="I96">
        <v>100</v>
      </c>
      <c r="J96">
        <f t="shared" si="10"/>
        <v>1</v>
      </c>
      <c r="K96">
        <f t="shared" si="11"/>
        <v>1</v>
      </c>
      <c r="L96">
        <f t="shared" si="12"/>
        <v>1</v>
      </c>
      <c r="M96">
        <f t="shared" si="19"/>
        <v>1</v>
      </c>
      <c r="N96">
        <f t="shared" si="13"/>
        <v>1</v>
      </c>
      <c r="O96">
        <f t="shared" si="14"/>
        <v>0</v>
      </c>
      <c r="P96">
        <f t="shared" si="15"/>
        <v>0</v>
      </c>
      <c r="Q96">
        <f t="shared" si="16"/>
        <v>0</v>
      </c>
      <c r="R96">
        <f t="shared" si="17"/>
        <v>5</v>
      </c>
      <c r="S96" t="s">
        <v>105</v>
      </c>
      <c r="T96">
        <f t="shared" si="18"/>
        <v>5</v>
      </c>
    </row>
    <row r="97" spans="1:20" x14ac:dyDescent="0.2">
      <c r="A97">
        <v>96</v>
      </c>
      <c r="B97">
        <v>500</v>
      </c>
      <c r="C97">
        <v>10</v>
      </c>
      <c r="D97">
        <v>10</v>
      </c>
      <c r="E97">
        <v>20</v>
      </c>
      <c r="F97">
        <v>100</v>
      </c>
      <c r="G97">
        <v>45</v>
      </c>
      <c r="H97">
        <v>0.1</v>
      </c>
      <c r="I97">
        <v>5</v>
      </c>
      <c r="J97">
        <f t="shared" si="10"/>
        <v>1</v>
      </c>
      <c r="K97">
        <f t="shared" si="11"/>
        <v>1</v>
      </c>
      <c r="L97">
        <f t="shared" si="12"/>
        <v>0</v>
      </c>
      <c r="M97">
        <f t="shared" si="19"/>
        <v>1</v>
      </c>
      <c r="N97">
        <f t="shared" si="13"/>
        <v>1</v>
      </c>
      <c r="O97">
        <f t="shared" si="14"/>
        <v>0</v>
      </c>
      <c r="P97">
        <f t="shared" si="15"/>
        <v>0</v>
      </c>
      <c r="Q97">
        <f t="shared" si="16"/>
        <v>1</v>
      </c>
      <c r="R97">
        <f t="shared" si="17"/>
        <v>5</v>
      </c>
      <c r="S97" t="s">
        <v>111</v>
      </c>
      <c r="T97">
        <f t="shared" si="18"/>
        <v>4</v>
      </c>
    </row>
    <row r="98" spans="1:20" x14ac:dyDescent="0.2">
      <c r="A98">
        <v>97</v>
      </c>
      <c r="B98" s="3">
        <v>0.5</v>
      </c>
      <c r="C98">
        <v>10</v>
      </c>
      <c r="D98" s="4">
        <v>1E-4</v>
      </c>
      <c r="E98" s="3">
        <v>0.2</v>
      </c>
      <c r="F98">
        <v>100</v>
      </c>
      <c r="G98" s="3">
        <v>0.1</v>
      </c>
      <c r="H98" s="5">
        <v>0.1</v>
      </c>
      <c r="I98">
        <v>100</v>
      </c>
      <c r="J98">
        <v>1</v>
      </c>
      <c r="K98">
        <f t="shared" si="11"/>
        <v>1</v>
      </c>
      <c r="L98">
        <f t="shared" si="12"/>
        <v>0</v>
      </c>
      <c r="M98">
        <f t="shared" si="19"/>
        <v>1</v>
      </c>
      <c r="N98">
        <f t="shared" si="13"/>
        <v>1</v>
      </c>
      <c r="O98">
        <f t="shared" si="14"/>
        <v>0</v>
      </c>
      <c r="P98">
        <f t="shared" si="15"/>
        <v>0</v>
      </c>
      <c r="Q98">
        <f t="shared" si="16"/>
        <v>0</v>
      </c>
      <c r="R98">
        <f t="shared" si="17"/>
        <v>4</v>
      </c>
      <c r="S98" t="s">
        <v>97</v>
      </c>
      <c r="T98">
        <f t="shared" si="18"/>
        <v>4</v>
      </c>
    </row>
    <row r="99" spans="1:20" x14ac:dyDescent="0.2">
      <c r="A99">
        <v>98</v>
      </c>
      <c r="B99">
        <v>500</v>
      </c>
      <c r="C99">
        <v>10</v>
      </c>
      <c r="D99">
        <v>0.01</v>
      </c>
      <c r="E99">
        <v>5</v>
      </c>
      <c r="F99">
        <v>100</v>
      </c>
      <c r="G99" t="s">
        <v>551</v>
      </c>
      <c r="H99">
        <v>0.05</v>
      </c>
      <c r="I99">
        <v>5</v>
      </c>
      <c r="J99">
        <f t="shared" si="10"/>
        <v>1</v>
      </c>
      <c r="K99">
        <f t="shared" si="11"/>
        <v>1</v>
      </c>
      <c r="L99">
        <f t="shared" si="12"/>
        <v>0</v>
      </c>
      <c r="M99">
        <f t="shared" si="19"/>
        <v>0</v>
      </c>
      <c r="N99">
        <f t="shared" si="13"/>
        <v>1</v>
      </c>
      <c r="O99">
        <f t="shared" si="14"/>
        <v>0</v>
      </c>
      <c r="P99">
        <f t="shared" si="15"/>
        <v>1</v>
      </c>
      <c r="Q99">
        <f t="shared" si="16"/>
        <v>1</v>
      </c>
      <c r="R99">
        <f t="shared" si="17"/>
        <v>5</v>
      </c>
      <c r="S99" t="s">
        <v>111</v>
      </c>
      <c r="T99">
        <f t="shared" si="18"/>
        <v>3</v>
      </c>
    </row>
    <row r="100" spans="1:20" x14ac:dyDescent="0.2">
      <c r="A100">
        <v>99</v>
      </c>
      <c r="B100">
        <v>500</v>
      </c>
      <c r="C100">
        <v>20</v>
      </c>
      <c r="D100">
        <v>0.1</v>
      </c>
      <c r="E100">
        <v>20</v>
      </c>
      <c r="F100">
        <v>100</v>
      </c>
      <c r="G100">
        <v>10</v>
      </c>
      <c r="H100">
        <v>0.05</v>
      </c>
      <c r="I100">
        <v>100</v>
      </c>
      <c r="J100">
        <f t="shared" si="10"/>
        <v>1</v>
      </c>
      <c r="K100">
        <f t="shared" si="11"/>
        <v>0</v>
      </c>
      <c r="L100">
        <f t="shared" si="12"/>
        <v>1</v>
      </c>
      <c r="M100">
        <f t="shared" si="19"/>
        <v>1</v>
      </c>
      <c r="N100">
        <f t="shared" si="13"/>
        <v>1</v>
      </c>
      <c r="O100">
        <f t="shared" si="14"/>
        <v>0</v>
      </c>
      <c r="P100">
        <f t="shared" si="15"/>
        <v>1</v>
      </c>
      <c r="Q100">
        <f t="shared" si="16"/>
        <v>0</v>
      </c>
      <c r="R100">
        <f t="shared" si="17"/>
        <v>5</v>
      </c>
      <c r="S100" t="s">
        <v>105</v>
      </c>
      <c r="T100">
        <f t="shared" si="18"/>
        <v>4</v>
      </c>
    </row>
    <row r="101" spans="1:20" x14ac:dyDescent="0.2">
      <c r="A101">
        <v>100</v>
      </c>
      <c r="B101">
        <v>500</v>
      </c>
      <c r="C101">
        <v>10</v>
      </c>
      <c r="D101">
        <v>0.1</v>
      </c>
      <c r="E101">
        <v>20</v>
      </c>
      <c r="F101">
        <v>100</v>
      </c>
      <c r="G101" s="3">
        <v>0.5</v>
      </c>
      <c r="H101">
        <v>0.05</v>
      </c>
      <c r="I101" t="s">
        <v>104</v>
      </c>
      <c r="J101">
        <f t="shared" si="10"/>
        <v>1</v>
      </c>
      <c r="K101">
        <f t="shared" si="11"/>
        <v>1</v>
      </c>
      <c r="L101">
        <f t="shared" si="12"/>
        <v>1</v>
      </c>
      <c r="M101">
        <f t="shared" si="19"/>
        <v>1</v>
      </c>
      <c r="N101">
        <f t="shared" si="13"/>
        <v>1</v>
      </c>
      <c r="O101">
        <f t="shared" si="14"/>
        <v>1</v>
      </c>
      <c r="P101">
        <f t="shared" si="15"/>
        <v>1</v>
      </c>
      <c r="Q101">
        <f t="shared" si="16"/>
        <v>1</v>
      </c>
      <c r="R101">
        <f t="shared" si="17"/>
        <v>8</v>
      </c>
      <c r="S101" t="s">
        <v>97</v>
      </c>
      <c r="T101">
        <f t="shared" si="18"/>
        <v>6</v>
      </c>
    </row>
    <row r="102" spans="1:20" x14ac:dyDescent="0.2">
      <c r="A102">
        <v>101</v>
      </c>
      <c r="B102" t="s">
        <v>564</v>
      </c>
      <c r="C102">
        <v>10</v>
      </c>
      <c r="D102">
        <v>0.1</v>
      </c>
      <c r="E102">
        <v>20</v>
      </c>
      <c r="F102">
        <v>100</v>
      </c>
      <c r="G102" s="3">
        <v>0.75</v>
      </c>
      <c r="H102">
        <v>0.1</v>
      </c>
      <c r="I102" t="s">
        <v>104</v>
      </c>
      <c r="J102">
        <f t="shared" si="10"/>
        <v>0</v>
      </c>
      <c r="K102">
        <f t="shared" si="11"/>
        <v>1</v>
      </c>
      <c r="L102">
        <f t="shared" si="12"/>
        <v>1</v>
      </c>
      <c r="M102">
        <f t="shared" si="19"/>
        <v>1</v>
      </c>
      <c r="N102">
        <f t="shared" si="13"/>
        <v>1</v>
      </c>
      <c r="O102">
        <f t="shared" si="14"/>
        <v>0</v>
      </c>
      <c r="P102">
        <f t="shared" si="15"/>
        <v>0</v>
      </c>
      <c r="Q102">
        <f t="shared" si="16"/>
        <v>1</v>
      </c>
      <c r="R102">
        <f t="shared" si="17"/>
        <v>5</v>
      </c>
      <c r="S102" t="s">
        <v>125</v>
      </c>
      <c r="T102">
        <f t="shared" si="18"/>
        <v>4</v>
      </c>
    </row>
    <row r="103" spans="1:20" x14ac:dyDescent="0.2">
      <c r="A103">
        <v>102</v>
      </c>
      <c r="B103" s="3">
        <v>0.55000000000000004</v>
      </c>
      <c r="C103">
        <v>10</v>
      </c>
      <c r="D103" t="s">
        <v>569</v>
      </c>
      <c r="E103" s="3">
        <v>0.2</v>
      </c>
      <c r="F103">
        <v>100</v>
      </c>
      <c r="G103" s="3">
        <v>0.1</v>
      </c>
      <c r="H103">
        <v>0.05</v>
      </c>
      <c r="I103" t="s">
        <v>266</v>
      </c>
      <c r="J103">
        <f t="shared" si="10"/>
        <v>0</v>
      </c>
      <c r="K103">
        <f t="shared" si="11"/>
        <v>1</v>
      </c>
      <c r="L103">
        <f t="shared" si="12"/>
        <v>0</v>
      </c>
      <c r="M103">
        <f t="shared" si="19"/>
        <v>1</v>
      </c>
      <c r="N103">
        <f t="shared" si="13"/>
        <v>1</v>
      </c>
      <c r="O103">
        <f t="shared" si="14"/>
        <v>0</v>
      </c>
      <c r="P103">
        <f t="shared" si="15"/>
        <v>1</v>
      </c>
      <c r="Q103">
        <f t="shared" si="16"/>
        <v>0</v>
      </c>
      <c r="R103">
        <f t="shared" si="17"/>
        <v>4</v>
      </c>
      <c r="S103" t="s">
        <v>105</v>
      </c>
      <c r="T103">
        <f t="shared" si="18"/>
        <v>3</v>
      </c>
    </row>
    <row r="104" spans="1:20" x14ac:dyDescent="0.2">
      <c r="A104">
        <v>103</v>
      </c>
      <c r="B104">
        <v>500</v>
      </c>
      <c r="C104">
        <v>100</v>
      </c>
      <c r="D104" s="4">
        <v>1E-3</v>
      </c>
      <c r="E104" s="3">
        <v>0.2</v>
      </c>
      <c r="F104">
        <v>100</v>
      </c>
      <c r="G104" s="3">
        <v>0.11</v>
      </c>
      <c r="H104">
        <v>0.1</v>
      </c>
      <c r="I104">
        <v>100</v>
      </c>
      <c r="J104">
        <f t="shared" si="10"/>
        <v>1</v>
      </c>
      <c r="K104">
        <f t="shared" si="11"/>
        <v>0</v>
      </c>
      <c r="L104">
        <f t="shared" si="12"/>
        <v>1</v>
      </c>
      <c r="M104">
        <f t="shared" si="19"/>
        <v>1</v>
      </c>
      <c r="N104">
        <f t="shared" si="13"/>
        <v>1</v>
      </c>
      <c r="O104">
        <f t="shared" si="14"/>
        <v>0</v>
      </c>
      <c r="P104">
        <f t="shared" si="15"/>
        <v>0</v>
      </c>
      <c r="Q104">
        <f t="shared" si="16"/>
        <v>0</v>
      </c>
      <c r="R104">
        <f t="shared" si="17"/>
        <v>4</v>
      </c>
      <c r="S104" t="s">
        <v>125</v>
      </c>
      <c r="T104">
        <f t="shared" si="18"/>
        <v>4</v>
      </c>
    </row>
    <row r="105" spans="1:20" x14ac:dyDescent="0.2">
      <c r="A105">
        <v>104</v>
      </c>
      <c r="B105">
        <v>500</v>
      </c>
      <c r="C105">
        <v>10</v>
      </c>
      <c r="D105" s="3">
        <v>0.01</v>
      </c>
      <c r="E105">
        <v>20</v>
      </c>
      <c r="F105">
        <v>100</v>
      </c>
      <c r="G105" s="3">
        <v>0.9</v>
      </c>
      <c r="H105">
        <v>0.1</v>
      </c>
      <c r="I105">
        <v>5</v>
      </c>
      <c r="J105">
        <f t="shared" si="10"/>
        <v>1</v>
      </c>
      <c r="K105">
        <f t="shared" si="11"/>
        <v>1</v>
      </c>
      <c r="L105">
        <f t="shared" si="12"/>
        <v>0</v>
      </c>
      <c r="M105">
        <f t="shared" si="19"/>
        <v>1</v>
      </c>
      <c r="N105">
        <f t="shared" si="13"/>
        <v>1</v>
      </c>
      <c r="O105">
        <f t="shared" si="14"/>
        <v>0</v>
      </c>
      <c r="P105">
        <f t="shared" si="15"/>
        <v>0</v>
      </c>
      <c r="Q105">
        <f t="shared" si="16"/>
        <v>1</v>
      </c>
      <c r="R105">
        <f t="shared" si="17"/>
        <v>5</v>
      </c>
      <c r="S105" t="s">
        <v>105</v>
      </c>
      <c r="T105">
        <f t="shared" si="18"/>
        <v>4</v>
      </c>
    </row>
    <row r="106" spans="1:20" x14ac:dyDescent="0.2">
      <c r="A106">
        <v>105</v>
      </c>
      <c r="B106">
        <v>200</v>
      </c>
      <c r="C106">
        <v>10</v>
      </c>
      <c r="D106">
        <v>30</v>
      </c>
      <c r="E106">
        <v>20</v>
      </c>
      <c r="F106">
        <v>15</v>
      </c>
      <c r="G106">
        <v>40</v>
      </c>
      <c r="H106">
        <v>0.1</v>
      </c>
      <c r="I106">
        <v>100</v>
      </c>
      <c r="J106">
        <f t="shared" si="10"/>
        <v>0</v>
      </c>
      <c r="K106">
        <f t="shared" si="11"/>
        <v>1</v>
      </c>
      <c r="L106">
        <f t="shared" si="12"/>
        <v>0</v>
      </c>
      <c r="M106">
        <f t="shared" si="19"/>
        <v>1</v>
      </c>
      <c r="N106">
        <f t="shared" si="13"/>
        <v>0</v>
      </c>
      <c r="O106">
        <f t="shared" si="14"/>
        <v>0</v>
      </c>
      <c r="P106">
        <f t="shared" si="15"/>
        <v>0</v>
      </c>
      <c r="Q106">
        <f t="shared" si="16"/>
        <v>0</v>
      </c>
      <c r="R106">
        <f t="shared" si="17"/>
        <v>2</v>
      </c>
      <c r="S106" t="s">
        <v>111</v>
      </c>
      <c r="T106">
        <f t="shared" si="18"/>
        <v>2</v>
      </c>
    </row>
    <row r="107" spans="1:20" x14ac:dyDescent="0.2">
      <c r="A107">
        <v>106</v>
      </c>
      <c r="B107">
        <v>500</v>
      </c>
      <c r="C107">
        <v>10</v>
      </c>
      <c r="D107" s="4">
        <v>5.0000000000000001E-3</v>
      </c>
      <c r="E107" s="3">
        <v>0.2</v>
      </c>
      <c r="F107">
        <v>100</v>
      </c>
      <c r="G107" s="3">
        <v>0.09</v>
      </c>
      <c r="H107">
        <v>0.1</v>
      </c>
      <c r="I107" t="s">
        <v>266</v>
      </c>
      <c r="J107">
        <f t="shared" si="10"/>
        <v>1</v>
      </c>
      <c r="K107">
        <f t="shared" si="11"/>
        <v>1</v>
      </c>
      <c r="L107">
        <f t="shared" si="12"/>
        <v>0</v>
      </c>
      <c r="M107">
        <f t="shared" si="19"/>
        <v>1</v>
      </c>
      <c r="N107">
        <f t="shared" si="13"/>
        <v>1</v>
      </c>
      <c r="O107">
        <f t="shared" si="14"/>
        <v>0</v>
      </c>
      <c r="P107">
        <f t="shared" si="15"/>
        <v>0</v>
      </c>
      <c r="Q107">
        <f t="shared" si="16"/>
        <v>0</v>
      </c>
      <c r="R107">
        <f t="shared" si="17"/>
        <v>4</v>
      </c>
      <c r="S107" t="s">
        <v>111</v>
      </c>
      <c r="T107">
        <f t="shared" si="18"/>
        <v>4</v>
      </c>
    </row>
    <row r="108" spans="1:20" x14ac:dyDescent="0.2">
      <c r="A108">
        <v>107</v>
      </c>
      <c r="B108">
        <v>512</v>
      </c>
      <c r="C108">
        <v>10</v>
      </c>
      <c r="D108">
        <v>1</v>
      </c>
      <c r="E108">
        <v>80</v>
      </c>
      <c r="F108">
        <v>100</v>
      </c>
      <c r="G108" s="3">
        <v>0.15</v>
      </c>
      <c r="H108">
        <v>0.05</v>
      </c>
      <c r="I108">
        <v>1</v>
      </c>
      <c r="J108">
        <f t="shared" si="10"/>
        <v>0</v>
      </c>
      <c r="K108">
        <f t="shared" si="11"/>
        <v>1</v>
      </c>
      <c r="L108">
        <f t="shared" si="12"/>
        <v>0</v>
      </c>
      <c r="M108">
        <f t="shared" si="19"/>
        <v>0</v>
      </c>
      <c r="N108">
        <f t="shared" si="13"/>
        <v>1</v>
      </c>
      <c r="O108">
        <f t="shared" si="14"/>
        <v>0</v>
      </c>
      <c r="P108">
        <f t="shared" si="15"/>
        <v>1</v>
      </c>
      <c r="Q108">
        <f t="shared" si="16"/>
        <v>0</v>
      </c>
      <c r="R108">
        <f t="shared" si="17"/>
        <v>3</v>
      </c>
      <c r="S108" t="s">
        <v>97</v>
      </c>
      <c r="T108">
        <f t="shared" si="18"/>
        <v>2</v>
      </c>
    </row>
    <row r="109" spans="1:20" x14ac:dyDescent="0.2">
      <c r="A109">
        <v>108</v>
      </c>
      <c r="B109">
        <v>500</v>
      </c>
      <c r="C109">
        <v>10</v>
      </c>
      <c r="D109">
        <v>0.1</v>
      </c>
      <c r="E109">
        <v>20</v>
      </c>
      <c r="F109">
        <v>100</v>
      </c>
      <c r="G109">
        <v>90</v>
      </c>
      <c r="H109">
        <v>0.05</v>
      </c>
      <c r="I109" t="s">
        <v>104</v>
      </c>
      <c r="J109">
        <f t="shared" si="10"/>
        <v>1</v>
      </c>
      <c r="K109">
        <f t="shared" si="11"/>
        <v>1</v>
      </c>
      <c r="L109">
        <f t="shared" si="12"/>
        <v>1</v>
      </c>
      <c r="M109">
        <f t="shared" si="19"/>
        <v>1</v>
      </c>
      <c r="N109">
        <f t="shared" si="13"/>
        <v>1</v>
      </c>
      <c r="O109">
        <f t="shared" si="14"/>
        <v>0</v>
      </c>
      <c r="P109">
        <f t="shared" si="15"/>
        <v>1</v>
      </c>
      <c r="Q109">
        <f t="shared" si="16"/>
        <v>1</v>
      </c>
      <c r="R109">
        <f t="shared" si="17"/>
        <v>7</v>
      </c>
      <c r="S109" t="s">
        <v>97</v>
      </c>
      <c r="T109">
        <f t="shared" si="18"/>
        <v>5</v>
      </c>
    </row>
    <row r="110" spans="1:20" x14ac:dyDescent="0.2">
      <c r="A110">
        <v>109</v>
      </c>
      <c r="B110">
        <v>745</v>
      </c>
      <c r="C110">
        <v>10</v>
      </c>
      <c r="D110">
        <v>1</v>
      </c>
      <c r="E110">
        <v>20</v>
      </c>
      <c r="F110">
        <v>100</v>
      </c>
      <c r="G110">
        <v>10</v>
      </c>
      <c r="H110">
        <v>10</v>
      </c>
      <c r="I110">
        <v>5</v>
      </c>
      <c r="J110">
        <f t="shared" si="10"/>
        <v>0</v>
      </c>
      <c r="K110">
        <f t="shared" si="11"/>
        <v>1</v>
      </c>
      <c r="L110">
        <f t="shared" si="12"/>
        <v>0</v>
      </c>
      <c r="M110">
        <f t="shared" si="19"/>
        <v>1</v>
      </c>
      <c r="N110">
        <f t="shared" si="13"/>
        <v>1</v>
      </c>
      <c r="O110">
        <f t="shared" si="14"/>
        <v>0</v>
      </c>
      <c r="P110">
        <f t="shared" si="15"/>
        <v>0</v>
      </c>
      <c r="Q110">
        <f t="shared" si="16"/>
        <v>1</v>
      </c>
      <c r="R110">
        <f t="shared" si="17"/>
        <v>4</v>
      </c>
      <c r="S110" t="s">
        <v>125</v>
      </c>
      <c r="T110">
        <f t="shared" si="18"/>
        <v>3</v>
      </c>
    </row>
    <row r="111" spans="1:20" x14ac:dyDescent="0.2">
      <c r="A111">
        <v>110</v>
      </c>
      <c r="B111">
        <v>500</v>
      </c>
      <c r="C111">
        <v>10</v>
      </c>
      <c r="D111">
        <v>0.1</v>
      </c>
      <c r="E111">
        <v>20</v>
      </c>
      <c r="F111">
        <v>100</v>
      </c>
      <c r="G111">
        <v>50</v>
      </c>
      <c r="H111">
        <v>0.05</v>
      </c>
      <c r="I111">
        <v>5</v>
      </c>
      <c r="J111">
        <f t="shared" si="10"/>
        <v>1</v>
      </c>
      <c r="K111">
        <f t="shared" si="11"/>
        <v>1</v>
      </c>
      <c r="L111">
        <f t="shared" si="12"/>
        <v>1</v>
      </c>
      <c r="M111">
        <f t="shared" si="19"/>
        <v>1</v>
      </c>
      <c r="N111">
        <f t="shared" si="13"/>
        <v>1</v>
      </c>
      <c r="O111">
        <f t="shared" si="14"/>
        <v>1</v>
      </c>
      <c r="P111">
        <f t="shared" si="15"/>
        <v>1</v>
      </c>
      <c r="Q111">
        <f t="shared" si="16"/>
        <v>1</v>
      </c>
      <c r="R111">
        <f t="shared" si="17"/>
        <v>8</v>
      </c>
      <c r="S111" t="s">
        <v>105</v>
      </c>
      <c r="T111">
        <f t="shared" si="18"/>
        <v>6</v>
      </c>
    </row>
    <row r="112" spans="1:20" x14ac:dyDescent="0.2">
      <c r="A112">
        <v>111</v>
      </c>
      <c r="B112">
        <v>500</v>
      </c>
      <c r="C112">
        <v>10</v>
      </c>
      <c r="D112">
        <v>0.1</v>
      </c>
      <c r="E112">
        <v>20</v>
      </c>
      <c r="F112">
        <v>100</v>
      </c>
      <c r="G112" s="3">
        <v>0.82</v>
      </c>
      <c r="H112">
        <v>0.1</v>
      </c>
      <c r="I112" t="s">
        <v>104</v>
      </c>
      <c r="J112">
        <f t="shared" si="10"/>
        <v>1</v>
      </c>
      <c r="K112">
        <f t="shared" si="11"/>
        <v>1</v>
      </c>
      <c r="L112">
        <f t="shared" si="12"/>
        <v>1</v>
      </c>
      <c r="M112">
        <f t="shared" si="19"/>
        <v>1</v>
      </c>
      <c r="N112">
        <f t="shared" si="13"/>
        <v>1</v>
      </c>
      <c r="O112">
        <f t="shared" si="14"/>
        <v>0</v>
      </c>
      <c r="P112">
        <f t="shared" si="15"/>
        <v>0</v>
      </c>
      <c r="Q112">
        <f t="shared" si="16"/>
        <v>1</v>
      </c>
      <c r="R112">
        <f t="shared" si="17"/>
        <v>6</v>
      </c>
      <c r="S112" t="s">
        <v>125</v>
      </c>
      <c r="T112">
        <f t="shared" si="18"/>
        <v>5</v>
      </c>
    </row>
    <row r="113" spans="1:20" x14ac:dyDescent="0.2">
      <c r="A113">
        <v>112</v>
      </c>
      <c r="B113">
        <v>500</v>
      </c>
      <c r="C113">
        <v>10</v>
      </c>
      <c r="D113" s="4">
        <v>1E-3</v>
      </c>
      <c r="E113">
        <v>20</v>
      </c>
      <c r="F113">
        <v>100</v>
      </c>
      <c r="G113" s="4">
        <v>0.47399999999999998</v>
      </c>
      <c r="H113" s="5">
        <v>0.05</v>
      </c>
      <c r="I113" t="s">
        <v>104</v>
      </c>
      <c r="J113">
        <f t="shared" si="10"/>
        <v>1</v>
      </c>
      <c r="K113">
        <f t="shared" si="11"/>
        <v>1</v>
      </c>
      <c r="L113">
        <f t="shared" si="12"/>
        <v>1</v>
      </c>
      <c r="M113">
        <f t="shared" si="19"/>
        <v>1</v>
      </c>
      <c r="N113">
        <f t="shared" si="13"/>
        <v>1</v>
      </c>
      <c r="O113">
        <f t="shared" si="14"/>
        <v>0</v>
      </c>
      <c r="P113">
        <f t="shared" si="15"/>
        <v>1</v>
      </c>
      <c r="Q113">
        <f t="shared" si="16"/>
        <v>1</v>
      </c>
      <c r="R113">
        <f t="shared" si="17"/>
        <v>7</v>
      </c>
      <c r="S113" t="s">
        <v>105</v>
      </c>
      <c r="T113">
        <f t="shared" si="18"/>
        <v>5</v>
      </c>
    </row>
    <row r="114" spans="1:20" x14ac:dyDescent="0.2">
      <c r="A114">
        <v>113</v>
      </c>
      <c r="B114">
        <v>500</v>
      </c>
      <c r="C114">
        <v>10</v>
      </c>
      <c r="D114" s="4">
        <v>1E-3</v>
      </c>
      <c r="E114">
        <v>20</v>
      </c>
      <c r="F114">
        <v>100</v>
      </c>
      <c r="G114" s="3">
        <v>0.9</v>
      </c>
      <c r="H114" s="5">
        <v>0.1</v>
      </c>
      <c r="I114" t="s">
        <v>266</v>
      </c>
      <c r="J114">
        <f t="shared" si="10"/>
        <v>1</v>
      </c>
      <c r="K114">
        <f t="shared" si="11"/>
        <v>1</v>
      </c>
      <c r="L114">
        <f t="shared" si="12"/>
        <v>1</v>
      </c>
      <c r="M114">
        <f t="shared" si="19"/>
        <v>1</v>
      </c>
      <c r="N114">
        <f t="shared" si="13"/>
        <v>1</v>
      </c>
      <c r="O114">
        <f t="shared" si="14"/>
        <v>0</v>
      </c>
      <c r="P114">
        <f t="shared" si="15"/>
        <v>0</v>
      </c>
      <c r="Q114">
        <f t="shared" si="16"/>
        <v>0</v>
      </c>
      <c r="R114">
        <f t="shared" si="17"/>
        <v>5</v>
      </c>
      <c r="S114" t="s">
        <v>111</v>
      </c>
      <c r="T114">
        <f t="shared" si="18"/>
        <v>5</v>
      </c>
    </row>
    <row r="115" spans="1:20" ht="34" x14ac:dyDescent="0.2">
      <c r="A115">
        <v>114</v>
      </c>
      <c r="B115">
        <v>500</v>
      </c>
      <c r="C115">
        <v>10</v>
      </c>
      <c r="D115">
        <v>1</v>
      </c>
      <c r="E115" s="1" t="s">
        <v>618</v>
      </c>
      <c r="F115">
        <v>100</v>
      </c>
      <c r="G115" t="s">
        <v>619</v>
      </c>
      <c r="H115" s="5">
        <v>0.1</v>
      </c>
      <c r="I115" t="s">
        <v>149</v>
      </c>
      <c r="J115">
        <f t="shared" si="10"/>
        <v>1</v>
      </c>
      <c r="K115">
        <f t="shared" si="11"/>
        <v>1</v>
      </c>
      <c r="L115">
        <f t="shared" si="12"/>
        <v>0</v>
      </c>
      <c r="M115">
        <v>1</v>
      </c>
      <c r="N115">
        <f t="shared" si="13"/>
        <v>1</v>
      </c>
      <c r="O115">
        <f t="shared" si="14"/>
        <v>0</v>
      </c>
      <c r="P115">
        <f t="shared" si="15"/>
        <v>0</v>
      </c>
      <c r="Q115">
        <f t="shared" si="16"/>
        <v>0</v>
      </c>
      <c r="R115">
        <f t="shared" si="17"/>
        <v>4</v>
      </c>
      <c r="S115" t="s">
        <v>111</v>
      </c>
      <c r="T115">
        <f t="shared" si="18"/>
        <v>4</v>
      </c>
    </row>
    <row r="116" spans="1:20" x14ac:dyDescent="0.2">
      <c r="A116">
        <v>115</v>
      </c>
      <c r="B116">
        <v>500</v>
      </c>
      <c r="C116">
        <v>10</v>
      </c>
      <c r="D116">
        <v>0.1</v>
      </c>
      <c r="E116">
        <v>20</v>
      </c>
      <c r="F116">
        <v>100</v>
      </c>
      <c r="G116" t="s">
        <v>624</v>
      </c>
      <c r="H116" s="5">
        <v>0.1</v>
      </c>
      <c r="I116" t="s">
        <v>252</v>
      </c>
      <c r="J116">
        <f t="shared" si="10"/>
        <v>1</v>
      </c>
      <c r="K116">
        <f t="shared" si="11"/>
        <v>1</v>
      </c>
      <c r="L116">
        <f t="shared" si="12"/>
        <v>1</v>
      </c>
      <c r="M116">
        <f t="shared" si="19"/>
        <v>1</v>
      </c>
      <c r="N116">
        <f t="shared" si="13"/>
        <v>1</v>
      </c>
      <c r="O116">
        <f t="shared" si="14"/>
        <v>0</v>
      </c>
      <c r="P116">
        <f t="shared" si="15"/>
        <v>0</v>
      </c>
      <c r="Q116">
        <f t="shared" si="16"/>
        <v>0</v>
      </c>
      <c r="R116">
        <f t="shared" si="17"/>
        <v>5</v>
      </c>
      <c r="S116" t="s">
        <v>111</v>
      </c>
      <c r="T116">
        <f t="shared" si="18"/>
        <v>5</v>
      </c>
    </row>
    <row r="117" spans="1:20" x14ac:dyDescent="0.2">
      <c r="A117">
        <v>116</v>
      </c>
      <c r="B117">
        <v>500</v>
      </c>
      <c r="C117">
        <v>10</v>
      </c>
      <c r="D117">
        <v>0.1</v>
      </c>
      <c r="E117">
        <v>20</v>
      </c>
      <c r="F117">
        <v>100</v>
      </c>
      <c r="G117" s="3">
        <v>0.5</v>
      </c>
      <c r="H117" s="5">
        <v>0.05</v>
      </c>
      <c r="I117" t="s">
        <v>104</v>
      </c>
      <c r="J117">
        <f t="shared" si="10"/>
        <v>1</v>
      </c>
      <c r="K117">
        <f t="shared" si="11"/>
        <v>1</v>
      </c>
      <c r="L117">
        <f t="shared" si="12"/>
        <v>1</v>
      </c>
      <c r="M117">
        <f t="shared" si="19"/>
        <v>1</v>
      </c>
      <c r="N117">
        <f t="shared" si="13"/>
        <v>1</v>
      </c>
      <c r="O117">
        <f t="shared" si="14"/>
        <v>1</v>
      </c>
      <c r="P117">
        <f t="shared" si="15"/>
        <v>1</v>
      </c>
      <c r="Q117">
        <f t="shared" si="16"/>
        <v>1</v>
      </c>
      <c r="R117">
        <f t="shared" si="17"/>
        <v>8</v>
      </c>
      <c r="S117" t="s">
        <v>97</v>
      </c>
      <c r="T117">
        <f t="shared" si="18"/>
        <v>6</v>
      </c>
    </row>
    <row r="118" spans="1:20" x14ac:dyDescent="0.2">
      <c r="A118">
        <v>117</v>
      </c>
      <c r="B118">
        <v>500</v>
      </c>
      <c r="C118">
        <v>10</v>
      </c>
      <c r="D118">
        <v>10</v>
      </c>
      <c r="E118">
        <v>20</v>
      </c>
      <c r="F118">
        <v>100</v>
      </c>
      <c r="G118">
        <v>1</v>
      </c>
      <c r="H118">
        <v>0.1</v>
      </c>
      <c r="I118" t="s">
        <v>104</v>
      </c>
      <c r="J118">
        <f t="shared" si="10"/>
        <v>1</v>
      </c>
      <c r="K118">
        <f t="shared" si="11"/>
        <v>1</v>
      </c>
      <c r="L118">
        <f t="shared" si="12"/>
        <v>0</v>
      </c>
      <c r="M118">
        <f t="shared" si="19"/>
        <v>1</v>
      </c>
      <c r="N118">
        <f t="shared" si="13"/>
        <v>1</v>
      </c>
      <c r="O118">
        <f t="shared" si="14"/>
        <v>0</v>
      </c>
      <c r="P118">
        <f t="shared" si="15"/>
        <v>0</v>
      </c>
      <c r="Q118">
        <f t="shared" si="16"/>
        <v>1</v>
      </c>
      <c r="R118">
        <f t="shared" si="17"/>
        <v>5</v>
      </c>
      <c r="S118" t="s">
        <v>97</v>
      </c>
      <c r="T118">
        <f t="shared" si="18"/>
        <v>4</v>
      </c>
    </row>
    <row r="119" spans="1:20" x14ac:dyDescent="0.2">
      <c r="A119">
        <v>118</v>
      </c>
      <c r="B119">
        <v>500</v>
      </c>
      <c r="C119">
        <v>10</v>
      </c>
      <c r="D119" t="s">
        <v>487</v>
      </c>
      <c r="E119">
        <v>20</v>
      </c>
      <c r="F119">
        <v>100</v>
      </c>
      <c r="G119" t="s">
        <v>569</v>
      </c>
      <c r="H119">
        <v>0.05</v>
      </c>
      <c r="I119">
        <v>100</v>
      </c>
      <c r="J119">
        <f t="shared" si="10"/>
        <v>1</v>
      </c>
      <c r="K119">
        <f t="shared" si="11"/>
        <v>1</v>
      </c>
      <c r="L119">
        <v>1</v>
      </c>
      <c r="M119">
        <f t="shared" si="19"/>
        <v>1</v>
      </c>
      <c r="N119">
        <f t="shared" si="13"/>
        <v>1</v>
      </c>
      <c r="O119">
        <f t="shared" si="14"/>
        <v>0</v>
      </c>
      <c r="P119">
        <f t="shared" si="15"/>
        <v>1</v>
      </c>
      <c r="Q119">
        <f t="shared" si="16"/>
        <v>0</v>
      </c>
      <c r="R119">
        <f t="shared" si="17"/>
        <v>6</v>
      </c>
      <c r="S119" t="s">
        <v>125</v>
      </c>
      <c r="T119">
        <f t="shared" si="18"/>
        <v>5</v>
      </c>
    </row>
    <row r="120" spans="1:20" ht="409.5" x14ac:dyDescent="0.2">
      <c r="A120">
        <v>119</v>
      </c>
      <c r="B120">
        <v>500</v>
      </c>
      <c r="C120">
        <v>10</v>
      </c>
      <c r="D120" s="4">
        <v>1E-3</v>
      </c>
      <c r="E120" s="3">
        <v>0.2</v>
      </c>
      <c r="F120">
        <v>100</v>
      </c>
      <c r="G120" s="1" t="s">
        <v>641</v>
      </c>
      <c r="H120" s="5">
        <v>0.1</v>
      </c>
      <c r="I120" t="s">
        <v>642</v>
      </c>
      <c r="J120">
        <f t="shared" si="10"/>
        <v>1</v>
      </c>
      <c r="K120">
        <f t="shared" si="11"/>
        <v>1</v>
      </c>
      <c r="L120">
        <f t="shared" si="12"/>
        <v>1</v>
      </c>
      <c r="M120">
        <f t="shared" si="19"/>
        <v>1</v>
      </c>
      <c r="N120">
        <f t="shared" si="13"/>
        <v>1</v>
      </c>
      <c r="O120">
        <f t="shared" si="14"/>
        <v>0</v>
      </c>
      <c r="P120">
        <f t="shared" si="15"/>
        <v>0</v>
      </c>
      <c r="Q120">
        <v>1</v>
      </c>
      <c r="R120">
        <f t="shared" si="17"/>
        <v>6</v>
      </c>
      <c r="S120" t="s">
        <v>97</v>
      </c>
      <c r="T120">
        <f t="shared" si="18"/>
        <v>5</v>
      </c>
    </row>
    <row r="121" spans="1:20" x14ac:dyDescent="0.2">
      <c r="A121">
        <v>120</v>
      </c>
      <c r="B121">
        <v>500</v>
      </c>
      <c r="C121">
        <v>10</v>
      </c>
      <c r="D121" s="4">
        <v>1.0000000000000001E-5</v>
      </c>
      <c r="E121" s="3">
        <v>0.2</v>
      </c>
      <c r="F121">
        <v>100</v>
      </c>
      <c r="G121">
        <v>10</v>
      </c>
      <c r="H121">
        <v>0.1</v>
      </c>
      <c r="I121" t="s">
        <v>266</v>
      </c>
      <c r="J121">
        <f t="shared" si="10"/>
        <v>1</v>
      </c>
      <c r="K121">
        <f t="shared" si="11"/>
        <v>1</v>
      </c>
      <c r="L121">
        <f t="shared" si="12"/>
        <v>0</v>
      </c>
      <c r="M121">
        <f t="shared" si="19"/>
        <v>1</v>
      </c>
      <c r="N121">
        <f t="shared" si="13"/>
        <v>1</v>
      </c>
      <c r="O121">
        <f t="shared" si="14"/>
        <v>0</v>
      </c>
      <c r="P121">
        <f t="shared" si="15"/>
        <v>0</v>
      </c>
      <c r="Q121">
        <f t="shared" si="16"/>
        <v>0</v>
      </c>
      <c r="R121">
        <f t="shared" si="17"/>
        <v>4</v>
      </c>
      <c r="S121" t="s">
        <v>105</v>
      </c>
      <c r="T121">
        <f t="shared" si="18"/>
        <v>4</v>
      </c>
    </row>
    <row r="122" spans="1:20" x14ac:dyDescent="0.2">
      <c r="A122">
        <v>121</v>
      </c>
      <c r="B122">
        <v>500</v>
      </c>
      <c r="C122">
        <v>10</v>
      </c>
      <c r="D122" s="4">
        <v>1.0000000000000001E-5</v>
      </c>
      <c r="E122">
        <v>20</v>
      </c>
      <c r="F122">
        <v>100</v>
      </c>
      <c r="G122" t="s">
        <v>652</v>
      </c>
      <c r="H122">
        <v>0.05</v>
      </c>
      <c r="I122" t="s">
        <v>266</v>
      </c>
      <c r="J122">
        <f t="shared" si="10"/>
        <v>1</v>
      </c>
      <c r="K122">
        <f t="shared" si="11"/>
        <v>1</v>
      </c>
      <c r="L122">
        <f t="shared" si="12"/>
        <v>0</v>
      </c>
      <c r="M122">
        <f t="shared" si="19"/>
        <v>1</v>
      </c>
      <c r="N122">
        <f t="shared" si="13"/>
        <v>1</v>
      </c>
      <c r="O122">
        <f t="shared" si="14"/>
        <v>0</v>
      </c>
      <c r="P122">
        <f t="shared" si="15"/>
        <v>1</v>
      </c>
      <c r="Q122">
        <f t="shared" si="16"/>
        <v>0</v>
      </c>
      <c r="R122">
        <f t="shared" si="17"/>
        <v>5</v>
      </c>
      <c r="S122" t="s">
        <v>125</v>
      </c>
      <c r="T122">
        <f t="shared" si="18"/>
        <v>4</v>
      </c>
    </row>
    <row r="123" spans="1:20" x14ac:dyDescent="0.2">
      <c r="A123">
        <v>122</v>
      </c>
      <c r="B123" t="s">
        <v>657</v>
      </c>
      <c r="C123">
        <v>100</v>
      </c>
      <c r="D123" s="4">
        <v>1E-3</v>
      </c>
      <c r="E123" s="3">
        <v>0.2</v>
      </c>
      <c r="F123">
        <v>100</v>
      </c>
      <c r="G123" s="3">
        <v>0.5</v>
      </c>
      <c r="H123">
        <v>0.1</v>
      </c>
      <c r="I123">
        <v>20</v>
      </c>
      <c r="J123">
        <f t="shared" si="10"/>
        <v>0</v>
      </c>
      <c r="K123">
        <f t="shared" si="11"/>
        <v>0</v>
      </c>
      <c r="L123">
        <f t="shared" si="12"/>
        <v>1</v>
      </c>
      <c r="M123">
        <f t="shared" si="19"/>
        <v>1</v>
      </c>
      <c r="N123">
        <f t="shared" si="13"/>
        <v>1</v>
      </c>
      <c r="O123">
        <f t="shared" si="14"/>
        <v>1</v>
      </c>
      <c r="P123">
        <f t="shared" si="15"/>
        <v>0</v>
      </c>
      <c r="Q123">
        <f t="shared" si="16"/>
        <v>0</v>
      </c>
      <c r="R123">
        <f t="shared" si="17"/>
        <v>4</v>
      </c>
      <c r="S123" t="s">
        <v>111</v>
      </c>
      <c r="T123">
        <f t="shared" si="18"/>
        <v>4</v>
      </c>
    </row>
    <row r="124" spans="1:20" x14ac:dyDescent="0.2">
      <c r="A124">
        <v>123</v>
      </c>
      <c r="B124">
        <v>500</v>
      </c>
      <c r="C124">
        <v>10</v>
      </c>
      <c r="D124">
        <v>0.1</v>
      </c>
      <c r="E124">
        <v>20</v>
      </c>
      <c r="F124">
        <v>100</v>
      </c>
      <c r="G124" t="s">
        <v>662</v>
      </c>
      <c r="H124" s="5">
        <v>0.05</v>
      </c>
      <c r="I124" t="s">
        <v>104</v>
      </c>
      <c r="J124">
        <f t="shared" si="10"/>
        <v>1</v>
      </c>
      <c r="K124">
        <f t="shared" si="11"/>
        <v>1</v>
      </c>
      <c r="L124">
        <f t="shared" si="12"/>
        <v>1</v>
      </c>
      <c r="M124">
        <f t="shared" si="19"/>
        <v>1</v>
      </c>
      <c r="N124">
        <f t="shared" si="13"/>
        <v>1</v>
      </c>
      <c r="O124">
        <v>1</v>
      </c>
      <c r="P124">
        <f t="shared" si="15"/>
        <v>1</v>
      </c>
      <c r="Q124">
        <f t="shared" si="16"/>
        <v>1</v>
      </c>
      <c r="R124">
        <f t="shared" si="17"/>
        <v>8</v>
      </c>
      <c r="S124" t="s">
        <v>97</v>
      </c>
      <c r="T124">
        <f t="shared" si="18"/>
        <v>6</v>
      </c>
    </row>
    <row r="125" spans="1:20" x14ac:dyDescent="0.2">
      <c r="A125">
        <v>124</v>
      </c>
      <c r="B125">
        <v>500</v>
      </c>
      <c r="C125">
        <v>10</v>
      </c>
      <c r="D125" s="4">
        <v>1E-3</v>
      </c>
      <c r="E125">
        <v>20</v>
      </c>
      <c r="F125">
        <v>100</v>
      </c>
      <c r="G125" s="3">
        <v>0.9</v>
      </c>
      <c r="H125">
        <v>0.05</v>
      </c>
      <c r="I125" t="s">
        <v>104</v>
      </c>
      <c r="J125">
        <f t="shared" si="10"/>
        <v>1</v>
      </c>
      <c r="K125">
        <f t="shared" si="11"/>
        <v>1</v>
      </c>
      <c r="L125">
        <f t="shared" si="12"/>
        <v>1</v>
      </c>
      <c r="M125">
        <f t="shared" si="19"/>
        <v>1</v>
      </c>
      <c r="N125">
        <f t="shared" si="13"/>
        <v>1</v>
      </c>
      <c r="O125">
        <f t="shared" si="14"/>
        <v>0</v>
      </c>
      <c r="P125">
        <f t="shared" si="15"/>
        <v>1</v>
      </c>
      <c r="Q125">
        <f t="shared" si="16"/>
        <v>1</v>
      </c>
      <c r="R125">
        <f t="shared" si="17"/>
        <v>7</v>
      </c>
      <c r="S125" t="s">
        <v>125</v>
      </c>
      <c r="T125">
        <f t="shared" si="18"/>
        <v>5</v>
      </c>
    </row>
    <row r="126" spans="1:20" x14ac:dyDescent="0.2">
      <c r="A126">
        <v>125</v>
      </c>
      <c r="B126">
        <v>500</v>
      </c>
      <c r="C126">
        <v>10</v>
      </c>
      <c r="D126">
        <v>0.1</v>
      </c>
      <c r="E126">
        <v>20</v>
      </c>
      <c r="F126">
        <v>100</v>
      </c>
      <c r="G126">
        <v>80</v>
      </c>
      <c r="H126">
        <v>0.1</v>
      </c>
      <c r="I126">
        <v>5</v>
      </c>
      <c r="J126">
        <f t="shared" si="10"/>
        <v>1</v>
      </c>
      <c r="K126">
        <f t="shared" si="11"/>
        <v>1</v>
      </c>
      <c r="L126">
        <f t="shared" si="12"/>
        <v>1</v>
      </c>
      <c r="M126">
        <f t="shared" si="19"/>
        <v>1</v>
      </c>
      <c r="N126">
        <f t="shared" si="13"/>
        <v>1</v>
      </c>
      <c r="O126">
        <f t="shared" si="14"/>
        <v>0</v>
      </c>
      <c r="P126">
        <f t="shared" si="15"/>
        <v>0</v>
      </c>
      <c r="Q126">
        <f t="shared" si="16"/>
        <v>1</v>
      </c>
      <c r="R126">
        <f t="shared" si="17"/>
        <v>6</v>
      </c>
      <c r="S126" t="s">
        <v>125</v>
      </c>
      <c r="T126">
        <f t="shared" si="18"/>
        <v>5</v>
      </c>
    </row>
    <row r="127" spans="1:20" x14ac:dyDescent="0.2">
      <c r="A127">
        <v>126</v>
      </c>
      <c r="B127">
        <v>500</v>
      </c>
      <c r="C127">
        <v>10</v>
      </c>
      <c r="D127" s="4">
        <v>1E-3</v>
      </c>
      <c r="E127">
        <v>20</v>
      </c>
      <c r="F127">
        <v>100</v>
      </c>
      <c r="G127" s="7">
        <v>45187</v>
      </c>
      <c r="H127">
        <v>0.05</v>
      </c>
      <c r="I127" t="s">
        <v>104</v>
      </c>
      <c r="J127">
        <f t="shared" si="10"/>
        <v>1</v>
      </c>
      <c r="K127">
        <f t="shared" si="11"/>
        <v>1</v>
      </c>
      <c r="L127">
        <f t="shared" si="12"/>
        <v>1</v>
      </c>
      <c r="M127">
        <f t="shared" si="19"/>
        <v>1</v>
      </c>
      <c r="N127">
        <f t="shared" si="13"/>
        <v>1</v>
      </c>
      <c r="O127">
        <f t="shared" si="14"/>
        <v>0</v>
      </c>
      <c r="P127">
        <f t="shared" si="15"/>
        <v>1</v>
      </c>
      <c r="Q127">
        <f t="shared" si="16"/>
        <v>1</v>
      </c>
      <c r="R127">
        <f t="shared" si="17"/>
        <v>7</v>
      </c>
      <c r="S127" t="s">
        <v>125</v>
      </c>
      <c r="T127">
        <f t="shared" si="18"/>
        <v>5</v>
      </c>
    </row>
    <row r="128" spans="1:20" x14ac:dyDescent="0.2">
      <c r="A128">
        <v>127</v>
      </c>
      <c r="B128">
        <v>500</v>
      </c>
      <c r="C128">
        <v>10</v>
      </c>
      <c r="D128" t="s">
        <v>679</v>
      </c>
      <c r="E128" s="3">
        <v>0.2</v>
      </c>
      <c r="F128">
        <v>100</v>
      </c>
      <c r="G128" s="3">
        <v>0.8</v>
      </c>
      <c r="H128" t="s">
        <v>159</v>
      </c>
      <c r="I128" t="s">
        <v>160</v>
      </c>
      <c r="J128">
        <f t="shared" si="10"/>
        <v>1</v>
      </c>
      <c r="K128">
        <f t="shared" si="11"/>
        <v>1</v>
      </c>
      <c r="L128">
        <f t="shared" si="12"/>
        <v>0</v>
      </c>
      <c r="M128">
        <f t="shared" si="19"/>
        <v>1</v>
      </c>
      <c r="N128">
        <f t="shared" si="13"/>
        <v>1</v>
      </c>
      <c r="O128">
        <f t="shared" si="14"/>
        <v>0</v>
      </c>
      <c r="P128">
        <f t="shared" si="15"/>
        <v>1</v>
      </c>
      <c r="Q128">
        <v>1</v>
      </c>
      <c r="R128">
        <f t="shared" si="17"/>
        <v>6</v>
      </c>
      <c r="S128" t="s">
        <v>125</v>
      </c>
      <c r="T128">
        <f t="shared" si="18"/>
        <v>4</v>
      </c>
    </row>
    <row r="129" spans="1:20" x14ac:dyDescent="0.2">
      <c r="A129">
        <v>128</v>
      </c>
      <c r="B129">
        <v>500</v>
      </c>
      <c r="C129">
        <v>10</v>
      </c>
      <c r="D129" s="4">
        <v>1E-3</v>
      </c>
      <c r="E129">
        <v>20</v>
      </c>
      <c r="F129">
        <v>100</v>
      </c>
      <c r="G129" s="3">
        <v>0.1</v>
      </c>
      <c r="H129">
        <v>0.05</v>
      </c>
      <c r="I129" t="s">
        <v>104</v>
      </c>
      <c r="J129">
        <f t="shared" si="10"/>
        <v>1</v>
      </c>
      <c r="K129">
        <f t="shared" si="11"/>
        <v>1</v>
      </c>
      <c r="L129">
        <f t="shared" si="12"/>
        <v>1</v>
      </c>
      <c r="M129">
        <f t="shared" si="19"/>
        <v>1</v>
      </c>
      <c r="N129">
        <f t="shared" si="13"/>
        <v>1</v>
      </c>
      <c r="O129">
        <f t="shared" si="14"/>
        <v>0</v>
      </c>
      <c r="P129">
        <f t="shared" si="15"/>
        <v>1</v>
      </c>
      <c r="Q129">
        <f t="shared" si="16"/>
        <v>1</v>
      </c>
      <c r="R129">
        <f t="shared" si="17"/>
        <v>7</v>
      </c>
      <c r="S129" t="s">
        <v>125</v>
      </c>
      <c r="T129">
        <f t="shared" si="18"/>
        <v>5</v>
      </c>
    </row>
    <row r="130" spans="1:20" x14ac:dyDescent="0.2">
      <c r="A130">
        <v>129</v>
      </c>
      <c r="B130">
        <v>4</v>
      </c>
      <c r="C130" s="3">
        <v>0.01</v>
      </c>
      <c r="D130" s="3">
        <v>0.01</v>
      </c>
      <c r="E130">
        <v>20</v>
      </c>
      <c r="F130">
        <v>100</v>
      </c>
      <c r="G130" s="3">
        <v>0.01</v>
      </c>
      <c r="H130">
        <v>0.1</v>
      </c>
      <c r="I130" t="s">
        <v>104</v>
      </c>
      <c r="J130">
        <f t="shared" si="10"/>
        <v>0</v>
      </c>
      <c r="K130">
        <f t="shared" si="11"/>
        <v>0</v>
      </c>
      <c r="L130">
        <f t="shared" si="12"/>
        <v>0</v>
      </c>
      <c r="M130">
        <f t="shared" si="19"/>
        <v>1</v>
      </c>
      <c r="N130">
        <f t="shared" si="13"/>
        <v>1</v>
      </c>
      <c r="O130">
        <f t="shared" si="14"/>
        <v>0</v>
      </c>
      <c r="P130">
        <f t="shared" si="15"/>
        <v>0</v>
      </c>
      <c r="Q130">
        <f t="shared" si="16"/>
        <v>1</v>
      </c>
      <c r="R130">
        <f t="shared" si="17"/>
        <v>3</v>
      </c>
      <c r="S130" t="s">
        <v>111</v>
      </c>
      <c r="T130">
        <f t="shared" si="18"/>
        <v>2</v>
      </c>
    </row>
    <row r="131" spans="1:20" x14ac:dyDescent="0.2">
      <c r="A131">
        <v>130</v>
      </c>
      <c r="B131">
        <v>300</v>
      </c>
      <c r="C131">
        <v>40</v>
      </c>
      <c r="D131">
        <v>1</v>
      </c>
      <c r="E131">
        <v>20</v>
      </c>
      <c r="F131">
        <v>100</v>
      </c>
      <c r="G131">
        <v>10</v>
      </c>
      <c r="H131">
        <v>0.1</v>
      </c>
      <c r="I131" t="s">
        <v>266</v>
      </c>
      <c r="J131">
        <f t="shared" ref="J131:J194" si="20">IF(B131=500,1,0)</f>
        <v>0</v>
      </c>
      <c r="K131">
        <f t="shared" ref="K131:K193" si="21">IF(C131=10,1,0)</f>
        <v>0</v>
      </c>
      <c r="L131">
        <f t="shared" ref="L131:L194" si="22">IF(OR(D131=0.1,D131=0.1%),1,0)</f>
        <v>0</v>
      </c>
      <c r="M131">
        <f t="shared" si="19"/>
        <v>1</v>
      </c>
      <c r="N131">
        <f t="shared" ref="N131:N194" si="23">IF(F131=100,1,0)</f>
        <v>1</v>
      </c>
      <c r="O131">
        <f t="shared" ref="O131:O194" si="24">IF(OR(G131=50,G131=50%),1,0)</f>
        <v>0</v>
      </c>
      <c r="P131">
        <f t="shared" ref="P131:P194" si="25">IF(OR(H131=0.05,H131="$0.05",H131="5 cents"),1,0)</f>
        <v>0</v>
      </c>
      <c r="Q131">
        <f t="shared" ref="Q131:Q194" si="26">IF(OR(I131=5,I131="5 minutes"),1,0)</f>
        <v>0</v>
      </c>
      <c r="R131">
        <f t="shared" ref="R131:R194" si="27">SUM(J131:Q131)</f>
        <v>2</v>
      </c>
      <c r="S131" t="s">
        <v>105</v>
      </c>
      <c r="T131">
        <f t="shared" ref="T131:T194" si="28">SUM(J131:O131)</f>
        <v>2</v>
      </c>
    </row>
    <row r="132" spans="1:20" x14ac:dyDescent="0.2">
      <c r="A132">
        <v>131</v>
      </c>
      <c r="B132" t="s">
        <v>696</v>
      </c>
      <c r="C132">
        <v>10</v>
      </c>
      <c r="D132" s="4">
        <v>1E-3</v>
      </c>
      <c r="E132">
        <v>20</v>
      </c>
      <c r="F132" t="s">
        <v>697</v>
      </c>
      <c r="G132" s="3">
        <v>0.5</v>
      </c>
      <c r="H132" s="5">
        <v>0.05</v>
      </c>
      <c r="I132" t="s">
        <v>698</v>
      </c>
      <c r="J132">
        <v>1</v>
      </c>
      <c r="K132">
        <f t="shared" si="21"/>
        <v>1</v>
      </c>
      <c r="L132">
        <f t="shared" si="22"/>
        <v>1</v>
      </c>
      <c r="M132">
        <f t="shared" ref="M132:M195" si="29">IF(OR(E132=20,E132=20%),1,0)</f>
        <v>1</v>
      </c>
      <c r="N132">
        <v>1</v>
      </c>
      <c r="O132">
        <f t="shared" si="24"/>
        <v>1</v>
      </c>
      <c r="P132">
        <f t="shared" si="25"/>
        <v>1</v>
      </c>
      <c r="Q132">
        <v>1</v>
      </c>
      <c r="R132">
        <f t="shared" si="27"/>
        <v>8</v>
      </c>
      <c r="S132" t="s">
        <v>125</v>
      </c>
      <c r="T132">
        <f t="shared" si="28"/>
        <v>6</v>
      </c>
    </row>
    <row r="133" spans="1:20" x14ac:dyDescent="0.2">
      <c r="A133">
        <v>132</v>
      </c>
      <c r="B133">
        <v>500</v>
      </c>
      <c r="C133">
        <v>10</v>
      </c>
      <c r="D133" s="4">
        <v>1E-3</v>
      </c>
      <c r="E133">
        <v>20</v>
      </c>
      <c r="F133">
        <v>100</v>
      </c>
      <c r="G133">
        <v>90</v>
      </c>
      <c r="H133" s="5">
        <v>0.05</v>
      </c>
      <c r="I133" t="s">
        <v>104</v>
      </c>
      <c r="J133">
        <f t="shared" si="20"/>
        <v>1</v>
      </c>
      <c r="K133">
        <f t="shared" si="21"/>
        <v>1</v>
      </c>
      <c r="L133">
        <f t="shared" si="22"/>
        <v>1</v>
      </c>
      <c r="M133">
        <f t="shared" si="29"/>
        <v>1</v>
      </c>
      <c r="N133">
        <f t="shared" si="23"/>
        <v>1</v>
      </c>
      <c r="O133">
        <f t="shared" si="24"/>
        <v>0</v>
      </c>
      <c r="P133">
        <f t="shared" si="25"/>
        <v>1</v>
      </c>
      <c r="Q133">
        <f t="shared" si="26"/>
        <v>1</v>
      </c>
      <c r="R133">
        <f t="shared" si="27"/>
        <v>7</v>
      </c>
      <c r="S133" t="s">
        <v>105</v>
      </c>
      <c r="T133">
        <f t="shared" si="28"/>
        <v>5</v>
      </c>
    </row>
    <row r="134" spans="1:20" x14ac:dyDescent="0.2">
      <c r="A134">
        <v>133</v>
      </c>
      <c r="B134">
        <v>180</v>
      </c>
      <c r="C134">
        <v>10</v>
      </c>
      <c r="D134">
        <v>0.1</v>
      </c>
      <c r="E134">
        <v>20</v>
      </c>
      <c r="F134">
        <v>100</v>
      </c>
      <c r="G134">
        <v>9</v>
      </c>
      <c r="H134">
        <v>0.1</v>
      </c>
      <c r="I134" t="s">
        <v>104</v>
      </c>
      <c r="J134">
        <f t="shared" si="20"/>
        <v>0</v>
      </c>
      <c r="K134">
        <f t="shared" si="21"/>
        <v>1</v>
      </c>
      <c r="L134">
        <f t="shared" si="22"/>
        <v>1</v>
      </c>
      <c r="M134">
        <f t="shared" si="29"/>
        <v>1</v>
      </c>
      <c r="N134">
        <f t="shared" si="23"/>
        <v>1</v>
      </c>
      <c r="O134">
        <f t="shared" si="24"/>
        <v>0</v>
      </c>
      <c r="P134">
        <f t="shared" si="25"/>
        <v>0</v>
      </c>
      <c r="Q134">
        <f t="shared" si="26"/>
        <v>1</v>
      </c>
      <c r="R134">
        <f t="shared" si="27"/>
        <v>5</v>
      </c>
      <c r="S134" t="s">
        <v>111</v>
      </c>
      <c r="T134">
        <f t="shared" si="28"/>
        <v>4</v>
      </c>
    </row>
    <row r="135" spans="1:20" x14ac:dyDescent="0.2">
      <c r="A135">
        <v>134</v>
      </c>
      <c r="B135">
        <v>500</v>
      </c>
      <c r="C135">
        <v>10</v>
      </c>
      <c r="D135">
        <v>0.1</v>
      </c>
      <c r="E135">
        <v>20</v>
      </c>
      <c r="F135">
        <v>10</v>
      </c>
      <c r="G135">
        <v>10</v>
      </c>
      <c r="H135">
        <v>0.1</v>
      </c>
      <c r="I135">
        <v>100</v>
      </c>
      <c r="J135">
        <f t="shared" si="20"/>
        <v>1</v>
      </c>
      <c r="K135">
        <f t="shared" si="21"/>
        <v>1</v>
      </c>
      <c r="L135">
        <f t="shared" si="22"/>
        <v>1</v>
      </c>
      <c r="M135">
        <f t="shared" si="29"/>
        <v>1</v>
      </c>
      <c r="N135">
        <f t="shared" si="23"/>
        <v>0</v>
      </c>
      <c r="O135">
        <f t="shared" si="24"/>
        <v>0</v>
      </c>
      <c r="P135">
        <f t="shared" si="25"/>
        <v>0</v>
      </c>
      <c r="Q135">
        <f t="shared" si="26"/>
        <v>0</v>
      </c>
      <c r="R135">
        <f t="shared" si="27"/>
        <v>4</v>
      </c>
      <c r="S135" t="s">
        <v>125</v>
      </c>
      <c r="T135">
        <f t="shared" si="28"/>
        <v>4</v>
      </c>
    </row>
    <row r="136" spans="1:20" x14ac:dyDescent="0.2">
      <c r="A136">
        <v>135</v>
      </c>
      <c r="B136" t="s">
        <v>715</v>
      </c>
      <c r="C136" t="s">
        <v>716</v>
      </c>
      <c r="D136" s="3">
        <v>0.01</v>
      </c>
      <c r="E136" s="3">
        <v>0.2</v>
      </c>
      <c r="F136" t="s">
        <v>717</v>
      </c>
      <c r="G136" s="3">
        <v>0.18</v>
      </c>
      <c r="H136" s="5">
        <v>0.05</v>
      </c>
      <c r="I136" t="s">
        <v>266</v>
      </c>
      <c r="J136">
        <v>1</v>
      </c>
      <c r="K136">
        <v>1</v>
      </c>
      <c r="L136">
        <f t="shared" si="22"/>
        <v>0</v>
      </c>
      <c r="M136">
        <f t="shared" si="29"/>
        <v>1</v>
      </c>
      <c r="N136">
        <v>1</v>
      </c>
      <c r="O136">
        <f t="shared" si="24"/>
        <v>0</v>
      </c>
      <c r="P136">
        <f t="shared" si="25"/>
        <v>1</v>
      </c>
      <c r="Q136">
        <f t="shared" si="26"/>
        <v>0</v>
      </c>
      <c r="R136">
        <f t="shared" si="27"/>
        <v>5</v>
      </c>
      <c r="S136" t="s">
        <v>105</v>
      </c>
      <c r="T136">
        <f t="shared" si="28"/>
        <v>4</v>
      </c>
    </row>
    <row r="137" spans="1:20" x14ac:dyDescent="0.2">
      <c r="A137">
        <v>136</v>
      </c>
      <c r="B137">
        <v>500</v>
      </c>
      <c r="C137">
        <v>1</v>
      </c>
      <c r="D137">
        <v>1</v>
      </c>
      <c r="E137">
        <v>20</v>
      </c>
      <c r="F137">
        <v>100</v>
      </c>
      <c r="G137" t="s">
        <v>722</v>
      </c>
      <c r="H137">
        <v>0.1</v>
      </c>
      <c r="I137" t="s">
        <v>723</v>
      </c>
      <c r="J137">
        <f t="shared" si="20"/>
        <v>1</v>
      </c>
      <c r="K137">
        <f t="shared" si="21"/>
        <v>0</v>
      </c>
      <c r="L137">
        <f t="shared" si="22"/>
        <v>0</v>
      </c>
      <c r="M137">
        <f t="shared" si="29"/>
        <v>1</v>
      </c>
      <c r="N137">
        <f t="shared" si="23"/>
        <v>1</v>
      </c>
      <c r="O137">
        <f t="shared" si="24"/>
        <v>0</v>
      </c>
      <c r="P137">
        <f t="shared" si="25"/>
        <v>0</v>
      </c>
      <c r="Q137">
        <v>1</v>
      </c>
      <c r="R137">
        <f t="shared" si="27"/>
        <v>4</v>
      </c>
      <c r="S137" t="s">
        <v>105</v>
      </c>
      <c r="T137">
        <f t="shared" si="28"/>
        <v>3</v>
      </c>
    </row>
    <row r="138" spans="1:20" x14ac:dyDescent="0.2">
      <c r="A138">
        <v>137</v>
      </c>
      <c r="B138">
        <v>501</v>
      </c>
      <c r="C138">
        <v>1</v>
      </c>
      <c r="D138" s="4">
        <v>1E-3</v>
      </c>
      <c r="E138">
        <v>20</v>
      </c>
      <c r="F138">
        <v>100</v>
      </c>
      <c r="G138" s="3">
        <v>0.9</v>
      </c>
      <c r="H138">
        <v>0.1</v>
      </c>
      <c r="I138" t="s">
        <v>728</v>
      </c>
      <c r="J138">
        <f t="shared" si="20"/>
        <v>0</v>
      </c>
      <c r="K138">
        <f t="shared" si="21"/>
        <v>0</v>
      </c>
      <c r="L138">
        <f t="shared" si="22"/>
        <v>1</v>
      </c>
      <c r="M138">
        <f t="shared" si="29"/>
        <v>1</v>
      </c>
      <c r="N138">
        <f t="shared" si="23"/>
        <v>1</v>
      </c>
      <c r="O138">
        <f t="shared" si="24"/>
        <v>0</v>
      </c>
      <c r="P138">
        <f t="shared" si="25"/>
        <v>0</v>
      </c>
      <c r="Q138">
        <v>1</v>
      </c>
      <c r="R138">
        <f t="shared" si="27"/>
        <v>4</v>
      </c>
      <c r="S138" t="s">
        <v>111</v>
      </c>
      <c r="T138">
        <f t="shared" si="28"/>
        <v>3</v>
      </c>
    </row>
    <row r="139" spans="1:20" x14ac:dyDescent="0.2">
      <c r="A139">
        <v>138</v>
      </c>
      <c r="B139">
        <v>500</v>
      </c>
      <c r="C139">
        <v>10</v>
      </c>
      <c r="D139">
        <v>0.1</v>
      </c>
      <c r="E139">
        <v>20</v>
      </c>
      <c r="F139">
        <v>100</v>
      </c>
      <c r="G139">
        <v>50</v>
      </c>
      <c r="H139">
        <v>0.05</v>
      </c>
      <c r="I139" t="s">
        <v>104</v>
      </c>
      <c r="J139">
        <f t="shared" si="20"/>
        <v>1</v>
      </c>
      <c r="K139">
        <f t="shared" si="21"/>
        <v>1</v>
      </c>
      <c r="L139">
        <f t="shared" si="22"/>
        <v>1</v>
      </c>
      <c r="M139">
        <f t="shared" si="29"/>
        <v>1</v>
      </c>
      <c r="N139">
        <f t="shared" si="23"/>
        <v>1</v>
      </c>
      <c r="O139">
        <f t="shared" si="24"/>
        <v>1</v>
      </c>
      <c r="P139">
        <f t="shared" si="25"/>
        <v>1</v>
      </c>
      <c r="Q139">
        <f t="shared" si="26"/>
        <v>1</v>
      </c>
      <c r="R139">
        <f t="shared" si="27"/>
        <v>8</v>
      </c>
      <c r="S139" t="s">
        <v>105</v>
      </c>
      <c r="T139">
        <f t="shared" si="28"/>
        <v>6</v>
      </c>
    </row>
    <row r="140" spans="1:20" x14ac:dyDescent="0.2">
      <c r="A140">
        <v>139</v>
      </c>
      <c r="B140">
        <v>500</v>
      </c>
      <c r="C140">
        <v>10</v>
      </c>
      <c r="D140" s="4">
        <v>1.0000000000000001E-5</v>
      </c>
      <c r="E140" s="3">
        <v>0.2</v>
      </c>
      <c r="F140">
        <v>100</v>
      </c>
      <c r="G140" s="3">
        <v>0.9</v>
      </c>
      <c r="H140" s="5">
        <v>0.05</v>
      </c>
      <c r="I140" t="s">
        <v>266</v>
      </c>
      <c r="J140">
        <f t="shared" si="20"/>
        <v>1</v>
      </c>
      <c r="K140">
        <f t="shared" si="21"/>
        <v>1</v>
      </c>
      <c r="L140">
        <f t="shared" si="22"/>
        <v>0</v>
      </c>
      <c r="M140">
        <f t="shared" si="29"/>
        <v>1</v>
      </c>
      <c r="N140">
        <f t="shared" si="23"/>
        <v>1</v>
      </c>
      <c r="O140">
        <f t="shared" si="24"/>
        <v>0</v>
      </c>
      <c r="P140">
        <f t="shared" si="25"/>
        <v>1</v>
      </c>
      <c r="Q140">
        <f t="shared" si="26"/>
        <v>0</v>
      </c>
      <c r="R140">
        <f t="shared" si="27"/>
        <v>5</v>
      </c>
      <c r="S140" t="s">
        <v>125</v>
      </c>
      <c r="T140">
        <f t="shared" si="28"/>
        <v>4</v>
      </c>
    </row>
    <row r="141" spans="1:20" x14ac:dyDescent="0.2">
      <c r="A141">
        <v>140</v>
      </c>
      <c r="B141">
        <v>500</v>
      </c>
      <c r="C141">
        <v>10</v>
      </c>
      <c r="D141" s="4">
        <v>1E-4</v>
      </c>
      <c r="E141">
        <v>20</v>
      </c>
      <c r="F141">
        <v>100</v>
      </c>
      <c r="G141" t="s">
        <v>741</v>
      </c>
      <c r="H141">
        <v>0.05</v>
      </c>
      <c r="I141">
        <v>100</v>
      </c>
      <c r="J141">
        <f t="shared" si="20"/>
        <v>1</v>
      </c>
      <c r="K141">
        <f t="shared" si="21"/>
        <v>1</v>
      </c>
      <c r="L141">
        <f t="shared" si="22"/>
        <v>0</v>
      </c>
      <c r="M141">
        <f t="shared" si="29"/>
        <v>1</v>
      </c>
      <c r="N141">
        <f t="shared" si="23"/>
        <v>1</v>
      </c>
      <c r="O141">
        <f t="shared" si="24"/>
        <v>0</v>
      </c>
      <c r="P141">
        <f t="shared" si="25"/>
        <v>1</v>
      </c>
      <c r="Q141">
        <f t="shared" si="26"/>
        <v>0</v>
      </c>
      <c r="R141">
        <f t="shared" si="27"/>
        <v>5</v>
      </c>
      <c r="S141" t="s">
        <v>97</v>
      </c>
      <c r="T141">
        <f t="shared" si="28"/>
        <v>4</v>
      </c>
    </row>
    <row r="142" spans="1:20" x14ac:dyDescent="0.2">
      <c r="A142">
        <v>141</v>
      </c>
      <c r="B142">
        <v>500</v>
      </c>
      <c r="C142">
        <v>10</v>
      </c>
      <c r="D142">
        <v>0.1</v>
      </c>
      <c r="E142">
        <v>20</v>
      </c>
      <c r="F142">
        <v>100</v>
      </c>
      <c r="G142">
        <v>9</v>
      </c>
      <c r="H142">
        <v>0.05</v>
      </c>
      <c r="I142">
        <v>100</v>
      </c>
      <c r="J142">
        <f t="shared" si="20"/>
        <v>1</v>
      </c>
      <c r="K142">
        <f t="shared" si="21"/>
        <v>1</v>
      </c>
      <c r="L142">
        <f t="shared" si="22"/>
        <v>1</v>
      </c>
      <c r="M142">
        <f t="shared" si="29"/>
        <v>1</v>
      </c>
      <c r="N142">
        <f t="shared" si="23"/>
        <v>1</v>
      </c>
      <c r="O142">
        <f t="shared" si="24"/>
        <v>0</v>
      </c>
      <c r="P142">
        <f t="shared" si="25"/>
        <v>1</v>
      </c>
      <c r="Q142">
        <f t="shared" si="26"/>
        <v>0</v>
      </c>
      <c r="R142">
        <f t="shared" si="27"/>
        <v>6</v>
      </c>
      <c r="S142" t="s">
        <v>97</v>
      </c>
      <c r="T142">
        <f t="shared" si="28"/>
        <v>5</v>
      </c>
    </row>
    <row r="143" spans="1:20" x14ac:dyDescent="0.2">
      <c r="A143">
        <v>142</v>
      </c>
      <c r="B143">
        <v>500</v>
      </c>
      <c r="C143">
        <v>10</v>
      </c>
      <c r="D143" s="4">
        <v>1E-3</v>
      </c>
      <c r="E143">
        <v>20</v>
      </c>
      <c r="F143">
        <v>100</v>
      </c>
      <c r="G143" s="3">
        <v>0.1</v>
      </c>
      <c r="H143">
        <v>0.05</v>
      </c>
      <c r="I143" t="s">
        <v>104</v>
      </c>
      <c r="J143">
        <f t="shared" si="20"/>
        <v>1</v>
      </c>
      <c r="K143">
        <f t="shared" si="21"/>
        <v>1</v>
      </c>
      <c r="L143">
        <f t="shared" si="22"/>
        <v>1</v>
      </c>
      <c r="M143">
        <f t="shared" si="29"/>
        <v>1</v>
      </c>
      <c r="N143">
        <f t="shared" si="23"/>
        <v>1</v>
      </c>
      <c r="O143">
        <f t="shared" si="24"/>
        <v>0</v>
      </c>
      <c r="P143">
        <f t="shared" si="25"/>
        <v>1</v>
      </c>
      <c r="Q143">
        <f t="shared" si="26"/>
        <v>1</v>
      </c>
      <c r="R143">
        <f t="shared" si="27"/>
        <v>7</v>
      </c>
      <c r="S143" t="s">
        <v>125</v>
      </c>
      <c r="T143">
        <f t="shared" si="28"/>
        <v>5</v>
      </c>
    </row>
    <row r="144" spans="1:20" x14ac:dyDescent="0.2">
      <c r="A144">
        <v>143</v>
      </c>
      <c r="B144">
        <v>462</v>
      </c>
      <c r="C144">
        <v>100</v>
      </c>
      <c r="D144" s="8">
        <v>10000</v>
      </c>
      <c r="E144" t="s">
        <v>755</v>
      </c>
      <c r="F144">
        <v>100</v>
      </c>
      <c r="G144" s="3">
        <v>0.01</v>
      </c>
      <c r="H144">
        <v>0.1</v>
      </c>
      <c r="I144" t="s">
        <v>136</v>
      </c>
      <c r="J144">
        <f t="shared" si="20"/>
        <v>0</v>
      </c>
      <c r="K144">
        <f t="shared" si="21"/>
        <v>0</v>
      </c>
      <c r="L144">
        <f t="shared" si="22"/>
        <v>0</v>
      </c>
      <c r="M144">
        <v>1</v>
      </c>
      <c r="N144">
        <f t="shared" si="23"/>
        <v>1</v>
      </c>
      <c r="O144">
        <f t="shared" si="24"/>
        <v>0</v>
      </c>
      <c r="P144">
        <f t="shared" si="25"/>
        <v>0</v>
      </c>
      <c r="Q144">
        <v>1</v>
      </c>
      <c r="R144">
        <f t="shared" si="27"/>
        <v>3</v>
      </c>
      <c r="S144" t="s">
        <v>111</v>
      </c>
      <c r="T144">
        <f t="shared" si="28"/>
        <v>2</v>
      </c>
    </row>
    <row r="145" spans="1:20" x14ac:dyDescent="0.2">
      <c r="A145">
        <v>144</v>
      </c>
      <c r="B145">
        <v>500</v>
      </c>
      <c r="C145">
        <v>10</v>
      </c>
      <c r="D145" s="4">
        <v>1E-3</v>
      </c>
      <c r="E145">
        <v>20</v>
      </c>
      <c r="F145">
        <v>100</v>
      </c>
      <c r="G145" s="3">
        <v>0.5</v>
      </c>
      <c r="H145" t="s">
        <v>760</v>
      </c>
      <c r="I145" t="s">
        <v>266</v>
      </c>
      <c r="J145">
        <f t="shared" si="20"/>
        <v>1</v>
      </c>
      <c r="K145">
        <f t="shared" si="21"/>
        <v>1</v>
      </c>
      <c r="L145">
        <f t="shared" si="22"/>
        <v>1</v>
      </c>
      <c r="M145">
        <f t="shared" si="29"/>
        <v>1</v>
      </c>
      <c r="N145">
        <f t="shared" si="23"/>
        <v>1</v>
      </c>
      <c r="O145">
        <f t="shared" si="24"/>
        <v>1</v>
      </c>
      <c r="P145">
        <f t="shared" si="25"/>
        <v>0</v>
      </c>
      <c r="Q145">
        <f t="shared" si="26"/>
        <v>0</v>
      </c>
      <c r="R145">
        <f t="shared" si="27"/>
        <v>6</v>
      </c>
      <c r="S145" t="s">
        <v>111</v>
      </c>
      <c r="T145">
        <f t="shared" si="28"/>
        <v>6</v>
      </c>
    </row>
    <row r="146" spans="1:20" x14ac:dyDescent="0.2">
      <c r="A146">
        <v>145</v>
      </c>
      <c r="B146">
        <v>500</v>
      </c>
      <c r="C146">
        <v>10</v>
      </c>
      <c r="D146">
        <v>0.1</v>
      </c>
      <c r="E146">
        <v>20</v>
      </c>
      <c r="F146" t="s">
        <v>765</v>
      </c>
      <c r="G146" s="3">
        <v>0.9</v>
      </c>
      <c r="H146">
        <v>0.1</v>
      </c>
      <c r="I146">
        <v>500</v>
      </c>
      <c r="J146">
        <f t="shared" si="20"/>
        <v>1</v>
      </c>
      <c r="K146">
        <f t="shared" si="21"/>
        <v>1</v>
      </c>
      <c r="L146">
        <f t="shared" si="22"/>
        <v>1</v>
      </c>
      <c r="M146">
        <f t="shared" si="29"/>
        <v>1</v>
      </c>
      <c r="N146">
        <f t="shared" si="23"/>
        <v>0</v>
      </c>
      <c r="O146">
        <f t="shared" si="24"/>
        <v>0</v>
      </c>
      <c r="P146">
        <f t="shared" si="25"/>
        <v>0</v>
      </c>
      <c r="Q146">
        <f t="shared" si="26"/>
        <v>0</v>
      </c>
      <c r="R146">
        <f t="shared" si="27"/>
        <v>4</v>
      </c>
      <c r="S146" t="s">
        <v>105</v>
      </c>
      <c r="T146">
        <f t="shared" si="28"/>
        <v>4</v>
      </c>
    </row>
    <row r="147" spans="1:20" x14ac:dyDescent="0.2">
      <c r="A147">
        <v>146</v>
      </c>
      <c r="B147">
        <v>500</v>
      </c>
      <c r="C147">
        <v>10</v>
      </c>
      <c r="D147">
        <v>0.1</v>
      </c>
      <c r="E147">
        <v>20</v>
      </c>
      <c r="F147">
        <v>100</v>
      </c>
      <c r="G147" t="s">
        <v>770</v>
      </c>
      <c r="H147">
        <v>0.05</v>
      </c>
      <c r="I147" t="s">
        <v>104</v>
      </c>
      <c r="J147">
        <f t="shared" si="20"/>
        <v>1</v>
      </c>
      <c r="K147">
        <f t="shared" si="21"/>
        <v>1</v>
      </c>
      <c r="L147">
        <f t="shared" si="22"/>
        <v>1</v>
      </c>
      <c r="M147">
        <f t="shared" si="29"/>
        <v>1</v>
      </c>
      <c r="N147">
        <f t="shared" si="23"/>
        <v>1</v>
      </c>
      <c r="O147">
        <f t="shared" si="24"/>
        <v>0</v>
      </c>
      <c r="P147">
        <f t="shared" si="25"/>
        <v>1</v>
      </c>
      <c r="Q147">
        <f t="shared" si="26"/>
        <v>1</v>
      </c>
      <c r="R147">
        <f t="shared" si="27"/>
        <v>7</v>
      </c>
      <c r="S147" t="s">
        <v>105</v>
      </c>
      <c r="T147">
        <f t="shared" si="28"/>
        <v>5</v>
      </c>
    </row>
    <row r="148" spans="1:20" x14ac:dyDescent="0.2">
      <c r="A148">
        <v>147</v>
      </c>
      <c r="B148">
        <v>500</v>
      </c>
      <c r="C148">
        <v>10</v>
      </c>
      <c r="D148">
        <v>1</v>
      </c>
      <c r="E148">
        <v>20</v>
      </c>
      <c r="F148">
        <v>100</v>
      </c>
      <c r="G148">
        <v>10</v>
      </c>
      <c r="H148" s="5">
        <v>0.05</v>
      </c>
      <c r="I148" t="s">
        <v>104</v>
      </c>
      <c r="J148">
        <f t="shared" si="20"/>
        <v>1</v>
      </c>
      <c r="K148">
        <f t="shared" si="21"/>
        <v>1</v>
      </c>
      <c r="L148">
        <f t="shared" si="22"/>
        <v>0</v>
      </c>
      <c r="M148">
        <f t="shared" si="29"/>
        <v>1</v>
      </c>
      <c r="N148">
        <f t="shared" si="23"/>
        <v>1</v>
      </c>
      <c r="O148">
        <f t="shared" si="24"/>
        <v>0</v>
      </c>
      <c r="P148">
        <f t="shared" si="25"/>
        <v>1</v>
      </c>
      <c r="Q148">
        <f t="shared" si="26"/>
        <v>1</v>
      </c>
      <c r="R148">
        <f t="shared" si="27"/>
        <v>6</v>
      </c>
      <c r="S148" t="s">
        <v>125</v>
      </c>
      <c r="T148">
        <f t="shared" si="28"/>
        <v>4</v>
      </c>
    </row>
    <row r="149" spans="1:20" x14ac:dyDescent="0.2">
      <c r="A149">
        <v>148</v>
      </c>
      <c r="B149" t="s">
        <v>779</v>
      </c>
      <c r="C149" t="s">
        <v>780</v>
      </c>
      <c r="D149" s="3">
        <v>0.01</v>
      </c>
      <c r="E149" s="3">
        <v>0.1</v>
      </c>
      <c r="F149">
        <v>100</v>
      </c>
      <c r="G149" s="3">
        <v>0.1</v>
      </c>
      <c r="H149" t="s">
        <v>159</v>
      </c>
      <c r="I149" t="s">
        <v>104</v>
      </c>
      <c r="J149">
        <f t="shared" si="20"/>
        <v>0</v>
      </c>
      <c r="K149">
        <f t="shared" si="21"/>
        <v>0</v>
      </c>
      <c r="L149">
        <f t="shared" si="22"/>
        <v>0</v>
      </c>
      <c r="M149">
        <f t="shared" si="29"/>
        <v>0</v>
      </c>
      <c r="N149">
        <f t="shared" si="23"/>
        <v>1</v>
      </c>
      <c r="O149">
        <f t="shared" si="24"/>
        <v>0</v>
      </c>
      <c r="P149">
        <f t="shared" si="25"/>
        <v>1</v>
      </c>
      <c r="Q149">
        <f t="shared" si="26"/>
        <v>1</v>
      </c>
      <c r="R149">
        <f t="shared" si="27"/>
        <v>3</v>
      </c>
      <c r="S149" t="s">
        <v>97</v>
      </c>
      <c r="T149">
        <f t="shared" si="28"/>
        <v>1</v>
      </c>
    </row>
    <row r="150" spans="1:20" x14ac:dyDescent="0.2">
      <c r="A150">
        <v>149</v>
      </c>
      <c r="B150">
        <v>500</v>
      </c>
      <c r="C150">
        <v>10</v>
      </c>
      <c r="D150" s="4">
        <v>1E-3</v>
      </c>
      <c r="E150">
        <v>20</v>
      </c>
      <c r="F150">
        <v>100</v>
      </c>
      <c r="G150" t="s">
        <v>785</v>
      </c>
      <c r="H150" t="s">
        <v>786</v>
      </c>
      <c r="I150">
        <v>100</v>
      </c>
      <c r="J150">
        <f t="shared" si="20"/>
        <v>1</v>
      </c>
      <c r="K150">
        <f t="shared" si="21"/>
        <v>1</v>
      </c>
      <c r="L150">
        <f t="shared" si="22"/>
        <v>1</v>
      </c>
      <c r="M150">
        <f t="shared" si="29"/>
        <v>1</v>
      </c>
      <c r="N150">
        <f t="shared" si="23"/>
        <v>1</v>
      </c>
      <c r="O150">
        <f t="shared" si="24"/>
        <v>0</v>
      </c>
      <c r="P150">
        <f t="shared" si="25"/>
        <v>0</v>
      </c>
      <c r="Q150">
        <f t="shared" si="26"/>
        <v>0</v>
      </c>
      <c r="R150">
        <f t="shared" si="27"/>
        <v>5</v>
      </c>
      <c r="S150" t="s">
        <v>97</v>
      </c>
      <c r="T150">
        <f t="shared" si="28"/>
        <v>5</v>
      </c>
    </row>
    <row r="151" spans="1:20" x14ac:dyDescent="0.2">
      <c r="A151">
        <v>150</v>
      </c>
      <c r="B151">
        <v>500</v>
      </c>
      <c r="C151">
        <v>10</v>
      </c>
      <c r="D151">
        <v>0.1</v>
      </c>
      <c r="E151">
        <v>20</v>
      </c>
      <c r="F151">
        <v>100</v>
      </c>
      <c r="G151" s="3">
        <v>0.3</v>
      </c>
      <c r="H151">
        <v>1.05</v>
      </c>
      <c r="I151" t="s">
        <v>104</v>
      </c>
      <c r="J151">
        <f t="shared" si="20"/>
        <v>1</v>
      </c>
      <c r="K151">
        <f t="shared" si="21"/>
        <v>1</v>
      </c>
      <c r="L151">
        <f t="shared" si="22"/>
        <v>1</v>
      </c>
      <c r="M151">
        <f t="shared" si="29"/>
        <v>1</v>
      </c>
      <c r="N151">
        <f t="shared" si="23"/>
        <v>1</v>
      </c>
      <c r="O151">
        <f t="shared" si="24"/>
        <v>0</v>
      </c>
      <c r="P151">
        <f t="shared" si="25"/>
        <v>0</v>
      </c>
      <c r="Q151">
        <f t="shared" si="26"/>
        <v>1</v>
      </c>
      <c r="R151">
        <f t="shared" si="27"/>
        <v>6</v>
      </c>
      <c r="S151" t="s">
        <v>97</v>
      </c>
      <c r="T151">
        <f t="shared" si="28"/>
        <v>5</v>
      </c>
    </row>
    <row r="152" spans="1:20" x14ac:dyDescent="0.2">
      <c r="A152">
        <v>151</v>
      </c>
      <c r="B152">
        <v>500</v>
      </c>
      <c r="C152">
        <v>10</v>
      </c>
      <c r="D152">
        <v>0.5</v>
      </c>
      <c r="E152">
        <v>20</v>
      </c>
      <c r="F152">
        <v>100</v>
      </c>
      <c r="G152">
        <v>9</v>
      </c>
      <c r="H152">
        <v>0.1</v>
      </c>
      <c r="I152" t="s">
        <v>104</v>
      </c>
      <c r="J152">
        <f t="shared" si="20"/>
        <v>1</v>
      </c>
      <c r="K152">
        <f t="shared" si="21"/>
        <v>1</v>
      </c>
      <c r="L152">
        <f t="shared" si="22"/>
        <v>0</v>
      </c>
      <c r="M152">
        <f t="shared" si="29"/>
        <v>1</v>
      </c>
      <c r="N152">
        <f t="shared" si="23"/>
        <v>1</v>
      </c>
      <c r="O152">
        <f t="shared" si="24"/>
        <v>0</v>
      </c>
      <c r="P152">
        <f t="shared" si="25"/>
        <v>0</v>
      </c>
      <c r="Q152">
        <f t="shared" si="26"/>
        <v>1</v>
      </c>
      <c r="R152">
        <f t="shared" si="27"/>
        <v>5</v>
      </c>
      <c r="S152" t="s">
        <v>105</v>
      </c>
      <c r="T152">
        <f t="shared" si="28"/>
        <v>4</v>
      </c>
    </row>
    <row r="153" spans="1:20" x14ac:dyDescent="0.2">
      <c r="A153">
        <v>152</v>
      </c>
      <c r="B153">
        <v>500</v>
      </c>
      <c r="C153">
        <v>10</v>
      </c>
      <c r="D153">
        <v>0.1</v>
      </c>
      <c r="E153">
        <v>20</v>
      </c>
      <c r="F153">
        <v>100</v>
      </c>
      <c r="G153" t="s">
        <v>799</v>
      </c>
      <c r="H153">
        <v>0.05</v>
      </c>
      <c r="I153">
        <v>100</v>
      </c>
      <c r="J153">
        <f t="shared" si="20"/>
        <v>1</v>
      </c>
      <c r="K153">
        <f t="shared" si="21"/>
        <v>1</v>
      </c>
      <c r="L153">
        <f t="shared" si="22"/>
        <v>1</v>
      </c>
      <c r="M153">
        <f t="shared" si="29"/>
        <v>1</v>
      </c>
      <c r="N153">
        <f t="shared" si="23"/>
        <v>1</v>
      </c>
      <c r="O153">
        <f t="shared" si="24"/>
        <v>0</v>
      </c>
      <c r="P153">
        <f t="shared" si="25"/>
        <v>1</v>
      </c>
      <c r="Q153">
        <f t="shared" si="26"/>
        <v>0</v>
      </c>
      <c r="R153">
        <f t="shared" si="27"/>
        <v>6</v>
      </c>
      <c r="S153" t="s">
        <v>97</v>
      </c>
      <c r="T153">
        <f t="shared" si="28"/>
        <v>5</v>
      </c>
    </row>
    <row r="154" spans="1:20" x14ac:dyDescent="0.2">
      <c r="A154">
        <v>153</v>
      </c>
      <c r="B154">
        <v>500</v>
      </c>
      <c r="C154">
        <v>10</v>
      </c>
      <c r="D154">
        <v>10</v>
      </c>
      <c r="E154">
        <v>20</v>
      </c>
      <c r="F154">
        <v>100</v>
      </c>
      <c r="G154" s="3">
        <v>0.11</v>
      </c>
      <c r="H154" t="s">
        <v>805</v>
      </c>
      <c r="I154" t="s">
        <v>104</v>
      </c>
      <c r="J154">
        <f t="shared" si="20"/>
        <v>1</v>
      </c>
      <c r="K154">
        <f t="shared" si="21"/>
        <v>1</v>
      </c>
      <c r="L154">
        <f t="shared" si="22"/>
        <v>0</v>
      </c>
      <c r="M154">
        <f t="shared" si="29"/>
        <v>1</v>
      </c>
      <c r="N154">
        <f t="shared" si="23"/>
        <v>1</v>
      </c>
      <c r="O154">
        <f t="shared" si="24"/>
        <v>0</v>
      </c>
      <c r="P154">
        <f t="shared" si="25"/>
        <v>0</v>
      </c>
      <c r="Q154">
        <f t="shared" si="26"/>
        <v>1</v>
      </c>
      <c r="R154">
        <f t="shared" si="27"/>
        <v>5</v>
      </c>
      <c r="S154" t="s">
        <v>125</v>
      </c>
      <c r="T154">
        <f t="shared" si="28"/>
        <v>4</v>
      </c>
    </row>
    <row r="155" spans="1:20" x14ac:dyDescent="0.2">
      <c r="A155">
        <v>154</v>
      </c>
      <c r="B155">
        <v>500</v>
      </c>
      <c r="C155">
        <v>10</v>
      </c>
      <c r="D155">
        <v>1</v>
      </c>
      <c r="E155">
        <v>20</v>
      </c>
      <c r="F155">
        <v>100</v>
      </c>
      <c r="G155">
        <v>90</v>
      </c>
      <c r="H155">
        <v>0.9</v>
      </c>
      <c r="I155">
        <v>5</v>
      </c>
      <c r="J155">
        <f t="shared" si="20"/>
        <v>1</v>
      </c>
      <c r="K155">
        <f t="shared" si="21"/>
        <v>1</v>
      </c>
      <c r="L155">
        <f t="shared" si="22"/>
        <v>0</v>
      </c>
      <c r="M155">
        <f t="shared" si="29"/>
        <v>1</v>
      </c>
      <c r="N155">
        <f t="shared" si="23"/>
        <v>1</v>
      </c>
      <c r="O155">
        <f t="shared" si="24"/>
        <v>0</v>
      </c>
      <c r="P155">
        <f t="shared" si="25"/>
        <v>0</v>
      </c>
      <c r="Q155">
        <f t="shared" si="26"/>
        <v>1</v>
      </c>
      <c r="R155">
        <f t="shared" si="27"/>
        <v>5</v>
      </c>
      <c r="S155" t="s">
        <v>111</v>
      </c>
      <c r="T155">
        <f t="shared" si="28"/>
        <v>4</v>
      </c>
    </row>
    <row r="156" spans="1:20" x14ac:dyDescent="0.2">
      <c r="A156">
        <v>155</v>
      </c>
      <c r="B156">
        <v>600</v>
      </c>
      <c r="C156">
        <v>10</v>
      </c>
      <c r="D156">
        <v>0.1</v>
      </c>
      <c r="E156">
        <v>20</v>
      </c>
      <c r="F156">
        <v>100</v>
      </c>
      <c r="G156" s="3">
        <v>0.9</v>
      </c>
      <c r="H156">
        <v>0.05</v>
      </c>
      <c r="I156" t="s">
        <v>266</v>
      </c>
      <c r="J156">
        <f t="shared" si="20"/>
        <v>0</v>
      </c>
      <c r="K156">
        <f t="shared" si="21"/>
        <v>1</v>
      </c>
      <c r="L156">
        <f t="shared" si="22"/>
        <v>1</v>
      </c>
      <c r="M156">
        <f t="shared" si="29"/>
        <v>1</v>
      </c>
      <c r="N156">
        <f t="shared" si="23"/>
        <v>1</v>
      </c>
      <c r="O156">
        <f t="shared" si="24"/>
        <v>0</v>
      </c>
      <c r="P156">
        <f t="shared" si="25"/>
        <v>1</v>
      </c>
      <c r="Q156">
        <f t="shared" si="26"/>
        <v>0</v>
      </c>
      <c r="R156">
        <f t="shared" si="27"/>
        <v>5</v>
      </c>
      <c r="S156" t="s">
        <v>105</v>
      </c>
      <c r="T156">
        <f t="shared" si="28"/>
        <v>4</v>
      </c>
    </row>
    <row r="157" spans="1:20" x14ac:dyDescent="0.2">
      <c r="A157">
        <v>156</v>
      </c>
      <c r="B157">
        <v>500</v>
      </c>
      <c r="C157">
        <v>10</v>
      </c>
      <c r="D157">
        <v>0.1</v>
      </c>
      <c r="E157">
        <v>20</v>
      </c>
      <c r="F157">
        <v>100</v>
      </c>
      <c r="G157">
        <v>90</v>
      </c>
      <c r="H157">
        <v>0.05</v>
      </c>
      <c r="I157" t="s">
        <v>104</v>
      </c>
      <c r="J157">
        <f t="shared" si="20"/>
        <v>1</v>
      </c>
      <c r="K157">
        <f t="shared" si="21"/>
        <v>1</v>
      </c>
      <c r="L157">
        <f t="shared" si="22"/>
        <v>1</v>
      </c>
      <c r="M157">
        <f t="shared" si="29"/>
        <v>1</v>
      </c>
      <c r="N157">
        <f t="shared" si="23"/>
        <v>1</v>
      </c>
      <c r="O157">
        <f t="shared" si="24"/>
        <v>0</v>
      </c>
      <c r="P157">
        <f t="shared" si="25"/>
        <v>1</v>
      </c>
      <c r="Q157">
        <f t="shared" si="26"/>
        <v>1</v>
      </c>
      <c r="R157">
        <f t="shared" si="27"/>
        <v>7</v>
      </c>
      <c r="S157" t="s">
        <v>105</v>
      </c>
      <c r="T157">
        <f t="shared" si="28"/>
        <v>5</v>
      </c>
    </row>
    <row r="158" spans="1:20" x14ac:dyDescent="0.2">
      <c r="A158">
        <v>157</v>
      </c>
      <c r="B158">
        <v>500</v>
      </c>
      <c r="C158">
        <v>10</v>
      </c>
      <c r="D158" s="4">
        <v>1E-3</v>
      </c>
      <c r="E158" s="3">
        <v>0.2</v>
      </c>
      <c r="F158">
        <v>100</v>
      </c>
      <c r="G158" s="3">
        <v>0.09</v>
      </c>
      <c r="H158">
        <v>0.1</v>
      </c>
      <c r="I158" t="s">
        <v>104</v>
      </c>
      <c r="J158">
        <f t="shared" si="20"/>
        <v>1</v>
      </c>
      <c r="K158">
        <f t="shared" si="21"/>
        <v>1</v>
      </c>
      <c r="L158">
        <f t="shared" si="22"/>
        <v>1</v>
      </c>
      <c r="M158">
        <f t="shared" si="29"/>
        <v>1</v>
      </c>
      <c r="N158">
        <f t="shared" si="23"/>
        <v>1</v>
      </c>
      <c r="O158">
        <f t="shared" si="24"/>
        <v>0</v>
      </c>
      <c r="P158">
        <f t="shared" si="25"/>
        <v>0</v>
      </c>
      <c r="Q158">
        <f t="shared" si="26"/>
        <v>1</v>
      </c>
      <c r="R158">
        <f t="shared" si="27"/>
        <v>6</v>
      </c>
      <c r="S158" t="s">
        <v>111</v>
      </c>
      <c r="T158">
        <f t="shared" si="28"/>
        <v>5</v>
      </c>
    </row>
    <row r="159" spans="1:20" x14ac:dyDescent="0.2">
      <c r="A159">
        <v>158</v>
      </c>
      <c r="B159">
        <v>600</v>
      </c>
      <c r="C159">
        <v>10</v>
      </c>
      <c r="D159" s="4">
        <v>1E-3</v>
      </c>
      <c r="E159">
        <v>20</v>
      </c>
      <c r="F159">
        <v>100</v>
      </c>
      <c r="G159" s="3">
        <v>0.09</v>
      </c>
      <c r="H159" t="s">
        <v>297</v>
      </c>
      <c r="I159" t="s">
        <v>266</v>
      </c>
      <c r="J159">
        <f t="shared" si="20"/>
        <v>0</v>
      </c>
      <c r="K159">
        <f t="shared" si="21"/>
        <v>1</v>
      </c>
      <c r="L159">
        <f t="shared" si="22"/>
        <v>1</v>
      </c>
      <c r="M159">
        <f t="shared" si="29"/>
        <v>1</v>
      </c>
      <c r="N159">
        <f t="shared" si="23"/>
        <v>1</v>
      </c>
      <c r="O159">
        <f t="shared" si="24"/>
        <v>0</v>
      </c>
      <c r="P159">
        <f t="shared" si="25"/>
        <v>0</v>
      </c>
      <c r="Q159">
        <f t="shared" si="26"/>
        <v>0</v>
      </c>
      <c r="R159">
        <f t="shared" si="27"/>
        <v>4</v>
      </c>
      <c r="S159" t="s">
        <v>97</v>
      </c>
      <c r="T159">
        <f t="shared" si="28"/>
        <v>4</v>
      </c>
    </row>
    <row r="160" spans="1:20" x14ac:dyDescent="0.2">
      <c r="A160">
        <v>159</v>
      </c>
      <c r="B160">
        <v>500</v>
      </c>
      <c r="C160">
        <v>10</v>
      </c>
      <c r="D160">
        <v>0.01</v>
      </c>
      <c r="E160">
        <v>20</v>
      </c>
      <c r="F160">
        <v>100</v>
      </c>
      <c r="G160">
        <v>50</v>
      </c>
      <c r="H160">
        <v>0.1</v>
      </c>
      <c r="I160">
        <v>5</v>
      </c>
      <c r="J160">
        <f t="shared" si="20"/>
        <v>1</v>
      </c>
      <c r="K160">
        <f t="shared" si="21"/>
        <v>1</v>
      </c>
      <c r="L160">
        <f t="shared" si="22"/>
        <v>0</v>
      </c>
      <c r="M160">
        <f t="shared" si="29"/>
        <v>1</v>
      </c>
      <c r="N160">
        <f t="shared" si="23"/>
        <v>1</v>
      </c>
      <c r="O160">
        <f t="shared" si="24"/>
        <v>1</v>
      </c>
      <c r="P160">
        <f t="shared" si="25"/>
        <v>0</v>
      </c>
      <c r="Q160">
        <f t="shared" si="26"/>
        <v>1</v>
      </c>
      <c r="R160">
        <f t="shared" si="27"/>
        <v>6</v>
      </c>
      <c r="S160" t="s">
        <v>97</v>
      </c>
      <c r="T160">
        <f t="shared" si="28"/>
        <v>5</v>
      </c>
    </row>
    <row r="161" spans="1:20" x14ac:dyDescent="0.2">
      <c r="A161">
        <v>160</v>
      </c>
      <c r="B161">
        <v>4</v>
      </c>
      <c r="C161">
        <v>1</v>
      </c>
      <c r="D161">
        <v>1</v>
      </c>
      <c r="E161">
        <v>2</v>
      </c>
      <c r="F161">
        <v>3</v>
      </c>
      <c r="G161">
        <v>40</v>
      </c>
      <c r="H161">
        <v>1</v>
      </c>
      <c r="I161">
        <v>2</v>
      </c>
      <c r="J161">
        <f t="shared" si="20"/>
        <v>0</v>
      </c>
      <c r="K161">
        <f t="shared" si="21"/>
        <v>0</v>
      </c>
      <c r="L161">
        <f t="shared" si="22"/>
        <v>0</v>
      </c>
      <c r="M161">
        <f t="shared" si="29"/>
        <v>0</v>
      </c>
      <c r="N161">
        <f t="shared" si="23"/>
        <v>0</v>
      </c>
      <c r="O161">
        <f t="shared" si="24"/>
        <v>0</v>
      </c>
      <c r="P161">
        <f t="shared" si="25"/>
        <v>0</v>
      </c>
      <c r="Q161">
        <f t="shared" si="26"/>
        <v>0</v>
      </c>
      <c r="R161">
        <f t="shared" si="27"/>
        <v>0</v>
      </c>
      <c r="S161" t="s">
        <v>111</v>
      </c>
      <c r="T161">
        <f t="shared" si="28"/>
        <v>0</v>
      </c>
    </row>
    <row r="162" spans="1:20" x14ac:dyDescent="0.2">
      <c r="A162">
        <v>161</v>
      </c>
      <c r="B162">
        <v>500</v>
      </c>
      <c r="C162">
        <v>10</v>
      </c>
      <c r="D162">
        <v>1E-3</v>
      </c>
      <c r="E162">
        <v>20</v>
      </c>
      <c r="F162">
        <v>100</v>
      </c>
      <c r="G162">
        <v>80</v>
      </c>
      <c r="H162">
        <v>0.05</v>
      </c>
      <c r="I162">
        <v>5</v>
      </c>
      <c r="J162">
        <f t="shared" si="20"/>
        <v>1</v>
      </c>
      <c r="K162">
        <f t="shared" si="21"/>
        <v>1</v>
      </c>
      <c r="L162">
        <f t="shared" si="22"/>
        <v>1</v>
      </c>
      <c r="M162">
        <f t="shared" si="29"/>
        <v>1</v>
      </c>
      <c r="N162">
        <f t="shared" si="23"/>
        <v>1</v>
      </c>
      <c r="O162">
        <f t="shared" si="24"/>
        <v>0</v>
      </c>
      <c r="P162">
        <f t="shared" si="25"/>
        <v>1</v>
      </c>
      <c r="Q162">
        <f t="shared" si="26"/>
        <v>1</v>
      </c>
      <c r="R162">
        <f t="shared" si="27"/>
        <v>7</v>
      </c>
      <c r="S162" t="s">
        <v>97</v>
      </c>
      <c r="T162">
        <f t="shared" si="28"/>
        <v>5</v>
      </c>
    </row>
    <row r="163" spans="1:20" x14ac:dyDescent="0.2">
      <c r="A163">
        <v>162</v>
      </c>
      <c r="B163">
        <v>500</v>
      </c>
      <c r="C163">
        <v>10</v>
      </c>
      <c r="D163">
        <v>0.1</v>
      </c>
      <c r="E163">
        <v>20</v>
      </c>
      <c r="F163">
        <v>100</v>
      </c>
      <c r="G163" s="3">
        <v>0.09</v>
      </c>
      <c r="H163" s="5">
        <v>0.05</v>
      </c>
      <c r="I163" t="s">
        <v>104</v>
      </c>
      <c r="J163">
        <f t="shared" si="20"/>
        <v>1</v>
      </c>
      <c r="K163">
        <f t="shared" si="21"/>
        <v>1</v>
      </c>
      <c r="L163">
        <f t="shared" si="22"/>
        <v>1</v>
      </c>
      <c r="M163">
        <f t="shared" si="29"/>
        <v>1</v>
      </c>
      <c r="N163">
        <f t="shared" si="23"/>
        <v>1</v>
      </c>
      <c r="O163">
        <f t="shared" si="24"/>
        <v>0</v>
      </c>
      <c r="P163">
        <f t="shared" si="25"/>
        <v>1</v>
      </c>
      <c r="Q163">
        <f t="shared" si="26"/>
        <v>1</v>
      </c>
      <c r="R163">
        <f t="shared" si="27"/>
        <v>7</v>
      </c>
      <c r="S163" t="s">
        <v>97</v>
      </c>
      <c r="T163">
        <f t="shared" si="28"/>
        <v>5</v>
      </c>
    </row>
    <row r="164" spans="1:20" x14ac:dyDescent="0.2">
      <c r="A164">
        <v>163</v>
      </c>
      <c r="B164">
        <v>500</v>
      </c>
      <c r="C164">
        <v>10</v>
      </c>
      <c r="D164">
        <v>0.1</v>
      </c>
      <c r="E164">
        <v>20</v>
      </c>
      <c r="F164">
        <v>100</v>
      </c>
      <c r="G164">
        <v>10</v>
      </c>
      <c r="H164">
        <v>0.1</v>
      </c>
      <c r="I164">
        <v>100</v>
      </c>
      <c r="J164">
        <f t="shared" si="20"/>
        <v>1</v>
      </c>
      <c r="K164">
        <f t="shared" si="21"/>
        <v>1</v>
      </c>
      <c r="L164">
        <f t="shared" si="22"/>
        <v>1</v>
      </c>
      <c r="M164">
        <f t="shared" si="29"/>
        <v>1</v>
      </c>
      <c r="N164">
        <f t="shared" si="23"/>
        <v>1</v>
      </c>
      <c r="O164">
        <f t="shared" si="24"/>
        <v>0</v>
      </c>
      <c r="P164">
        <f t="shared" si="25"/>
        <v>0</v>
      </c>
      <c r="Q164">
        <f t="shared" si="26"/>
        <v>0</v>
      </c>
      <c r="R164">
        <f t="shared" si="27"/>
        <v>5</v>
      </c>
      <c r="S164" t="s">
        <v>111</v>
      </c>
      <c r="T164">
        <f t="shared" si="28"/>
        <v>5</v>
      </c>
    </row>
    <row r="165" spans="1:20" x14ac:dyDescent="0.2">
      <c r="A165">
        <v>164</v>
      </c>
      <c r="B165">
        <v>500</v>
      </c>
      <c r="C165">
        <v>10</v>
      </c>
      <c r="D165" s="4">
        <v>1.0000000000000001E-5</v>
      </c>
      <c r="E165">
        <v>20</v>
      </c>
      <c r="F165">
        <v>100</v>
      </c>
      <c r="G165" s="3">
        <v>0.18</v>
      </c>
      <c r="H165">
        <v>0.05</v>
      </c>
      <c r="I165" t="s">
        <v>266</v>
      </c>
      <c r="J165">
        <f t="shared" si="20"/>
        <v>1</v>
      </c>
      <c r="K165">
        <f t="shared" si="21"/>
        <v>1</v>
      </c>
      <c r="L165">
        <f t="shared" si="22"/>
        <v>0</v>
      </c>
      <c r="M165">
        <f t="shared" si="29"/>
        <v>1</v>
      </c>
      <c r="N165">
        <f t="shared" si="23"/>
        <v>1</v>
      </c>
      <c r="O165">
        <f t="shared" si="24"/>
        <v>0</v>
      </c>
      <c r="P165">
        <f t="shared" si="25"/>
        <v>1</v>
      </c>
      <c r="Q165">
        <f t="shared" si="26"/>
        <v>0</v>
      </c>
      <c r="R165">
        <f t="shared" si="27"/>
        <v>5</v>
      </c>
      <c r="S165" t="s">
        <v>111</v>
      </c>
      <c r="T165">
        <f t="shared" si="28"/>
        <v>4</v>
      </c>
    </row>
    <row r="166" spans="1:20" x14ac:dyDescent="0.2">
      <c r="A166">
        <v>165</v>
      </c>
      <c r="B166">
        <v>50</v>
      </c>
      <c r="C166">
        <v>10</v>
      </c>
      <c r="D166">
        <v>1</v>
      </c>
      <c r="E166">
        <v>20</v>
      </c>
      <c r="F166">
        <v>10</v>
      </c>
      <c r="G166">
        <v>90</v>
      </c>
      <c r="H166">
        <v>10</v>
      </c>
      <c r="I166">
        <v>5</v>
      </c>
      <c r="J166">
        <f t="shared" si="20"/>
        <v>0</v>
      </c>
      <c r="K166">
        <f t="shared" si="21"/>
        <v>1</v>
      </c>
      <c r="L166">
        <f t="shared" si="22"/>
        <v>0</v>
      </c>
      <c r="M166">
        <f t="shared" si="29"/>
        <v>1</v>
      </c>
      <c r="N166">
        <f t="shared" si="23"/>
        <v>0</v>
      </c>
      <c r="O166">
        <f t="shared" si="24"/>
        <v>0</v>
      </c>
      <c r="P166">
        <f t="shared" si="25"/>
        <v>0</v>
      </c>
      <c r="Q166">
        <f t="shared" si="26"/>
        <v>1</v>
      </c>
      <c r="R166">
        <f t="shared" si="27"/>
        <v>3</v>
      </c>
      <c r="S166" t="s">
        <v>111</v>
      </c>
      <c r="T166">
        <f t="shared" si="28"/>
        <v>2</v>
      </c>
    </row>
    <row r="167" spans="1:20" x14ac:dyDescent="0.2">
      <c r="A167">
        <v>166</v>
      </c>
      <c r="B167">
        <v>500</v>
      </c>
      <c r="C167">
        <v>10</v>
      </c>
      <c r="D167" s="4">
        <v>1E-3</v>
      </c>
      <c r="E167">
        <v>20</v>
      </c>
      <c r="F167">
        <v>100</v>
      </c>
      <c r="G167">
        <v>50</v>
      </c>
      <c r="H167">
        <v>0.05</v>
      </c>
      <c r="I167" t="s">
        <v>104</v>
      </c>
      <c r="J167">
        <f t="shared" si="20"/>
        <v>1</v>
      </c>
      <c r="K167">
        <f t="shared" si="21"/>
        <v>1</v>
      </c>
      <c r="L167">
        <f t="shared" si="22"/>
        <v>1</v>
      </c>
      <c r="M167">
        <f t="shared" si="29"/>
        <v>1</v>
      </c>
      <c r="N167">
        <f t="shared" si="23"/>
        <v>1</v>
      </c>
      <c r="O167">
        <f t="shared" si="24"/>
        <v>1</v>
      </c>
      <c r="P167">
        <f t="shared" si="25"/>
        <v>1</v>
      </c>
      <c r="Q167">
        <f t="shared" si="26"/>
        <v>1</v>
      </c>
      <c r="R167">
        <f t="shared" si="27"/>
        <v>8</v>
      </c>
      <c r="S167" t="s">
        <v>111</v>
      </c>
      <c r="T167">
        <f t="shared" si="28"/>
        <v>6</v>
      </c>
    </row>
    <row r="168" spans="1:20" x14ac:dyDescent="0.2">
      <c r="A168">
        <v>167</v>
      </c>
      <c r="B168">
        <v>500</v>
      </c>
      <c r="C168">
        <v>10</v>
      </c>
      <c r="D168">
        <v>0.1</v>
      </c>
      <c r="E168">
        <v>20</v>
      </c>
      <c r="F168">
        <v>10</v>
      </c>
      <c r="G168" s="3">
        <v>0.5</v>
      </c>
      <c r="H168">
        <v>0.05</v>
      </c>
      <c r="I168">
        <v>5</v>
      </c>
      <c r="J168">
        <f t="shared" si="20"/>
        <v>1</v>
      </c>
      <c r="K168">
        <f t="shared" si="21"/>
        <v>1</v>
      </c>
      <c r="L168">
        <f t="shared" si="22"/>
        <v>1</v>
      </c>
      <c r="M168">
        <f t="shared" si="29"/>
        <v>1</v>
      </c>
      <c r="N168">
        <f t="shared" si="23"/>
        <v>0</v>
      </c>
      <c r="O168">
        <f t="shared" si="24"/>
        <v>1</v>
      </c>
      <c r="P168">
        <f t="shared" si="25"/>
        <v>1</v>
      </c>
      <c r="Q168">
        <f t="shared" si="26"/>
        <v>1</v>
      </c>
      <c r="R168">
        <f t="shared" si="27"/>
        <v>7</v>
      </c>
      <c r="S168" t="s">
        <v>97</v>
      </c>
      <c r="T168">
        <f t="shared" si="28"/>
        <v>5</v>
      </c>
    </row>
    <row r="169" spans="1:20" x14ac:dyDescent="0.2">
      <c r="A169">
        <v>168</v>
      </c>
      <c r="B169">
        <v>500</v>
      </c>
      <c r="C169">
        <v>10</v>
      </c>
      <c r="D169">
        <v>0.01</v>
      </c>
      <c r="E169">
        <v>20</v>
      </c>
      <c r="F169">
        <v>100</v>
      </c>
      <c r="G169">
        <v>90</v>
      </c>
      <c r="H169">
        <v>0.05</v>
      </c>
      <c r="I169">
        <v>5</v>
      </c>
      <c r="J169">
        <f t="shared" si="20"/>
        <v>1</v>
      </c>
      <c r="K169">
        <f t="shared" si="21"/>
        <v>1</v>
      </c>
      <c r="L169">
        <f t="shared" si="22"/>
        <v>0</v>
      </c>
      <c r="M169">
        <f t="shared" si="29"/>
        <v>1</v>
      </c>
      <c r="N169">
        <f t="shared" si="23"/>
        <v>1</v>
      </c>
      <c r="O169">
        <f t="shared" si="24"/>
        <v>0</v>
      </c>
      <c r="P169">
        <f t="shared" si="25"/>
        <v>1</v>
      </c>
      <c r="Q169">
        <f t="shared" si="26"/>
        <v>1</v>
      </c>
      <c r="R169">
        <f t="shared" si="27"/>
        <v>6</v>
      </c>
      <c r="S169" t="s">
        <v>111</v>
      </c>
      <c r="T169">
        <f t="shared" si="28"/>
        <v>4</v>
      </c>
    </row>
    <row r="170" spans="1:20" x14ac:dyDescent="0.2">
      <c r="A170">
        <v>169</v>
      </c>
      <c r="B170">
        <v>500</v>
      </c>
      <c r="C170">
        <v>10</v>
      </c>
      <c r="D170" s="4">
        <v>1E-3</v>
      </c>
      <c r="E170">
        <v>20</v>
      </c>
      <c r="F170">
        <v>100</v>
      </c>
      <c r="G170">
        <v>50</v>
      </c>
      <c r="H170">
        <v>0.05</v>
      </c>
      <c r="I170" t="s">
        <v>104</v>
      </c>
      <c r="J170">
        <f t="shared" si="20"/>
        <v>1</v>
      </c>
      <c r="K170">
        <f t="shared" si="21"/>
        <v>1</v>
      </c>
      <c r="L170">
        <f t="shared" si="22"/>
        <v>1</v>
      </c>
      <c r="M170">
        <f t="shared" si="29"/>
        <v>1</v>
      </c>
      <c r="N170">
        <f t="shared" si="23"/>
        <v>1</v>
      </c>
      <c r="O170">
        <f t="shared" si="24"/>
        <v>1</v>
      </c>
      <c r="P170">
        <f t="shared" si="25"/>
        <v>1</v>
      </c>
      <c r="Q170">
        <f t="shared" si="26"/>
        <v>1</v>
      </c>
      <c r="R170">
        <f t="shared" si="27"/>
        <v>8</v>
      </c>
      <c r="S170" t="s">
        <v>105</v>
      </c>
      <c r="T170">
        <f t="shared" si="28"/>
        <v>6</v>
      </c>
    </row>
    <row r="171" spans="1:20" x14ac:dyDescent="0.2">
      <c r="A171">
        <v>170</v>
      </c>
      <c r="B171">
        <v>500</v>
      </c>
      <c r="C171">
        <v>10</v>
      </c>
      <c r="D171">
        <v>0.1</v>
      </c>
      <c r="E171">
        <v>20</v>
      </c>
      <c r="F171">
        <v>100</v>
      </c>
      <c r="G171" s="3">
        <v>0.09</v>
      </c>
      <c r="H171">
        <v>0.05</v>
      </c>
      <c r="I171" t="s">
        <v>104</v>
      </c>
      <c r="J171">
        <f t="shared" si="20"/>
        <v>1</v>
      </c>
      <c r="K171">
        <f t="shared" si="21"/>
        <v>1</v>
      </c>
      <c r="L171">
        <f t="shared" si="22"/>
        <v>1</v>
      </c>
      <c r="M171">
        <f t="shared" si="29"/>
        <v>1</v>
      </c>
      <c r="N171">
        <f t="shared" si="23"/>
        <v>1</v>
      </c>
      <c r="O171">
        <f t="shared" si="24"/>
        <v>0</v>
      </c>
      <c r="P171">
        <f t="shared" si="25"/>
        <v>1</v>
      </c>
      <c r="Q171">
        <f t="shared" si="26"/>
        <v>1</v>
      </c>
      <c r="R171">
        <f t="shared" si="27"/>
        <v>7</v>
      </c>
      <c r="S171" t="s">
        <v>125</v>
      </c>
      <c r="T171">
        <f t="shared" si="28"/>
        <v>5</v>
      </c>
    </row>
    <row r="172" spans="1:20" x14ac:dyDescent="0.2">
      <c r="A172">
        <v>171</v>
      </c>
      <c r="B172">
        <v>500</v>
      </c>
      <c r="C172">
        <v>10</v>
      </c>
      <c r="D172" s="4">
        <v>1E-3</v>
      </c>
      <c r="E172">
        <v>20</v>
      </c>
      <c r="F172">
        <v>100</v>
      </c>
      <c r="G172" s="3">
        <v>0.5</v>
      </c>
      <c r="H172" s="5">
        <v>0.05</v>
      </c>
      <c r="I172" t="s">
        <v>104</v>
      </c>
      <c r="J172">
        <f t="shared" si="20"/>
        <v>1</v>
      </c>
      <c r="K172">
        <f t="shared" si="21"/>
        <v>1</v>
      </c>
      <c r="L172">
        <f t="shared" si="22"/>
        <v>1</v>
      </c>
      <c r="M172">
        <f t="shared" si="29"/>
        <v>1</v>
      </c>
      <c r="N172">
        <f t="shared" si="23"/>
        <v>1</v>
      </c>
      <c r="O172">
        <f t="shared" si="24"/>
        <v>1</v>
      </c>
      <c r="P172">
        <f t="shared" si="25"/>
        <v>1</v>
      </c>
      <c r="Q172">
        <f t="shared" si="26"/>
        <v>1</v>
      </c>
      <c r="R172">
        <f t="shared" si="27"/>
        <v>8</v>
      </c>
      <c r="S172" t="s">
        <v>111</v>
      </c>
      <c r="T172">
        <f t="shared" si="28"/>
        <v>6</v>
      </c>
    </row>
    <row r="173" spans="1:20" x14ac:dyDescent="0.2">
      <c r="A173">
        <v>172</v>
      </c>
      <c r="B173">
        <v>500</v>
      </c>
      <c r="C173">
        <v>10</v>
      </c>
      <c r="D173" s="4">
        <v>1E-3</v>
      </c>
      <c r="E173">
        <v>20</v>
      </c>
      <c r="F173">
        <v>100</v>
      </c>
      <c r="G173" s="3">
        <v>0.5</v>
      </c>
      <c r="H173" s="5">
        <v>0.05</v>
      </c>
      <c r="I173">
        <v>500</v>
      </c>
      <c r="J173">
        <f t="shared" si="20"/>
        <v>1</v>
      </c>
      <c r="K173">
        <f t="shared" si="21"/>
        <v>1</v>
      </c>
      <c r="L173">
        <f t="shared" si="22"/>
        <v>1</v>
      </c>
      <c r="M173">
        <f t="shared" si="29"/>
        <v>1</v>
      </c>
      <c r="N173">
        <f t="shared" si="23"/>
        <v>1</v>
      </c>
      <c r="O173">
        <f t="shared" si="24"/>
        <v>1</v>
      </c>
      <c r="P173">
        <f t="shared" si="25"/>
        <v>1</v>
      </c>
      <c r="Q173">
        <f t="shared" si="26"/>
        <v>0</v>
      </c>
      <c r="R173">
        <f t="shared" si="27"/>
        <v>7</v>
      </c>
      <c r="S173" t="s">
        <v>125</v>
      </c>
      <c r="T173">
        <f t="shared" si="28"/>
        <v>6</v>
      </c>
    </row>
    <row r="174" spans="1:20" x14ac:dyDescent="0.2">
      <c r="A174">
        <v>173</v>
      </c>
      <c r="B174">
        <v>500</v>
      </c>
      <c r="C174">
        <v>10</v>
      </c>
      <c r="D174">
        <v>0.1</v>
      </c>
      <c r="E174">
        <v>20</v>
      </c>
      <c r="F174">
        <v>100</v>
      </c>
      <c r="G174" s="3">
        <v>0.5</v>
      </c>
      <c r="H174" s="5">
        <v>0.05</v>
      </c>
      <c r="I174" t="s">
        <v>104</v>
      </c>
      <c r="J174">
        <f t="shared" si="20"/>
        <v>1</v>
      </c>
      <c r="K174">
        <f t="shared" si="21"/>
        <v>1</v>
      </c>
      <c r="L174">
        <f t="shared" si="22"/>
        <v>1</v>
      </c>
      <c r="M174">
        <f t="shared" si="29"/>
        <v>1</v>
      </c>
      <c r="N174">
        <f t="shared" si="23"/>
        <v>1</v>
      </c>
      <c r="O174">
        <f t="shared" si="24"/>
        <v>1</v>
      </c>
      <c r="P174">
        <f t="shared" si="25"/>
        <v>1</v>
      </c>
      <c r="Q174">
        <f t="shared" si="26"/>
        <v>1</v>
      </c>
      <c r="R174">
        <f t="shared" si="27"/>
        <v>8</v>
      </c>
      <c r="S174" t="s">
        <v>97</v>
      </c>
      <c r="T174">
        <f t="shared" si="28"/>
        <v>6</v>
      </c>
    </row>
    <row r="175" spans="1:20" x14ac:dyDescent="0.2">
      <c r="A175">
        <v>174</v>
      </c>
      <c r="B175">
        <v>300</v>
      </c>
      <c r="C175">
        <v>10</v>
      </c>
      <c r="D175">
        <v>10</v>
      </c>
      <c r="E175">
        <v>20</v>
      </c>
      <c r="F175">
        <v>100</v>
      </c>
      <c r="G175">
        <v>18</v>
      </c>
      <c r="H175">
        <v>0.05</v>
      </c>
      <c r="I175" t="s">
        <v>252</v>
      </c>
      <c r="J175">
        <f t="shared" si="20"/>
        <v>0</v>
      </c>
      <c r="K175">
        <f t="shared" si="21"/>
        <v>1</v>
      </c>
      <c r="L175">
        <f t="shared" si="22"/>
        <v>0</v>
      </c>
      <c r="M175">
        <f t="shared" si="29"/>
        <v>1</v>
      </c>
      <c r="N175">
        <f t="shared" si="23"/>
        <v>1</v>
      </c>
      <c r="O175">
        <f t="shared" si="24"/>
        <v>0</v>
      </c>
      <c r="P175">
        <f t="shared" si="25"/>
        <v>1</v>
      </c>
      <c r="Q175">
        <f t="shared" si="26"/>
        <v>0</v>
      </c>
      <c r="R175">
        <f t="shared" si="27"/>
        <v>4</v>
      </c>
      <c r="S175" t="s">
        <v>105</v>
      </c>
      <c r="T175">
        <f t="shared" si="28"/>
        <v>3</v>
      </c>
    </row>
    <row r="176" spans="1:20" x14ac:dyDescent="0.2">
      <c r="A176">
        <v>175</v>
      </c>
      <c r="B176">
        <v>500</v>
      </c>
      <c r="C176">
        <v>10</v>
      </c>
      <c r="D176">
        <v>0.1</v>
      </c>
      <c r="E176">
        <v>20</v>
      </c>
      <c r="F176">
        <v>100</v>
      </c>
      <c r="G176" s="3">
        <v>0.5</v>
      </c>
      <c r="H176">
        <v>0.05</v>
      </c>
      <c r="I176" t="s">
        <v>104</v>
      </c>
      <c r="J176">
        <f t="shared" si="20"/>
        <v>1</v>
      </c>
      <c r="K176">
        <f t="shared" si="21"/>
        <v>1</v>
      </c>
      <c r="L176">
        <f t="shared" si="22"/>
        <v>1</v>
      </c>
      <c r="M176">
        <f t="shared" si="29"/>
        <v>1</v>
      </c>
      <c r="N176">
        <f t="shared" si="23"/>
        <v>1</v>
      </c>
      <c r="O176">
        <f t="shared" si="24"/>
        <v>1</v>
      </c>
      <c r="P176">
        <f t="shared" si="25"/>
        <v>1</v>
      </c>
      <c r="Q176">
        <f t="shared" si="26"/>
        <v>1</v>
      </c>
      <c r="R176">
        <f t="shared" si="27"/>
        <v>8</v>
      </c>
      <c r="S176" t="s">
        <v>111</v>
      </c>
      <c r="T176">
        <f t="shared" si="28"/>
        <v>6</v>
      </c>
    </row>
    <row r="177" spans="1:20" x14ac:dyDescent="0.2">
      <c r="A177">
        <v>176</v>
      </c>
      <c r="B177">
        <v>500</v>
      </c>
      <c r="C177">
        <v>1</v>
      </c>
      <c r="D177" s="4">
        <v>1E-4</v>
      </c>
      <c r="E177">
        <v>20</v>
      </c>
      <c r="F177">
        <v>100</v>
      </c>
      <c r="G177" s="3">
        <v>0.9</v>
      </c>
      <c r="H177">
        <v>0.1</v>
      </c>
      <c r="I177">
        <v>100</v>
      </c>
      <c r="J177">
        <f t="shared" si="20"/>
        <v>1</v>
      </c>
      <c r="K177">
        <f t="shared" si="21"/>
        <v>0</v>
      </c>
      <c r="L177">
        <f t="shared" si="22"/>
        <v>0</v>
      </c>
      <c r="M177">
        <f t="shared" si="29"/>
        <v>1</v>
      </c>
      <c r="N177">
        <f t="shared" si="23"/>
        <v>1</v>
      </c>
      <c r="O177">
        <f t="shared" si="24"/>
        <v>0</v>
      </c>
      <c r="P177">
        <f t="shared" si="25"/>
        <v>0</v>
      </c>
      <c r="Q177">
        <f t="shared" si="26"/>
        <v>0</v>
      </c>
      <c r="R177">
        <f t="shared" si="27"/>
        <v>3</v>
      </c>
      <c r="S177" t="s">
        <v>105</v>
      </c>
      <c r="T177">
        <f t="shared" si="28"/>
        <v>3</v>
      </c>
    </row>
    <row r="178" spans="1:20" x14ac:dyDescent="0.2">
      <c r="A178">
        <v>177</v>
      </c>
      <c r="B178">
        <v>500</v>
      </c>
      <c r="C178">
        <v>1</v>
      </c>
      <c r="D178" s="3">
        <v>0.01</v>
      </c>
      <c r="E178">
        <v>20</v>
      </c>
      <c r="F178">
        <v>10</v>
      </c>
      <c r="G178" t="s">
        <v>902</v>
      </c>
      <c r="H178">
        <v>0.1</v>
      </c>
      <c r="I178" t="s">
        <v>160</v>
      </c>
      <c r="J178">
        <f t="shared" si="20"/>
        <v>1</v>
      </c>
      <c r="K178">
        <f t="shared" si="21"/>
        <v>0</v>
      </c>
      <c r="L178">
        <f t="shared" si="22"/>
        <v>0</v>
      </c>
      <c r="M178">
        <f t="shared" si="29"/>
        <v>1</v>
      </c>
      <c r="N178">
        <f t="shared" si="23"/>
        <v>0</v>
      </c>
      <c r="O178">
        <f t="shared" si="24"/>
        <v>0</v>
      </c>
      <c r="P178">
        <f t="shared" si="25"/>
        <v>0</v>
      </c>
      <c r="Q178">
        <v>1</v>
      </c>
      <c r="R178">
        <f t="shared" si="27"/>
        <v>3</v>
      </c>
      <c r="S178" t="s">
        <v>125</v>
      </c>
      <c r="T178">
        <f t="shared" si="28"/>
        <v>2</v>
      </c>
    </row>
    <row r="179" spans="1:20" x14ac:dyDescent="0.2">
      <c r="A179">
        <v>178</v>
      </c>
      <c r="B179" t="s">
        <v>715</v>
      </c>
      <c r="C179" t="s">
        <v>716</v>
      </c>
      <c r="D179">
        <v>1E-3</v>
      </c>
      <c r="E179">
        <v>20</v>
      </c>
      <c r="F179">
        <v>10</v>
      </c>
      <c r="G179" s="3">
        <v>0.09</v>
      </c>
      <c r="H179">
        <v>0.1</v>
      </c>
      <c r="I179" t="s">
        <v>907</v>
      </c>
      <c r="J179">
        <v>1</v>
      </c>
      <c r="K179">
        <v>1</v>
      </c>
      <c r="L179">
        <f t="shared" si="22"/>
        <v>1</v>
      </c>
      <c r="M179">
        <f t="shared" si="29"/>
        <v>1</v>
      </c>
      <c r="N179">
        <f t="shared" si="23"/>
        <v>0</v>
      </c>
      <c r="O179">
        <f t="shared" si="24"/>
        <v>0</v>
      </c>
      <c r="P179">
        <f t="shared" si="25"/>
        <v>0</v>
      </c>
      <c r="Q179">
        <f t="shared" si="26"/>
        <v>0</v>
      </c>
      <c r="R179">
        <f t="shared" si="27"/>
        <v>4</v>
      </c>
      <c r="S179" t="s">
        <v>111</v>
      </c>
      <c r="T179">
        <f t="shared" si="28"/>
        <v>4</v>
      </c>
    </row>
    <row r="180" spans="1:20" x14ac:dyDescent="0.2">
      <c r="A180">
        <v>179</v>
      </c>
      <c r="B180">
        <v>6</v>
      </c>
      <c r="C180" t="s">
        <v>716</v>
      </c>
      <c r="D180" t="s">
        <v>569</v>
      </c>
      <c r="E180" t="s">
        <v>912</v>
      </c>
      <c r="F180">
        <v>100</v>
      </c>
      <c r="G180" t="s">
        <v>913</v>
      </c>
      <c r="H180" t="s">
        <v>297</v>
      </c>
      <c r="I180" t="s">
        <v>266</v>
      </c>
      <c r="J180">
        <f t="shared" si="20"/>
        <v>0</v>
      </c>
      <c r="K180">
        <v>1</v>
      </c>
      <c r="L180">
        <f t="shared" si="22"/>
        <v>0</v>
      </c>
      <c r="M180">
        <v>1</v>
      </c>
      <c r="N180">
        <f t="shared" si="23"/>
        <v>1</v>
      </c>
      <c r="O180">
        <f t="shared" si="24"/>
        <v>0</v>
      </c>
      <c r="P180">
        <f t="shared" si="25"/>
        <v>0</v>
      </c>
      <c r="Q180">
        <f t="shared" si="26"/>
        <v>0</v>
      </c>
      <c r="R180">
        <f t="shared" si="27"/>
        <v>3</v>
      </c>
      <c r="S180" t="s">
        <v>125</v>
      </c>
      <c r="T180">
        <f t="shared" si="28"/>
        <v>3</v>
      </c>
    </row>
    <row r="181" spans="1:20" x14ac:dyDescent="0.2">
      <c r="A181">
        <v>180</v>
      </c>
      <c r="B181">
        <v>500</v>
      </c>
      <c r="C181">
        <v>10</v>
      </c>
      <c r="D181">
        <v>1</v>
      </c>
      <c r="E181">
        <v>20</v>
      </c>
      <c r="F181">
        <v>100</v>
      </c>
      <c r="G181" s="3">
        <v>0.1</v>
      </c>
      <c r="H181">
        <v>0.9</v>
      </c>
      <c r="I181" t="s">
        <v>266</v>
      </c>
      <c r="J181">
        <f t="shared" si="20"/>
        <v>1</v>
      </c>
      <c r="K181">
        <f t="shared" si="21"/>
        <v>1</v>
      </c>
      <c r="L181">
        <f t="shared" si="22"/>
        <v>0</v>
      </c>
      <c r="M181">
        <f t="shared" si="29"/>
        <v>1</v>
      </c>
      <c r="N181">
        <f t="shared" si="23"/>
        <v>1</v>
      </c>
      <c r="O181">
        <f t="shared" si="24"/>
        <v>0</v>
      </c>
      <c r="P181">
        <f t="shared" si="25"/>
        <v>0</v>
      </c>
      <c r="Q181">
        <f t="shared" si="26"/>
        <v>0</v>
      </c>
      <c r="R181">
        <f t="shared" si="27"/>
        <v>4</v>
      </c>
      <c r="S181" t="s">
        <v>125</v>
      </c>
      <c r="T181">
        <f t="shared" si="28"/>
        <v>4</v>
      </c>
    </row>
    <row r="182" spans="1:20" x14ac:dyDescent="0.2">
      <c r="A182">
        <v>181</v>
      </c>
      <c r="B182">
        <v>500</v>
      </c>
      <c r="C182">
        <v>10</v>
      </c>
      <c r="D182" s="4">
        <v>1E-3</v>
      </c>
      <c r="E182">
        <v>20</v>
      </c>
      <c r="F182">
        <v>100</v>
      </c>
      <c r="G182" s="3">
        <v>0.9</v>
      </c>
      <c r="H182" s="5">
        <v>0.05</v>
      </c>
      <c r="I182" t="s">
        <v>104</v>
      </c>
      <c r="J182">
        <f t="shared" si="20"/>
        <v>1</v>
      </c>
      <c r="K182">
        <f t="shared" si="21"/>
        <v>1</v>
      </c>
      <c r="L182">
        <f t="shared" si="22"/>
        <v>1</v>
      </c>
      <c r="M182">
        <f t="shared" si="29"/>
        <v>1</v>
      </c>
      <c r="N182">
        <f t="shared" si="23"/>
        <v>1</v>
      </c>
      <c r="O182">
        <f t="shared" si="24"/>
        <v>0</v>
      </c>
      <c r="P182">
        <f t="shared" si="25"/>
        <v>1</v>
      </c>
      <c r="Q182">
        <f t="shared" si="26"/>
        <v>1</v>
      </c>
      <c r="R182">
        <f t="shared" si="27"/>
        <v>7</v>
      </c>
      <c r="S182" t="s">
        <v>125</v>
      </c>
      <c r="T182">
        <f t="shared" si="28"/>
        <v>5</v>
      </c>
    </row>
    <row r="183" spans="1:20" x14ac:dyDescent="0.2">
      <c r="A183">
        <v>182</v>
      </c>
      <c r="B183">
        <v>500</v>
      </c>
      <c r="C183">
        <v>10</v>
      </c>
      <c r="D183">
        <v>0.1</v>
      </c>
      <c r="E183">
        <v>20</v>
      </c>
      <c r="F183">
        <v>100</v>
      </c>
      <c r="G183">
        <v>18</v>
      </c>
      <c r="H183">
        <v>0.1</v>
      </c>
      <c r="I183">
        <v>100</v>
      </c>
      <c r="J183">
        <f t="shared" si="20"/>
        <v>1</v>
      </c>
      <c r="K183">
        <f t="shared" si="21"/>
        <v>1</v>
      </c>
      <c r="L183">
        <f t="shared" si="22"/>
        <v>1</v>
      </c>
      <c r="M183">
        <f t="shared" si="29"/>
        <v>1</v>
      </c>
      <c r="N183">
        <f t="shared" si="23"/>
        <v>1</v>
      </c>
      <c r="O183">
        <f t="shared" si="24"/>
        <v>0</v>
      </c>
      <c r="P183">
        <f t="shared" si="25"/>
        <v>0</v>
      </c>
      <c r="Q183">
        <f t="shared" si="26"/>
        <v>0</v>
      </c>
      <c r="R183">
        <f t="shared" si="27"/>
        <v>5</v>
      </c>
      <c r="S183" t="s">
        <v>97</v>
      </c>
      <c r="T183">
        <f t="shared" si="28"/>
        <v>5</v>
      </c>
    </row>
    <row r="184" spans="1:20" x14ac:dyDescent="0.2">
      <c r="A184">
        <v>183</v>
      </c>
      <c r="B184">
        <v>6</v>
      </c>
      <c r="C184">
        <v>1</v>
      </c>
      <c r="D184">
        <v>1</v>
      </c>
      <c r="E184">
        <v>201</v>
      </c>
      <c r="F184">
        <v>1</v>
      </c>
      <c r="G184" t="s">
        <v>931</v>
      </c>
      <c r="H184" t="s">
        <v>297</v>
      </c>
      <c r="I184">
        <v>20</v>
      </c>
      <c r="J184">
        <f t="shared" si="20"/>
        <v>0</v>
      </c>
      <c r="K184">
        <f t="shared" si="21"/>
        <v>0</v>
      </c>
      <c r="L184">
        <f t="shared" si="22"/>
        <v>0</v>
      </c>
      <c r="M184">
        <f t="shared" si="29"/>
        <v>0</v>
      </c>
      <c r="N184">
        <f t="shared" si="23"/>
        <v>0</v>
      </c>
      <c r="O184">
        <f t="shared" si="24"/>
        <v>0</v>
      </c>
      <c r="P184">
        <f t="shared" si="25"/>
        <v>0</v>
      </c>
      <c r="Q184">
        <f t="shared" si="26"/>
        <v>0</v>
      </c>
      <c r="R184">
        <f t="shared" si="27"/>
        <v>0</v>
      </c>
      <c r="S184" t="s">
        <v>125</v>
      </c>
      <c r="T184">
        <f t="shared" si="28"/>
        <v>0</v>
      </c>
    </row>
    <row r="185" spans="1:20" x14ac:dyDescent="0.2">
      <c r="A185">
        <v>184</v>
      </c>
      <c r="B185">
        <v>500</v>
      </c>
      <c r="C185">
        <v>10</v>
      </c>
      <c r="D185">
        <v>0.01</v>
      </c>
      <c r="E185">
        <v>20</v>
      </c>
      <c r="F185">
        <v>100</v>
      </c>
      <c r="G185">
        <v>5</v>
      </c>
      <c r="H185">
        <v>0.1</v>
      </c>
      <c r="I185">
        <v>100</v>
      </c>
      <c r="J185">
        <f t="shared" si="20"/>
        <v>1</v>
      </c>
      <c r="K185">
        <f t="shared" si="21"/>
        <v>1</v>
      </c>
      <c r="L185">
        <f t="shared" si="22"/>
        <v>0</v>
      </c>
      <c r="M185">
        <f t="shared" si="29"/>
        <v>1</v>
      </c>
      <c r="N185">
        <f t="shared" si="23"/>
        <v>1</v>
      </c>
      <c r="O185">
        <f t="shared" si="24"/>
        <v>0</v>
      </c>
      <c r="P185">
        <f t="shared" si="25"/>
        <v>0</v>
      </c>
      <c r="Q185">
        <f t="shared" si="26"/>
        <v>0</v>
      </c>
      <c r="R185">
        <f t="shared" si="27"/>
        <v>4</v>
      </c>
      <c r="S185" t="s">
        <v>105</v>
      </c>
      <c r="T185">
        <f t="shared" si="28"/>
        <v>4</v>
      </c>
    </row>
    <row r="186" spans="1:20" x14ac:dyDescent="0.2">
      <c r="A186">
        <v>185</v>
      </c>
      <c r="B186">
        <v>50</v>
      </c>
      <c r="C186">
        <v>10</v>
      </c>
      <c r="D186">
        <v>10</v>
      </c>
      <c r="E186">
        <v>5</v>
      </c>
      <c r="F186">
        <v>100</v>
      </c>
      <c r="G186">
        <v>1</v>
      </c>
      <c r="H186">
        <v>0.1</v>
      </c>
      <c r="I186">
        <v>100</v>
      </c>
      <c r="J186">
        <f t="shared" si="20"/>
        <v>0</v>
      </c>
      <c r="K186">
        <f t="shared" si="21"/>
        <v>1</v>
      </c>
      <c r="L186">
        <f t="shared" si="22"/>
        <v>0</v>
      </c>
      <c r="M186">
        <f t="shared" si="29"/>
        <v>0</v>
      </c>
      <c r="N186">
        <f t="shared" si="23"/>
        <v>1</v>
      </c>
      <c r="O186">
        <f t="shared" si="24"/>
        <v>0</v>
      </c>
      <c r="P186">
        <f t="shared" si="25"/>
        <v>0</v>
      </c>
      <c r="Q186">
        <f t="shared" si="26"/>
        <v>0</v>
      </c>
      <c r="R186">
        <f t="shared" si="27"/>
        <v>2</v>
      </c>
      <c r="S186" t="s">
        <v>97</v>
      </c>
      <c r="T186">
        <f t="shared" si="28"/>
        <v>2</v>
      </c>
    </row>
    <row r="187" spans="1:20" x14ac:dyDescent="0.2">
      <c r="A187">
        <v>186</v>
      </c>
      <c r="B187" t="s">
        <v>944</v>
      </c>
      <c r="C187">
        <v>10</v>
      </c>
      <c r="D187" t="s">
        <v>945</v>
      </c>
      <c r="E187" t="s">
        <v>946</v>
      </c>
      <c r="F187">
        <v>100</v>
      </c>
      <c r="G187" t="s">
        <v>947</v>
      </c>
      <c r="H187" t="s">
        <v>948</v>
      </c>
      <c r="I187" t="s">
        <v>949</v>
      </c>
      <c r="J187">
        <v>1</v>
      </c>
      <c r="K187">
        <f t="shared" si="21"/>
        <v>1</v>
      </c>
      <c r="L187">
        <f t="shared" si="22"/>
        <v>0</v>
      </c>
      <c r="M187">
        <v>1</v>
      </c>
      <c r="N187">
        <f t="shared" si="23"/>
        <v>1</v>
      </c>
      <c r="O187">
        <f t="shared" si="24"/>
        <v>0</v>
      </c>
      <c r="P187">
        <f t="shared" si="25"/>
        <v>0</v>
      </c>
      <c r="Q187">
        <f t="shared" si="26"/>
        <v>0</v>
      </c>
      <c r="R187">
        <f t="shared" si="27"/>
        <v>4</v>
      </c>
      <c r="S187" t="s">
        <v>111</v>
      </c>
      <c r="T187">
        <f t="shared" si="28"/>
        <v>4</v>
      </c>
    </row>
    <row r="188" spans="1:20" x14ac:dyDescent="0.2">
      <c r="A188">
        <v>187</v>
      </c>
      <c r="B188" t="s">
        <v>954</v>
      </c>
      <c r="C188" t="s">
        <v>955</v>
      </c>
      <c r="D188">
        <v>0.1</v>
      </c>
      <c r="E188">
        <v>20</v>
      </c>
      <c r="F188">
        <v>10</v>
      </c>
      <c r="G188" s="3">
        <v>0.19</v>
      </c>
      <c r="H188">
        <v>0.05</v>
      </c>
      <c r="I188" t="s">
        <v>136</v>
      </c>
      <c r="J188">
        <f t="shared" si="20"/>
        <v>0</v>
      </c>
      <c r="K188">
        <v>1</v>
      </c>
      <c r="L188">
        <f t="shared" si="22"/>
        <v>1</v>
      </c>
      <c r="M188">
        <f t="shared" si="29"/>
        <v>1</v>
      </c>
      <c r="N188">
        <f t="shared" si="23"/>
        <v>0</v>
      </c>
      <c r="O188">
        <f t="shared" si="24"/>
        <v>0</v>
      </c>
      <c r="P188">
        <f t="shared" si="25"/>
        <v>1</v>
      </c>
      <c r="Q188">
        <v>1</v>
      </c>
      <c r="R188">
        <f t="shared" si="27"/>
        <v>5</v>
      </c>
      <c r="S188" t="s">
        <v>105</v>
      </c>
      <c r="T188">
        <f t="shared" si="28"/>
        <v>3</v>
      </c>
    </row>
    <row r="189" spans="1:20" x14ac:dyDescent="0.2">
      <c r="A189">
        <v>188</v>
      </c>
      <c r="B189">
        <v>500</v>
      </c>
      <c r="C189">
        <v>10</v>
      </c>
      <c r="D189">
        <v>10</v>
      </c>
      <c r="E189">
        <v>20</v>
      </c>
      <c r="F189">
        <v>100</v>
      </c>
      <c r="G189" s="3">
        <v>0.5</v>
      </c>
      <c r="H189" t="s">
        <v>159</v>
      </c>
      <c r="I189" t="s">
        <v>104</v>
      </c>
      <c r="J189">
        <f t="shared" si="20"/>
        <v>1</v>
      </c>
      <c r="K189">
        <f t="shared" si="21"/>
        <v>1</v>
      </c>
      <c r="L189">
        <f t="shared" si="22"/>
        <v>0</v>
      </c>
      <c r="M189">
        <f t="shared" si="29"/>
        <v>1</v>
      </c>
      <c r="N189">
        <f t="shared" si="23"/>
        <v>1</v>
      </c>
      <c r="O189">
        <f t="shared" si="24"/>
        <v>1</v>
      </c>
      <c r="P189">
        <f t="shared" si="25"/>
        <v>1</v>
      </c>
      <c r="Q189">
        <f t="shared" si="26"/>
        <v>1</v>
      </c>
      <c r="R189">
        <f t="shared" si="27"/>
        <v>7</v>
      </c>
      <c r="S189" t="s">
        <v>97</v>
      </c>
      <c r="T189">
        <f t="shared" si="28"/>
        <v>5</v>
      </c>
    </row>
    <row r="190" spans="1:20" x14ac:dyDescent="0.2">
      <c r="A190">
        <v>189</v>
      </c>
      <c r="B190">
        <v>500</v>
      </c>
      <c r="C190">
        <v>10</v>
      </c>
      <c r="D190" s="4">
        <v>1E-3</v>
      </c>
      <c r="E190" s="3">
        <v>0.2</v>
      </c>
      <c r="F190">
        <v>100</v>
      </c>
      <c r="G190" s="3">
        <v>0.9</v>
      </c>
      <c r="H190" s="5">
        <v>0.1</v>
      </c>
      <c r="I190" t="s">
        <v>104</v>
      </c>
      <c r="J190">
        <f t="shared" si="20"/>
        <v>1</v>
      </c>
      <c r="K190">
        <f t="shared" si="21"/>
        <v>1</v>
      </c>
      <c r="L190">
        <f t="shared" si="22"/>
        <v>1</v>
      </c>
      <c r="M190">
        <f t="shared" si="29"/>
        <v>1</v>
      </c>
      <c r="N190">
        <f t="shared" si="23"/>
        <v>1</v>
      </c>
      <c r="O190">
        <f t="shared" si="24"/>
        <v>0</v>
      </c>
      <c r="P190">
        <f t="shared" si="25"/>
        <v>0</v>
      </c>
      <c r="Q190">
        <f t="shared" si="26"/>
        <v>1</v>
      </c>
      <c r="R190">
        <f t="shared" si="27"/>
        <v>6</v>
      </c>
      <c r="S190" t="s">
        <v>105</v>
      </c>
      <c r="T190">
        <f t="shared" si="28"/>
        <v>5</v>
      </c>
    </row>
    <row r="191" spans="1:20" x14ac:dyDescent="0.2">
      <c r="A191">
        <v>190</v>
      </c>
      <c r="B191">
        <v>500</v>
      </c>
      <c r="C191">
        <v>10</v>
      </c>
      <c r="D191" s="4">
        <v>1E-3</v>
      </c>
      <c r="E191" s="3">
        <v>0.2</v>
      </c>
      <c r="F191">
        <v>100</v>
      </c>
      <c r="G191" s="3">
        <v>0.9</v>
      </c>
      <c r="H191">
        <v>0.05</v>
      </c>
      <c r="I191">
        <v>5</v>
      </c>
      <c r="J191">
        <f t="shared" si="20"/>
        <v>1</v>
      </c>
      <c r="K191">
        <f t="shared" si="21"/>
        <v>1</v>
      </c>
      <c r="L191">
        <f t="shared" si="22"/>
        <v>1</v>
      </c>
      <c r="M191">
        <f t="shared" si="29"/>
        <v>1</v>
      </c>
      <c r="N191">
        <f t="shared" si="23"/>
        <v>1</v>
      </c>
      <c r="O191">
        <f t="shared" si="24"/>
        <v>0</v>
      </c>
      <c r="P191">
        <f t="shared" si="25"/>
        <v>1</v>
      </c>
      <c r="Q191">
        <f t="shared" si="26"/>
        <v>1</v>
      </c>
      <c r="R191">
        <f t="shared" si="27"/>
        <v>7</v>
      </c>
      <c r="S191" t="s">
        <v>97</v>
      </c>
      <c r="T191">
        <f t="shared" si="28"/>
        <v>5</v>
      </c>
    </row>
    <row r="192" spans="1:20" x14ac:dyDescent="0.2">
      <c r="A192">
        <v>191</v>
      </c>
      <c r="B192">
        <v>4</v>
      </c>
      <c r="C192" t="s">
        <v>972</v>
      </c>
      <c r="D192" t="s">
        <v>973</v>
      </c>
      <c r="E192" t="s">
        <v>974</v>
      </c>
      <c r="F192" s="3">
        <v>0.1</v>
      </c>
      <c r="G192" t="s">
        <v>975</v>
      </c>
      <c r="H192" t="s">
        <v>159</v>
      </c>
      <c r="I192" t="s">
        <v>530</v>
      </c>
      <c r="J192">
        <f t="shared" si="20"/>
        <v>0</v>
      </c>
      <c r="K192">
        <v>1</v>
      </c>
      <c r="L192">
        <f t="shared" si="22"/>
        <v>0</v>
      </c>
      <c r="M192">
        <f t="shared" si="29"/>
        <v>0</v>
      </c>
      <c r="N192">
        <f t="shared" si="23"/>
        <v>0</v>
      </c>
      <c r="O192">
        <f t="shared" si="24"/>
        <v>0</v>
      </c>
      <c r="P192">
        <f t="shared" si="25"/>
        <v>1</v>
      </c>
      <c r="Q192">
        <f t="shared" si="26"/>
        <v>0</v>
      </c>
      <c r="R192">
        <f t="shared" si="27"/>
        <v>2</v>
      </c>
      <c r="S192" t="s">
        <v>125</v>
      </c>
      <c r="T192">
        <f t="shared" si="28"/>
        <v>1</v>
      </c>
    </row>
    <row r="193" spans="1:20" x14ac:dyDescent="0.2">
      <c r="A193">
        <v>192</v>
      </c>
      <c r="B193">
        <v>500</v>
      </c>
      <c r="C193">
        <v>10</v>
      </c>
      <c r="D193">
        <v>1</v>
      </c>
      <c r="E193">
        <v>20</v>
      </c>
      <c r="F193">
        <v>100</v>
      </c>
      <c r="G193" t="s">
        <v>980</v>
      </c>
      <c r="H193" t="s">
        <v>981</v>
      </c>
      <c r="I193">
        <v>100</v>
      </c>
      <c r="J193">
        <f t="shared" si="20"/>
        <v>1</v>
      </c>
      <c r="K193">
        <f t="shared" si="21"/>
        <v>1</v>
      </c>
      <c r="L193">
        <f t="shared" si="22"/>
        <v>0</v>
      </c>
      <c r="M193">
        <f t="shared" si="29"/>
        <v>1</v>
      </c>
      <c r="N193">
        <f t="shared" si="23"/>
        <v>1</v>
      </c>
      <c r="O193">
        <f t="shared" si="24"/>
        <v>0</v>
      </c>
      <c r="P193">
        <f t="shared" si="25"/>
        <v>0</v>
      </c>
      <c r="Q193">
        <f t="shared" si="26"/>
        <v>0</v>
      </c>
      <c r="R193">
        <f t="shared" si="27"/>
        <v>4</v>
      </c>
      <c r="S193" t="s">
        <v>105</v>
      </c>
      <c r="T193">
        <f t="shared" si="28"/>
        <v>4</v>
      </c>
    </row>
    <row r="194" spans="1:20" x14ac:dyDescent="0.2">
      <c r="A194">
        <v>193</v>
      </c>
      <c r="B194">
        <v>4</v>
      </c>
      <c r="C194">
        <v>100</v>
      </c>
      <c r="D194">
        <v>100</v>
      </c>
      <c r="E194">
        <v>2</v>
      </c>
      <c r="F194">
        <v>100</v>
      </c>
      <c r="G194">
        <v>50</v>
      </c>
      <c r="H194">
        <v>0.1</v>
      </c>
      <c r="I194">
        <v>1</v>
      </c>
      <c r="J194">
        <f t="shared" si="20"/>
        <v>0</v>
      </c>
      <c r="K194">
        <v>0</v>
      </c>
      <c r="L194">
        <f t="shared" si="22"/>
        <v>0</v>
      </c>
      <c r="M194">
        <f t="shared" si="29"/>
        <v>0</v>
      </c>
      <c r="N194">
        <f t="shared" si="23"/>
        <v>1</v>
      </c>
      <c r="O194">
        <f t="shared" si="24"/>
        <v>1</v>
      </c>
      <c r="P194">
        <f t="shared" si="25"/>
        <v>0</v>
      </c>
      <c r="Q194">
        <f t="shared" si="26"/>
        <v>0</v>
      </c>
      <c r="R194">
        <f t="shared" si="27"/>
        <v>2</v>
      </c>
      <c r="S194" t="s">
        <v>125</v>
      </c>
      <c r="T194">
        <f t="shared" si="28"/>
        <v>2</v>
      </c>
    </row>
    <row r="195" spans="1:20" x14ac:dyDescent="0.2">
      <c r="A195">
        <v>194</v>
      </c>
      <c r="B195" t="s">
        <v>990</v>
      </c>
      <c r="C195" t="s">
        <v>991</v>
      </c>
      <c r="D195" s="4">
        <v>1E-3</v>
      </c>
      <c r="E195">
        <v>20</v>
      </c>
      <c r="F195">
        <v>100</v>
      </c>
      <c r="G195" s="3">
        <v>0.1</v>
      </c>
      <c r="H195" s="5">
        <v>0.05</v>
      </c>
      <c r="I195" t="s">
        <v>104</v>
      </c>
      <c r="J195">
        <v>1</v>
      </c>
      <c r="K195">
        <v>1</v>
      </c>
      <c r="L195">
        <f t="shared" ref="L195:L258" si="30">IF(OR(D195=0.1,D195=0.1%),1,0)</f>
        <v>1</v>
      </c>
      <c r="M195">
        <f t="shared" si="29"/>
        <v>1</v>
      </c>
      <c r="N195">
        <f t="shared" ref="N195:N258" si="31">IF(F195=100,1,0)</f>
        <v>1</v>
      </c>
      <c r="O195">
        <f t="shared" ref="O195:O258" si="32">IF(OR(G195=50,G195=50%),1,0)</f>
        <v>0</v>
      </c>
      <c r="P195">
        <f t="shared" ref="P195:P258" si="33">IF(OR(H195=0.05,H195="$0.05",H195="5 cents"),1,0)</f>
        <v>1</v>
      </c>
      <c r="Q195">
        <f t="shared" ref="Q195:Q258" si="34">IF(OR(I195=5,I195="5 minutes"),1,0)</f>
        <v>1</v>
      </c>
      <c r="R195">
        <f t="shared" ref="R195:R258" si="35">SUM(J195:Q195)</f>
        <v>7</v>
      </c>
      <c r="S195" t="s">
        <v>105</v>
      </c>
      <c r="T195">
        <f t="shared" ref="T195:T258" si="36">SUM(J195:O195)</f>
        <v>5</v>
      </c>
    </row>
    <row r="196" spans="1:20" x14ac:dyDescent="0.2">
      <c r="A196">
        <v>195</v>
      </c>
      <c r="B196">
        <v>500</v>
      </c>
      <c r="C196">
        <v>10</v>
      </c>
      <c r="D196" s="3">
        <v>0.01</v>
      </c>
      <c r="E196">
        <v>20</v>
      </c>
      <c r="F196">
        <v>100</v>
      </c>
      <c r="G196" s="3">
        <v>0.5</v>
      </c>
      <c r="H196">
        <v>0.1</v>
      </c>
      <c r="I196" t="s">
        <v>266</v>
      </c>
      <c r="J196">
        <f t="shared" ref="J196:J258" si="37">IF(B196=500,1,0)</f>
        <v>1</v>
      </c>
      <c r="K196">
        <f t="shared" ref="K196:K258" si="38">IF(C196=10,1,0)</f>
        <v>1</v>
      </c>
      <c r="L196">
        <f t="shared" si="30"/>
        <v>0</v>
      </c>
      <c r="M196">
        <f t="shared" ref="M196:M259" si="39">IF(OR(E196=20,E196=20%),1,0)</f>
        <v>1</v>
      </c>
      <c r="N196">
        <f t="shared" si="31"/>
        <v>1</v>
      </c>
      <c r="O196">
        <f t="shared" si="32"/>
        <v>1</v>
      </c>
      <c r="P196">
        <f t="shared" si="33"/>
        <v>0</v>
      </c>
      <c r="Q196">
        <f t="shared" si="34"/>
        <v>0</v>
      </c>
      <c r="R196">
        <f t="shared" si="35"/>
        <v>5</v>
      </c>
      <c r="S196" t="s">
        <v>125</v>
      </c>
      <c r="T196">
        <f t="shared" si="36"/>
        <v>5</v>
      </c>
    </row>
    <row r="197" spans="1:20" x14ac:dyDescent="0.2">
      <c r="A197">
        <v>196</v>
      </c>
      <c r="B197">
        <v>500</v>
      </c>
      <c r="C197">
        <v>10</v>
      </c>
      <c r="D197" s="4">
        <v>1E-3</v>
      </c>
      <c r="E197">
        <v>20</v>
      </c>
      <c r="F197">
        <v>100</v>
      </c>
      <c r="G197" s="3">
        <v>0.9</v>
      </c>
      <c r="H197">
        <v>0.05</v>
      </c>
      <c r="I197" t="s">
        <v>104</v>
      </c>
      <c r="J197">
        <f t="shared" si="37"/>
        <v>1</v>
      </c>
      <c r="K197">
        <f t="shared" si="38"/>
        <v>1</v>
      </c>
      <c r="L197">
        <f t="shared" si="30"/>
        <v>1</v>
      </c>
      <c r="M197">
        <f t="shared" si="39"/>
        <v>1</v>
      </c>
      <c r="N197">
        <f t="shared" si="31"/>
        <v>1</v>
      </c>
      <c r="O197">
        <f t="shared" si="32"/>
        <v>0</v>
      </c>
      <c r="P197">
        <f t="shared" si="33"/>
        <v>1</v>
      </c>
      <c r="Q197">
        <f t="shared" si="34"/>
        <v>1</v>
      </c>
      <c r="R197">
        <f t="shared" si="35"/>
        <v>7</v>
      </c>
      <c r="S197" t="s">
        <v>111</v>
      </c>
      <c r="T197">
        <f t="shared" si="36"/>
        <v>5</v>
      </c>
    </row>
    <row r="198" spans="1:20" x14ac:dyDescent="0.2">
      <c r="A198">
        <v>197</v>
      </c>
      <c r="B198" s="3">
        <v>0.5</v>
      </c>
      <c r="C198">
        <v>1E-3</v>
      </c>
      <c r="D198" t="s">
        <v>121</v>
      </c>
      <c r="E198" s="3">
        <v>0.2</v>
      </c>
      <c r="F198">
        <v>100</v>
      </c>
      <c r="G198">
        <v>0.18</v>
      </c>
      <c r="H198">
        <v>0.1</v>
      </c>
      <c r="I198" t="s">
        <v>136</v>
      </c>
      <c r="J198">
        <v>1</v>
      </c>
      <c r="K198">
        <f t="shared" si="38"/>
        <v>0</v>
      </c>
      <c r="L198">
        <f t="shared" si="30"/>
        <v>0</v>
      </c>
      <c r="M198">
        <f t="shared" si="39"/>
        <v>1</v>
      </c>
      <c r="N198">
        <f t="shared" si="31"/>
        <v>1</v>
      </c>
      <c r="O198">
        <f t="shared" si="32"/>
        <v>0</v>
      </c>
      <c r="P198">
        <f t="shared" si="33"/>
        <v>0</v>
      </c>
      <c r="Q198">
        <v>1</v>
      </c>
      <c r="R198">
        <f t="shared" si="35"/>
        <v>4</v>
      </c>
      <c r="S198" t="s">
        <v>125</v>
      </c>
      <c r="T198">
        <f t="shared" si="36"/>
        <v>3</v>
      </c>
    </row>
    <row r="199" spans="1:20" x14ac:dyDescent="0.2">
      <c r="A199">
        <v>198</v>
      </c>
      <c r="B199">
        <v>500</v>
      </c>
      <c r="C199">
        <v>10</v>
      </c>
      <c r="D199">
        <v>0.1</v>
      </c>
      <c r="E199">
        <v>20</v>
      </c>
      <c r="F199">
        <v>100</v>
      </c>
      <c r="G199">
        <v>50</v>
      </c>
      <c r="H199">
        <v>0.05</v>
      </c>
      <c r="I199">
        <v>5</v>
      </c>
      <c r="J199">
        <f t="shared" si="37"/>
        <v>1</v>
      </c>
      <c r="K199">
        <f t="shared" si="38"/>
        <v>1</v>
      </c>
      <c r="L199">
        <f t="shared" si="30"/>
        <v>1</v>
      </c>
      <c r="M199">
        <f t="shared" si="39"/>
        <v>1</v>
      </c>
      <c r="N199">
        <f t="shared" si="31"/>
        <v>1</v>
      </c>
      <c r="O199">
        <f t="shared" si="32"/>
        <v>1</v>
      </c>
      <c r="P199">
        <f t="shared" si="33"/>
        <v>1</v>
      </c>
      <c r="Q199">
        <f t="shared" si="34"/>
        <v>1</v>
      </c>
      <c r="R199">
        <f t="shared" si="35"/>
        <v>8</v>
      </c>
      <c r="S199" t="s">
        <v>125</v>
      </c>
      <c r="T199">
        <f t="shared" si="36"/>
        <v>6</v>
      </c>
    </row>
    <row r="200" spans="1:20" x14ac:dyDescent="0.2">
      <c r="A200">
        <v>199</v>
      </c>
      <c r="B200">
        <v>500</v>
      </c>
      <c r="C200">
        <v>10</v>
      </c>
      <c r="D200" s="4">
        <v>1E-3</v>
      </c>
      <c r="E200" s="3">
        <v>0.2</v>
      </c>
      <c r="F200">
        <v>100</v>
      </c>
      <c r="G200" s="3">
        <v>0.5</v>
      </c>
      <c r="H200">
        <v>2.1</v>
      </c>
      <c r="I200">
        <v>100</v>
      </c>
      <c r="J200">
        <f t="shared" si="37"/>
        <v>1</v>
      </c>
      <c r="K200">
        <f t="shared" si="38"/>
        <v>1</v>
      </c>
      <c r="L200">
        <f t="shared" si="30"/>
        <v>1</v>
      </c>
      <c r="M200">
        <f t="shared" si="39"/>
        <v>1</v>
      </c>
      <c r="N200">
        <f t="shared" si="31"/>
        <v>1</v>
      </c>
      <c r="O200">
        <f t="shared" si="32"/>
        <v>1</v>
      </c>
      <c r="P200">
        <f t="shared" si="33"/>
        <v>0</v>
      </c>
      <c r="Q200">
        <f t="shared" si="34"/>
        <v>0</v>
      </c>
      <c r="R200">
        <f t="shared" si="35"/>
        <v>6</v>
      </c>
      <c r="S200" t="s">
        <v>111</v>
      </c>
      <c r="T200">
        <f t="shared" si="36"/>
        <v>6</v>
      </c>
    </row>
    <row r="201" spans="1:20" x14ac:dyDescent="0.2">
      <c r="A201">
        <v>200</v>
      </c>
      <c r="B201">
        <v>333</v>
      </c>
      <c r="C201">
        <v>0.01</v>
      </c>
      <c r="D201">
        <v>1E-3</v>
      </c>
      <c r="E201" t="s">
        <v>1018</v>
      </c>
      <c r="F201">
        <v>100</v>
      </c>
      <c r="G201">
        <v>9</v>
      </c>
      <c r="H201">
        <v>0.1</v>
      </c>
      <c r="I201" t="s">
        <v>266</v>
      </c>
      <c r="J201">
        <f t="shared" si="37"/>
        <v>0</v>
      </c>
      <c r="K201">
        <f t="shared" si="38"/>
        <v>0</v>
      </c>
      <c r="L201">
        <f t="shared" si="30"/>
        <v>1</v>
      </c>
      <c r="M201">
        <f t="shared" si="39"/>
        <v>0</v>
      </c>
      <c r="N201">
        <f t="shared" si="31"/>
        <v>1</v>
      </c>
      <c r="O201">
        <f t="shared" si="32"/>
        <v>0</v>
      </c>
      <c r="P201">
        <f t="shared" si="33"/>
        <v>0</v>
      </c>
      <c r="Q201">
        <f t="shared" si="34"/>
        <v>0</v>
      </c>
      <c r="R201">
        <f t="shared" si="35"/>
        <v>2</v>
      </c>
      <c r="S201" t="s">
        <v>111</v>
      </c>
      <c r="T201">
        <f t="shared" si="36"/>
        <v>2</v>
      </c>
    </row>
    <row r="202" spans="1:20" x14ac:dyDescent="0.2">
      <c r="A202">
        <v>201</v>
      </c>
      <c r="B202">
        <v>500</v>
      </c>
      <c r="C202">
        <v>10</v>
      </c>
      <c r="D202">
        <v>1</v>
      </c>
      <c r="E202">
        <v>20</v>
      </c>
      <c r="F202">
        <v>100</v>
      </c>
      <c r="G202">
        <v>50</v>
      </c>
      <c r="H202">
        <v>0.1</v>
      </c>
      <c r="I202">
        <v>100</v>
      </c>
      <c r="J202">
        <f t="shared" si="37"/>
        <v>1</v>
      </c>
      <c r="K202">
        <f t="shared" si="38"/>
        <v>1</v>
      </c>
      <c r="L202">
        <f t="shared" si="30"/>
        <v>0</v>
      </c>
      <c r="M202">
        <f t="shared" si="39"/>
        <v>1</v>
      </c>
      <c r="N202">
        <f t="shared" si="31"/>
        <v>1</v>
      </c>
      <c r="O202">
        <f t="shared" si="32"/>
        <v>1</v>
      </c>
      <c r="P202">
        <f t="shared" si="33"/>
        <v>0</v>
      </c>
      <c r="Q202">
        <f t="shared" si="34"/>
        <v>0</v>
      </c>
      <c r="R202">
        <f t="shared" si="35"/>
        <v>5</v>
      </c>
      <c r="S202" t="s">
        <v>125</v>
      </c>
      <c r="T202">
        <f t="shared" si="36"/>
        <v>5</v>
      </c>
    </row>
    <row r="203" spans="1:20" x14ac:dyDescent="0.2">
      <c r="A203">
        <v>202</v>
      </c>
      <c r="B203">
        <v>500</v>
      </c>
      <c r="C203">
        <v>10</v>
      </c>
      <c r="D203">
        <v>1E-3</v>
      </c>
      <c r="E203">
        <v>20</v>
      </c>
      <c r="F203">
        <v>100</v>
      </c>
      <c r="G203">
        <v>8</v>
      </c>
      <c r="H203">
        <v>0.05</v>
      </c>
      <c r="I203">
        <v>5</v>
      </c>
      <c r="J203">
        <f t="shared" si="37"/>
        <v>1</v>
      </c>
      <c r="K203">
        <f t="shared" si="38"/>
        <v>1</v>
      </c>
      <c r="L203">
        <f t="shared" si="30"/>
        <v>1</v>
      </c>
      <c r="M203">
        <f t="shared" si="39"/>
        <v>1</v>
      </c>
      <c r="N203">
        <f t="shared" si="31"/>
        <v>1</v>
      </c>
      <c r="O203">
        <f t="shared" si="32"/>
        <v>0</v>
      </c>
      <c r="P203">
        <f t="shared" si="33"/>
        <v>1</v>
      </c>
      <c r="Q203">
        <f t="shared" si="34"/>
        <v>1</v>
      </c>
      <c r="R203">
        <f t="shared" si="35"/>
        <v>7</v>
      </c>
      <c r="S203" t="s">
        <v>111</v>
      </c>
      <c r="T203">
        <f t="shared" si="36"/>
        <v>5</v>
      </c>
    </row>
    <row r="204" spans="1:20" x14ac:dyDescent="0.2">
      <c r="A204">
        <v>203</v>
      </c>
      <c r="B204">
        <v>500</v>
      </c>
      <c r="C204">
        <v>10</v>
      </c>
      <c r="D204">
        <v>1</v>
      </c>
      <c r="E204">
        <v>20</v>
      </c>
      <c r="F204">
        <v>100</v>
      </c>
      <c r="G204">
        <v>12</v>
      </c>
      <c r="H204" t="s">
        <v>297</v>
      </c>
      <c r="I204" t="s">
        <v>266</v>
      </c>
      <c r="J204">
        <f t="shared" si="37"/>
        <v>1</v>
      </c>
      <c r="K204">
        <f t="shared" si="38"/>
        <v>1</v>
      </c>
      <c r="L204">
        <f t="shared" si="30"/>
        <v>0</v>
      </c>
      <c r="M204">
        <f t="shared" si="39"/>
        <v>1</v>
      </c>
      <c r="N204">
        <f t="shared" si="31"/>
        <v>1</v>
      </c>
      <c r="O204">
        <f t="shared" si="32"/>
        <v>0</v>
      </c>
      <c r="P204">
        <f t="shared" si="33"/>
        <v>0</v>
      </c>
      <c r="Q204">
        <f t="shared" si="34"/>
        <v>0</v>
      </c>
      <c r="R204">
        <f t="shared" si="35"/>
        <v>4</v>
      </c>
      <c r="S204" t="s">
        <v>97</v>
      </c>
      <c r="T204">
        <f t="shared" si="36"/>
        <v>4</v>
      </c>
    </row>
    <row r="205" spans="1:20" x14ac:dyDescent="0.2">
      <c r="A205">
        <v>204</v>
      </c>
      <c r="B205">
        <v>500</v>
      </c>
      <c r="C205">
        <v>10</v>
      </c>
      <c r="D205" s="4">
        <v>1E-3</v>
      </c>
      <c r="E205">
        <v>20</v>
      </c>
      <c r="F205">
        <v>100</v>
      </c>
      <c r="G205" s="3">
        <v>0.5</v>
      </c>
      <c r="H205">
        <v>0.05</v>
      </c>
      <c r="I205" t="s">
        <v>104</v>
      </c>
      <c r="J205">
        <f t="shared" si="37"/>
        <v>1</v>
      </c>
      <c r="K205">
        <f t="shared" si="38"/>
        <v>1</v>
      </c>
      <c r="L205">
        <f t="shared" si="30"/>
        <v>1</v>
      </c>
      <c r="M205">
        <f t="shared" si="39"/>
        <v>1</v>
      </c>
      <c r="N205">
        <f t="shared" si="31"/>
        <v>1</v>
      </c>
      <c r="O205">
        <f t="shared" si="32"/>
        <v>1</v>
      </c>
      <c r="P205">
        <f t="shared" si="33"/>
        <v>1</v>
      </c>
      <c r="Q205">
        <f t="shared" si="34"/>
        <v>1</v>
      </c>
      <c r="R205">
        <f t="shared" si="35"/>
        <v>8</v>
      </c>
      <c r="S205" t="s">
        <v>105</v>
      </c>
      <c r="T205">
        <f t="shared" si="36"/>
        <v>6</v>
      </c>
    </row>
    <row r="206" spans="1:20" x14ac:dyDescent="0.2">
      <c r="A206">
        <v>205</v>
      </c>
      <c r="B206">
        <v>333</v>
      </c>
      <c r="C206">
        <v>10</v>
      </c>
      <c r="D206">
        <v>1</v>
      </c>
      <c r="E206">
        <v>20</v>
      </c>
      <c r="F206">
        <v>100</v>
      </c>
      <c r="G206">
        <v>9</v>
      </c>
      <c r="H206">
        <v>0.1</v>
      </c>
      <c r="I206">
        <v>100</v>
      </c>
      <c r="J206">
        <f t="shared" si="37"/>
        <v>0</v>
      </c>
      <c r="K206">
        <f t="shared" si="38"/>
        <v>1</v>
      </c>
      <c r="L206">
        <f t="shared" si="30"/>
        <v>0</v>
      </c>
      <c r="M206">
        <f t="shared" si="39"/>
        <v>1</v>
      </c>
      <c r="N206">
        <f t="shared" si="31"/>
        <v>1</v>
      </c>
      <c r="O206">
        <f t="shared" si="32"/>
        <v>0</v>
      </c>
      <c r="P206">
        <f t="shared" si="33"/>
        <v>0</v>
      </c>
      <c r="Q206">
        <f t="shared" si="34"/>
        <v>0</v>
      </c>
      <c r="R206">
        <f t="shared" si="35"/>
        <v>3</v>
      </c>
      <c r="S206" t="s">
        <v>105</v>
      </c>
      <c r="T206">
        <f t="shared" si="36"/>
        <v>3</v>
      </c>
    </row>
    <row r="207" spans="1:20" x14ac:dyDescent="0.2">
      <c r="A207">
        <v>206</v>
      </c>
      <c r="B207">
        <v>500</v>
      </c>
      <c r="C207">
        <v>10</v>
      </c>
      <c r="D207">
        <v>0.1</v>
      </c>
      <c r="E207">
        <v>20</v>
      </c>
      <c r="F207">
        <v>100</v>
      </c>
      <c r="G207">
        <v>87</v>
      </c>
      <c r="H207">
        <v>0.05</v>
      </c>
      <c r="I207">
        <v>5</v>
      </c>
      <c r="J207">
        <f t="shared" si="37"/>
        <v>1</v>
      </c>
      <c r="K207">
        <f t="shared" si="38"/>
        <v>1</v>
      </c>
      <c r="L207">
        <f t="shared" si="30"/>
        <v>1</v>
      </c>
      <c r="M207">
        <f t="shared" si="39"/>
        <v>1</v>
      </c>
      <c r="N207">
        <f t="shared" si="31"/>
        <v>1</v>
      </c>
      <c r="O207">
        <f t="shared" si="32"/>
        <v>0</v>
      </c>
      <c r="P207">
        <f t="shared" si="33"/>
        <v>1</v>
      </c>
      <c r="Q207">
        <f t="shared" si="34"/>
        <v>1</v>
      </c>
      <c r="R207">
        <f t="shared" si="35"/>
        <v>7</v>
      </c>
      <c r="S207" t="s">
        <v>111</v>
      </c>
      <c r="T207">
        <f t="shared" si="36"/>
        <v>5</v>
      </c>
    </row>
    <row r="208" spans="1:20" x14ac:dyDescent="0.2">
      <c r="A208">
        <v>207</v>
      </c>
      <c r="B208">
        <v>500</v>
      </c>
      <c r="C208" t="s">
        <v>716</v>
      </c>
      <c r="D208" s="4">
        <v>1E-3</v>
      </c>
      <c r="E208">
        <v>20</v>
      </c>
      <c r="F208">
        <v>100</v>
      </c>
      <c r="G208" s="3">
        <v>0.1</v>
      </c>
      <c r="H208" s="5">
        <v>0.1</v>
      </c>
      <c r="I208" t="s">
        <v>104</v>
      </c>
      <c r="J208">
        <f t="shared" si="37"/>
        <v>1</v>
      </c>
      <c r="K208">
        <v>1</v>
      </c>
      <c r="L208">
        <f t="shared" si="30"/>
        <v>1</v>
      </c>
      <c r="M208">
        <f t="shared" si="39"/>
        <v>1</v>
      </c>
      <c r="N208">
        <f t="shared" si="31"/>
        <v>1</v>
      </c>
      <c r="O208">
        <f t="shared" si="32"/>
        <v>0</v>
      </c>
      <c r="P208">
        <f t="shared" si="33"/>
        <v>0</v>
      </c>
      <c r="Q208">
        <f t="shared" si="34"/>
        <v>1</v>
      </c>
      <c r="R208">
        <f t="shared" si="35"/>
        <v>6</v>
      </c>
      <c r="S208" t="s">
        <v>105</v>
      </c>
      <c r="T208">
        <f t="shared" si="36"/>
        <v>5</v>
      </c>
    </row>
    <row r="209" spans="1:20" x14ac:dyDescent="0.2">
      <c r="A209">
        <v>208</v>
      </c>
      <c r="B209">
        <v>500</v>
      </c>
      <c r="C209">
        <v>10</v>
      </c>
      <c r="D209" s="4">
        <v>1E-3</v>
      </c>
      <c r="E209">
        <v>20</v>
      </c>
      <c r="F209">
        <v>100</v>
      </c>
      <c r="G209" s="3">
        <v>0.5</v>
      </c>
      <c r="H209" s="5">
        <v>0.05</v>
      </c>
      <c r="I209">
        <v>5</v>
      </c>
      <c r="J209">
        <f t="shared" si="37"/>
        <v>1</v>
      </c>
      <c r="K209">
        <f t="shared" si="38"/>
        <v>1</v>
      </c>
      <c r="L209">
        <f t="shared" si="30"/>
        <v>1</v>
      </c>
      <c r="M209">
        <f t="shared" si="39"/>
        <v>1</v>
      </c>
      <c r="N209">
        <f t="shared" si="31"/>
        <v>1</v>
      </c>
      <c r="O209">
        <f t="shared" si="32"/>
        <v>1</v>
      </c>
      <c r="P209">
        <f t="shared" si="33"/>
        <v>1</v>
      </c>
      <c r="Q209">
        <f t="shared" si="34"/>
        <v>1</v>
      </c>
      <c r="R209">
        <f t="shared" si="35"/>
        <v>8</v>
      </c>
      <c r="S209" t="s">
        <v>125</v>
      </c>
      <c r="T209">
        <f t="shared" si="36"/>
        <v>6</v>
      </c>
    </row>
    <row r="210" spans="1:20" x14ac:dyDescent="0.2">
      <c r="A210">
        <v>209</v>
      </c>
      <c r="B210">
        <v>500</v>
      </c>
      <c r="C210">
        <v>100</v>
      </c>
      <c r="D210">
        <v>1E-3</v>
      </c>
      <c r="E210">
        <v>20</v>
      </c>
      <c r="F210">
        <v>100</v>
      </c>
      <c r="G210" t="s">
        <v>1055</v>
      </c>
      <c r="H210">
        <v>0.05</v>
      </c>
      <c r="I210">
        <v>100</v>
      </c>
      <c r="J210">
        <f t="shared" si="37"/>
        <v>1</v>
      </c>
      <c r="K210">
        <f t="shared" si="38"/>
        <v>0</v>
      </c>
      <c r="L210">
        <f t="shared" si="30"/>
        <v>1</v>
      </c>
      <c r="M210">
        <f t="shared" si="39"/>
        <v>1</v>
      </c>
      <c r="N210">
        <f t="shared" si="31"/>
        <v>1</v>
      </c>
      <c r="O210">
        <v>1</v>
      </c>
      <c r="P210">
        <f t="shared" si="33"/>
        <v>1</v>
      </c>
      <c r="Q210">
        <f t="shared" si="34"/>
        <v>0</v>
      </c>
      <c r="R210">
        <f t="shared" si="35"/>
        <v>6</v>
      </c>
      <c r="S210" t="s">
        <v>105</v>
      </c>
      <c r="T210">
        <f t="shared" si="36"/>
        <v>5</v>
      </c>
    </row>
    <row r="211" spans="1:20" x14ac:dyDescent="0.2">
      <c r="A211">
        <v>210</v>
      </c>
      <c r="B211">
        <v>500</v>
      </c>
      <c r="C211">
        <v>10</v>
      </c>
      <c r="D211">
        <v>2</v>
      </c>
      <c r="E211">
        <v>20</v>
      </c>
      <c r="F211">
        <v>100</v>
      </c>
      <c r="G211">
        <v>10</v>
      </c>
      <c r="H211">
        <v>0.1</v>
      </c>
      <c r="I211">
        <v>100</v>
      </c>
      <c r="J211">
        <f t="shared" si="37"/>
        <v>1</v>
      </c>
      <c r="K211">
        <f t="shared" si="38"/>
        <v>1</v>
      </c>
      <c r="L211">
        <f t="shared" si="30"/>
        <v>0</v>
      </c>
      <c r="M211">
        <f t="shared" si="39"/>
        <v>1</v>
      </c>
      <c r="N211">
        <f t="shared" si="31"/>
        <v>1</v>
      </c>
      <c r="O211">
        <f t="shared" si="32"/>
        <v>0</v>
      </c>
      <c r="P211">
        <f t="shared" si="33"/>
        <v>0</v>
      </c>
      <c r="Q211">
        <f t="shared" si="34"/>
        <v>0</v>
      </c>
      <c r="R211">
        <f t="shared" si="35"/>
        <v>4</v>
      </c>
      <c r="S211" t="s">
        <v>125</v>
      </c>
      <c r="T211">
        <f t="shared" si="36"/>
        <v>4</v>
      </c>
    </row>
    <row r="212" spans="1:20" x14ac:dyDescent="0.2">
      <c r="A212">
        <v>211</v>
      </c>
      <c r="B212">
        <v>500</v>
      </c>
      <c r="C212">
        <v>10</v>
      </c>
      <c r="D212">
        <v>0.1</v>
      </c>
      <c r="E212">
        <v>20</v>
      </c>
      <c r="F212">
        <v>100</v>
      </c>
      <c r="G212" s="3">
        <v>0.09</v>
      </c>
      <c r="H212" t="s">
        <v>159</v>
      </c>
      <c r="I212" t="s">
        <v>266</v>
      </c>
      <c r="J212">
        <f t="shared" si="37"/>
        <v>1</v>
      </c>
      <c r="K212">
        <f t="shared" si="38"/>
        <v>1</v>
      </c>
      <c r="L212">
        <f t="shared" si="30"/>
        <v>1</v>
      </c>
      <c r="M212">
        <f t="shared" si="39"/>
        <v>1</v>
      </c>
      <c r="N212">
        <f t="shared" si="31"/>
        <v>1</v>
      </c>
      <c r="O212">
        <f t="shared" si="32"/>
        <v>0</v>
      </c>
      <c r="P212">
        <f t="shared" si="33"/>
        <v>1</v>
      </c>
      <c r="Q212">
        <f t="shared" si="34"/>
        <v>0</v>
      </c>
      <c r="R212">
        <f t="shared" si="35"/>
        <v>6</v>
      </c>
      <c r="S212" t="s">
        <v>125</v>
      </c>
      <c r="T212">
        <f t="shared" si="36"/>
        <v>5</v>
      </c>
    </row>
    <row r="213" spans="1:20" x14ac:dyDescent="0.2">
      <c r="A213">
        <v>212</v>
      </c>
      <c r="B213">
        <v>500</v>
      </c>
      <c r="C213">
        <v>10</v>
      </c>
      <c r="D213" s="3">
        <v>0.01</v>
      </c>
      <c r="E213">
        <v>20</v>
      </c>
      <c r="F213">
        <v>100</v>
      </c>
      <c r="G213" t="s">
        <v>1068</v>
      </c>
      <c r="H213">
        <v>0.1</v>
      </c>
      <c r="I213" t="s">
        <v>104</v>
      </c>
      <c r="J213">
        <f t="shared" si="37"/>
        <v>1</v>
      </c>
      <c r="K213">
        <f t="shared" si="38"/>
        <v>1</v>
      </c>
      <c r="L213">
        <f t="shared" si="30"/>
        <v>0</v>
      </c>
      <c r="M213">
        <f t="shared" si="39"/>
        <v>1</v>
      </c>
      <c r="N213">
        <f t="shared" si="31"/>
        <v>1</v>
      </c>
      <c r="O213">
        <f t="shared" si="32"/>
        <v>0</v>
      </c>
      <c r="P213">
        <f t="shared" si="33"/>
        <v>0</v>
      </c>
      <c r="Q213">
        <f t="shared" si="34"/>
        <v>1</v>
      </c>
      <c r="R213">
        <f t="shared" si="35"/>
        <v>5</v>
      </c>
      <c r="S213" t="s">
        <v>111</v>
      </c>
      <c r="T213">
        <f t="shared" si="36"/>
        <v>4</v>
      </c>
    </row>
    <row r="214" spans="1:20" x14ac:dyDescent="0.2">
      <c r="A214">
        <v>213</v>
      </c>
      <c r="B214">
        <v>500</v>
      </c>
      <c r="C214">
        <v>10</v>
      </c>
      <c r="D214">
        <v>0.1</v>
      </c>
      <c r="E214">
        <v>20</v>
      </c>
      <c r="F214">
        <v>100</v>
      </c>
      <c r="G214">
        <v>1</v>
      </c>
      <c r="H214">
        <v>0.05</v>
      </c>
      <c r="I214">
        <v>5</v>
      </c>
      <c r="J214">
        <f t="shared" si="37"/>
        <v>1</v>
      </c>
      <c r="K214">
        <f t="shared" si="38"/>
        <v>1</v>
      </c>
      <c r="L214">
        <f t="shared" si="30"/>
        <v>1</v>
      </c>
      <c r="M214">
        <f t="shared" si="39"/>
        <v>1</v>
      </c>
      <c r="N214">
        <f t="shared" si="31"/>
        <v>1</v>
      </c>
      <c r="O214">
        <f t="shared" si="32"/>
        <v>0</v>
      </c>
      <c r="P214">
        <f t="shared" si="33"/>
        <v>1</v>
      </c>
      <c r="Q214">
        <f t="shared" si="34"/>
        <v>1</v>
      </c>
      <c r="R214">
        <f t="shared" si="35"/>
        <v>7</v>
      </c>
      <c r="S214" t="s">
        <v>97</v>
      </c>
      <c r="T214">
        <f t="shared" si="36"/>
        <v>5</v>
      </c>
    </row>
    <row r="215" spans="1:20" x14ac:dyDescent="0.2">
      <c r="A215">
        <v>214</v>
      </c>
      <c r="B215">
        <v>500</v>
      </c>
      <c r="C215">
        <v>10</v>
      </c>
      <c r="D215">
        <v>0.1</v>
      </c>
      <c r="E215">
        <v>20</v>
      </c>
      <c r="F215">
        <v>100</v>
      </c>
      <c r="G215">
        <v>50</v>
      </c>
      <c r="H215">
        <v>0.1</v>
      </c>
      <c r="I215">
        <v>5</v>
      </c>
      <c r="J215">
        <f t="shared" si="37"/>
        <v>1</v>
      </c>
      <c r="K215">
        <f t="shared" si="38"/>
        <v>1</v>
      </c>
      <c r="L215">
        <f t="shared" si="30"/>
        <v>1</v>
      </c>
      <c r="M215">
        <f t="shared" si="39"/>
        <v>1</v>
      </c>
      <c r="N215">
        <f t="shared" si="31"/>
        <v>1</v>
      </c>
      <c r="O215">
        <f t="shared" si="32"/>
        <v>1</v>
      </c>
      <c r="P215">
        <f t="shared" si="33"/>
        <v>0</v>
      </c>
      <c r="Q215">
        <f t="shared" si="34"/>
        <v>1</v>
      </c>
      <c r="R215">
        <f t="shared" si="35"/>
        <v>7</v>
      </c>
      <c r="S215" t="s">
        <v>111</v>
      </c>
      <c r="T215">
        <f t="shared" si="36"/>
        <v>6</v>
      </c>
    </row>
    <row r="216" spans="1:20" x14ac:dyDescent="0.2">
      <c r="A216">
        <v>215</v>
      </c>
      <c r="B216">
        <v>512</v>
      </c>
      <c r="C216">
        <v>10</v>
      </c>
      <c r="D216">
        <v>0.01</v>
      </c>
      <c r="E216">
        <v>20</v>
      </c>
      <c r="F216">
        <v>1</v>
      </c>
      <c r="G216">
        <v>9</v>
      </c>
      <c r="H216">
        <v>0.1</v>
      </c>
      <c r="I216">
        <v>5</v>
      </c>
      <c r="J216">
        <f t="shared" si="37"/>
        <v>0</v>
      </c>
      <c r="K216">
        <f t="shared" si="38"/>
        <v>1</v>
      </c>
      <c r="L216">
        <f t="shared" si="30"/>
        <v>0</v>
      </c>
      <c r="M216">
        <f t="shared" si="39"/>
        <v>1</v>
      </c>
      <c r="N216">
        <f t="shared" si="31"/>
        <v>0</v>
      </c>
      <c r="O216">
        <f t="shared" si="32"/>
        <v>0</v>
      </c>
      <c r="P216">
        <f t="shared" si="33"/>
        <v>0</v>
      </c>
      <c r="Q216">
        <f t="shared" si="34"/>
        <v>1</v>
      </c>
      <c r="R216">
        <f t="shared" si="35"/>
        <v>3</v>
      </c>
      <c r="S216" t="s">
        <v>125</v>
      </c>
      <c r="T216">
        <f t="shared" si="36"/>
        <v>2</v>
      </c>
    </row>
    <row r="217" spans="1:20" x14ac:dyDescent="0.2">
      <c r="A217">
        <v>216</v>
      </c>
      <c r="B217">
        <v>500</v>
      </c>
      <c r="C217" t="s">
        <v>1085</v>
      </c>
      <c r="D217" s="4">
        <v>1E-3</v>
      </c>
      <c r="E217">
        <v>20</v>
      </c>
      <c r="F217">
        <v>100</v>
      </c>
      <c r="G217" s="3">
        <v>0.1</v>
      </c>
      <c r="H217" s="5">
        <v>0.05</v>
      </c>
      <c r="I217" t="s">
        <v>104</v>
      </c>
      <c r="J217">
        <f t="shared" si="37"/>
        <v>1</v>
      </c>
      <c r="K217">
        <v>1</v>
      </c>
      <c r="L217">
        <f t="shared" si="30"/>
        <v>1</v>
      </c>
      <c r="M217">
        <f t="shared" si="39"/>
        <v>1</v>
      </c>
      <c r="N217">
        <f t="shared" si="31"/>
        <v>1</v>
      </c>
      <c r="O217">
        <f t="shared" si="32"/>
        <v>0</v>
      </c>
      <c r="P217">
        <f t="shared" si="33"/>
        <v>1</v>
      </c>
      <c r="Q217">
        <f t="shared" si="34"/>
        <v>1</v>
      </c>
      <c r="R217">
        <f t="shared" si="35"/>
        <v>7</v>
      </c>
      <c r="S217" t="s">
        <v>105</v>
      </c>
      <c r="T217">
        <f t="shared" si="36"/>
        <v>5</v>
      </c>
    </row>
    <row r="218" spans="1:20" x14ac:dyDescent="0.2">
      <c r="A218">
        <v>217</v>
      </c>
      <c r="B218">
        <v>65</v>
      </c>
      <c r="C218">
        <v>10</v>
      </c>
      <c r="D218" s="3">
        <v>0.8</v>
      </c>
      <c r="E218" s="3">
        <v>0.8</v>
      </c>
      <c r="F218">
        <v>10</v>
      </c>
      <c r="G218" s="3">
        <v>0.75</v>
      </c>
      <c r="H218">
        <v>0.1</v>
      </c>
      <c r="I218">
        <v>100</v>
      </c>
      <c r="J218">
        <f t="shared" si="37"/>
        <v>0</v>
      </c>
      <c r="K218">
        <f t="shared" si="38"/>
        <v>1</v>
      </c>
      <c r="L218">
        <f t="shared" si="30"/>
        <v>0</v>
      </c>
      <c r="M218">
        <f t="shared" si="39"/>
        <v>0</v>
      </c>
      <c r="N218">
        <f t="shared" si="31"/>
        <v>0</v>
      </c>
      <c r="O218">
        <f t="shared" si="32"/>
        <v>0</v>
      </c>
      <c r="P218">
        <f t="shared" si="33"/>
        <v>0</v>
      </c>
      <c r="Q218">
        <f t="shared" si="34"/>
        <v>0</v>
      </c>
      <c r="R218">
        <f t="shared" si="35"/>
        <v>1</v>
      </c>
      <c r="S218" t="s">
        <v>111</v>
      </c>
      <c r="T218">
        <f t="shared" si="36"/>
        <v>1</v>
      </c>
    </row>
    <row r="219" spans="1:20" x14ac:dyDescent="0.2">
      <c r="A219">
        <v>218</v>
      </c>
      <c r="B219">
        <v>500</v>
      </c>
      <c r="C219">
        <v>1</v>
      </c>
      <c r="D219" s="3">
        <v>0.01</v>
      </c>
      <c r="E219" s="3">
        <v>0.2</v>
      </c>
      <c r="F219">
        <v>100</v>
      </c>
      <c r="G219" s="3">
        <v>0.9</v>
      </c>
      <c r="H219">
        <v>0.05</v>
      </c>
      <c r="I219" t="s">
        <v>266</v>
      </c>
      <c r="J219">
        <f t="shared" si="37"/>
        <v>1</v>
      </c>
      <c r="K219">
        <f t="shared" si="38"/>
        <v>0</v>
      </c>
      <c r="L219">
        <f t="shared" si="30"/>
        <v>0</v>
      </c>
      <c r="M219">
        <f t="shared" si="39"/>
        <v>1</v>
      </c>
      <c r="N219">
        <f t="shared" si="31"/>
        <v>1</v>
      </c>
      <c r="O219">
        <f t="shared" si="32"/>
        <v>0</v>
      </c>
      <c r="P219">
        <f t="shared" si="33"/>
        <v>1</v>
      </c>
      <c r="Q219">
        <f t="shared" si="34"/>
        <v>0</v>
      </c>
      <c r="R219">
        <f t="shared" si="35"/>
        <v>4</v>
      </c>
      <c r="S219" t="s">
        <v>105</v>
      </c>
      <c r="T219">
        <f t="shared" si="36"/>
        <v>3</v>
      </c>
    </row>
    <row r="220" spans="1:20" x14ac:dyDescent="0.2">
      <c r="A220">
        <v>219</v>
      </c>
      <c r="B220">
        <v>500</v>
      </c>
      <c r="C220">
        <v>10</v>
      </c>
      <c r="D220" s="4">
        <v>1E-3</v>
      </c>
      <c r="E220" s="3">
        <v>0.2</v>
      </c>
      <c r="F220">
        <v>100</v>
      </c>
      <c r="G220" s="3">
        <v>0.08</v>
      </c>
      <c r="H220" t="s">
        <v>1098</v>
      </c>
      <c r="I220" t="s">
        <v>104</v>
      </c>
      <c r="J220">
        <f t="shared" si="37"/>
        <v>1</v>
      </c>
      <c r="K220">
        <f t="shared" si="38"/>
        <v>1</v>
      </c>
      <c r="L220">
        <f t="shared" si="30"/>
        <v>1</v>
      </c>
      <c r="M220">
        <f t="shared" si="39"/>
        <v>1</v>
      </c>
      <c r="N220">
        <f t="shared" si="31"/>
        <v>1</v>
      </c>
      <c r="O220">
        <f t="shared" si="32"/>
        <v>0</v>
      </c>
      <c r="P220">
        <v>1</v>
      </c>
      <c r="Q220">
        <f t="shared" si="34"/>
        <v>1</v>
      </c>
      <c r="R220">
        <f t="shared" si="35"/>
        <v>7</v>
      </c>
      <c r="S220" t="s">
        <v>105</v>
      </c>
      <c r="T220">
        <f t="shared" si="36"/>
        <v>5</v>
      </c>
    </row>
    <row r="221" spans="1:20" x14ac:dyDescent="0.2">
      <c r="A221">
        <v>220</v>
      </c>
      <c r="B221">
        <v>500</v>
      </c>
      <c r="C221" t="s">
        <v>1103</v>
      </c>
      <c r="D221" s="3">
        <v>0.01</v>
      </c>
      <c r="E221">
        <v>20</v>
      </c>
      <c r="F221">
        <v>100</v>
      </c>
      <c r="G221" s="3">
        <v>0.9</v>
      </c>
      <c r="H221" t="s">
        <v>297</v>
      </c>
      <c r="I221">
        <v>100</v>
      </c>
      <c r="J221">
        <f t="shared" si="37"/>
        <v>1</v>
      </c>
      <c r="K221">
        <f t="shared" si="38"/>
        <v>0</v>
      </c>
      <c r="L221">
        <f t="shared" si="30"/>
        <v>0</v>
      </c>
      <c r="M221">
        <f t="shared" si="39"/>
        <v>1</v>
      </c>
      <c r="N221">
        <f t="shared" si="31"/>
        <v>1</v>
      </c>
      <c r="O221">
        <f t="shared" si="32"/>
        <v>0</v>
      </c>
      <c r="P221">
        <f t="shared" si="33"/>
        <v>0</v>
      </c>
      <c r="Q221">
        <f t="shared" si="34"/>
        <v>0</v>
      </c>
      <c r="R221">
        <f t="shared" si="35"/>
        <v>3</v>
      </c>
      <c r="S221" t="s">
        <v>105</v>
      </c>
      <c r="T221">
        <f t="shared" si="36"/>
        <v>3</v>
      </c>
    </row>
    <row r="222" spans="1:20" x14ac:dyDescent="0.2">
      <c r="A222">
        <v>221</v>
      </c>
      <c r="B222">
        <v>500</v>
      </c>
      <c r="C222">
        <v>10</v>
      </c>
      <c r="D222" s="4">
        <v>1E-3</v>
      </c>
      <c r="E222" s="3">
        <v>0.2</v>
      </c>
      <c r="F222">
        <v>100</v>
      </c>
      <c r="G222" s="3">
        <v>0.9</v>
      </c>
      <c r="H222" s="5">
        <v>0.05</v>
      </c>
      <c r="I222">
        <v>5</v>
      </c>
      <c r="J222">
        <f t="shared" si="37"/>
        <v>1</v>
      </c>
      <c r="K222">
        <f t="shared" si="38"/>
        <v>1</v>
      </c>
      <c r="L222">
        <f t="shared" si="30"/>
        <v>1</v>
      </c>
      <c r="M222">
        <f t="shared" si="39"/>
        <v>1</v>
      </c>
      <c r="N222">
        <f t="shared" si="31"/>
        <v>1</v>
      </c>
      <c r="O222">
        <f t="shared" si="32"/>
        <v>0</v>
      </c>
      <c r="P222">
        <f t="shared" si="33"/>
        <v>1</v>
      </c>
      <c r="Q222">
        <f t="shared" si="34"/>
        <v>1</v>
      </c>
      <c r="R222">
        <f t="shared" si="35"/>
        <v>7</v>
      </c>
      <c r="S222" t="s">
        <v>105</v>
      </c>
      <c r="T222">
        <f t="shared" si="36"/>
        <v>5</v>
      </c>
    </row>
    <row r="223" spans="1:20" x14ac:dyDescent="0.2">
      <c r="A223">
        <v>222</v>
      </c>
      <c r="B223" t="s">
        <v>1112</v>
      </c>
      <c r="C223" t="s">
        <v>1113</v>
      </c>
      <c r="D223" s="4">
        <v>1E-3</v>
      </c>
      <c r="E223">
        <v>20</v>
      </c>
      <c r="F223">
        <v>100</v>
      </c>
      <c r="G223" t="s">
        <v>1114</v>
      </c>
      <c r="H223">
        <v>0.1</v>
      </c>
      <c r="I223" t="s">
        <v>160</v>
      </c>
      <c r="J223">
        <v>1</v>
      </c>
      <c r="K223">
        <v>1</v>
      </c>
      <c r="L223">
        <f t="shared" si="30"/>
        <v>1</v>
      </c>
      <c r="M223">
        <f t="shared" si="39"/>
        <v>1</v>
      </c>
      <c r="N223">
        <f t="shared" si="31"/>
        <v>1</v>
      </c>
      <c r="O223">
        <f t="shared" si="32"/>
        <v>0</v>
      </c>
      <c r="P223">
        <f t="shared" si="33"/>
        <v>0</v>
      </c>
      <c r="Q223">
        <v>1</v>
      </c>
      <c r="R223">
        <f t="shared" si="35"/>
        <v>6</v>
      </c>
      <c r="S223" t="s">
        <v>125</v>
      </c>
      <c r="T223">
        <f t="shared" si="36"/>
        <v>5</v>
      </c>
    </row>
    <row r="224" spans="1:20" x14ac:dyDescent="0.2">
      <c r="A224">
        <v>223</v>
      </c>
      <c r="B224">
        <v>500</v>
      </c>
      <c r="C224">
        <v>10</v>
      </c>
      <c r="D224" s="4">
        <v>1E-3</v>
      </c>
      <c r="E224">
        <v>20</v>
      </c>
      <c r="F224">
        <v>100</v>
      </c>
      <c r="G224" s="3">
        <v>0.1</v>
      </c>
      <c r="H224">
        <v>0.05</v>
      </c>
      <c r="I224">
        <v>100</v>
      </c>
      <c r="J224">
        <f t="shared" si="37"/>
        <v>1</v>
      </c>
      <c r="K224">
        <f t="shared" si="38"/>
        <v>1</v>
      </c>
      <c r="L224">
        <f t="shared" si="30"/>
        <v>1</v>
      </c>
      <c r="M224">
        <f t="shared" si="39"/>
        <v>1</v>
      </c>
      <c r="N224">
        <f t="shared" si="31"/>
        <v>1</v>
      </c>
      <c r="O224">
        <f t="shared" si="32"/>
        <v>0</v>
      </c>
      <c r="P224">
        <f t="shared" si="33"/>
        <v>1</v>
      </c>
      <c r="Q224">
        <f t="shared" si="34"/>
        <v>0</v>
      </c>
      <c r="R224">
        <f t="shared" si="35"/>
        <v>6</v>
      </c>
      <c r="S224" t="s">
        <v>125</v>
      </c>
      <c r="T224">
        <f t="shared" si="36"/>
        <v>5</v>
      </c>
    </row>
    <row r="225" spans="1:20" x14ac:dyDescent="0.2">
      <c r="A225">
        <v>224</v>
      </c>
      <c r="B225">
        <v>500</v>
      </c>
      <c r="C225">
        <v>10</v>
      </c>
      <c r="D225">
        <v>0.1</v>
      </c>
      <c r="E225">
        <v>20</v>
      </c>
      <c r="F225">
        <v>100</v>
      </c>
      <c r="G225">
        <v>9</v>
      </c>
      <c r="H225">
        <v>0.05</v>
      </c>
      <c r="I225">
        <v>5</v>
      </c>
      <c r="J225">
        <f t="shared" si="37"/>
        <v>1</v>
      </c>
      <c r="K225">
        <f t="shared" si="38"/>
        <v>1</v>
      </c>
      <c r="L225">
        <f t="shared" si="30"/>
        <v>1</v>
      </c>
      <c r="M225">
        <f t="shared" si="39"/>
        <v>1</v>
      </c>
      <c r="N225">
        <f t="shared" si="31"/>
        <v>1</v>
      </c>
      <c r="O225">
        <f t="shared" si="32"/>
        <v>0</v>
      </c>
      <c r="P225">
        <f t="shared" si="33"/>
        <v>1</v>
      </c>
      <c r="Q225">
        <f t="shared" si="34"/>
        <v>1</v>
      </c>
      <c r="R225">
        <f t="shared" si="35"/>
        <v>7</v>
      </c>
      <c r="S225" t="s">
        <v>105</v>
      </c>
      <c r="T225">
        <f t="shared" si="36"/>
        <v>5</v>
      </c>
    </row>
    <row r="226" spans="1:20" x14ac:dyDescent="0.2">
      <c r="A226">
        <v>225</v>
      </c>
      <c r="B226">
        <v>459</v>
      </c>
      <c r="C226">
        <v>1</v>
      </c>
      <c r="D226">
        <v>0.1</v>
      </c>
      <c r="E226">
        <v>20</v>
      </c>
      <c r="F226">
        <v>0.1</v>
      </c>
      <c r="G226">
        <v>45</v>
      </c>
      <c r="H226">
        <v>0.05</v>
      </c>
      <c r="I226">
        <v>5</v>
      </c>
      <c r="J226">
        <f t="shared" si="37"/>
        <v>0</v>
      </c>
      <c r="K226">
        <f t="shared" si="38"/>
        <v>0</v>
      </c>
      <c r="L226">
        <f t="shared" si="30"/>
        <v>1</v>
      </c>
      <c r="M226">
        <f t="shared" si="39"/>
        <v>1</v>
      </c>
      <c r="N226">
        <f t="shared" si="31"/>
        <v>0</v>
      </c>
      <c r="O226">
        <f t="shared" si="32"/>
        <v>0</v>
      </c>
      <c r="P226">
        <f t="shared" si="33"/>
        <v>1</v>
      </c>
      <c r="Q226">
        <f t="shared" si="34"/>
        <v>1</v>
      </c>
      <c r="R226">
        <f t="shared" si="35"/>
        <v>4</v>
      </c>
      <c r="S226" t="s">
        <v>97</v>
      </c>
      <c r="T226">
        <f t="shared" si="36"/>
        <v>2</v>
      </c>
    </row>
    <row r="227" spans="1:20" x14ac:dyDescent="0.2">
      <c r="A227">
        <v>226</v>
      </c>
      <c r="B227">
        <v>500</v>
      </c>
      <c r="C227">
        <v>10</v>
      </c>
      <c r="D227" t="s">
        <v>1131</v>
      </c>
      <c r="E227">
        <v>1000</v>
      </c>
      <c r="F227">
        <v>100</v>
      </c>
      <c r="G227" s="3">
        <v>0.1</v>
      </c>
      <c r="H227">
        <v>0.1</v>
      </c>
      <c r="I227">
        <v>100</v>
      </c>
      <c r="J227">
        <f t="shared" si="37"/>
        <v>1</v>
      </c>
      <c r="K227">
        <f t="shared" si="38"/>
        <v>1</v>
      </c>
      <c r="L227">
        <f t="shared" si="30"/>
        <v>0</v>
      </c>
      <c r="M227">
        <f t="shared" si="39"/>
        <v>0</v>
      </c>
      <c r="N227">
        <f t="shared" si="31"/>
        <v>1</v>
      </c>
      <c r="O227">
        <f t="shared" si="32"/>
        <v>0</v>
      </c>
      <c r="P227">
        <f t="shared" si="33"/>
        <v>0</v>
      </c>
      <c r="Q227">
        <f t="shared" si="34"/>
        <v>0</v>
      </c>
      <c r="R227">
        <f t="shared" si="35"/>
        <v>3</v>
      </c>
      <c r="S227" t="s">
        <v>97</v>
      </c>
      <c r="T227">
        <f t="shared" si="36"/>
        <v>3</v>
      </c>
    </row>
    <row r="228" spans="1:20" x14ac:dyDescent="0.2">
      <c r="A228">
        <v>227</v>
      </c>
      <c r="B228">
        <v>500</v>
      </c>
      <c r="C228">
        <v>1</v>
      </c>
      <c r="D228" s="4">
        <v>1.0000000000000001E-5</v>
      </c>
      <c r="E228" s="3">
        <v>0.2</v>
      </c>
      <c r="F228">
        <v>100</v>
      </c>
      <c r="G228" s="3">
        <v>0.9</v>
      </c>
      <c r="H228">
        <v>0.1</v>
      </c>
      <c r="I228" t="s">
        <v>266</v>
      </c>
      <c r="J228">
        <f t="shared" si="37"/>
        <v>1</v>
      </c>
      <c r="K228">
        <f t="shared" si="38"/>
        <v>0</v>
      </c>
      <c r="L228">
        <f t="shared" si="30"/>
        <v>0</v>
      </c>
      <c r="M228">
        <f t="shared" si="39"/>
        <v>1</v>
      </c>
      <c r="N228">
        <f t="shared" si="31"/>
        <v>1</v>
      </c>
      <c r="O228">
        <f t="shared" si="32"/>
        <v>0</v>
      </c>
      <c r="P228">
        <f t="shared" si="33"/>
        <v>0</v>
      </c>
      <c r="Q228">
        <f t="shared" si="34"/>
        <v>0</v>
      </c>
      <c r="R228">
        <f t="shared" si="35"/>
        <v>3</v>
      </c>
      <c r="S228" t="s">
        <v>111</v>
      </c>
      <c r="T228">
        <f t="shared" si="36"/>
        <v>3</v>
      </c>
    </row>
    <row r="229" spans="1:20" x14ac:dyDescent="0.2">
      <c r="A229">
        <v>228</v>
      </c>
      <c r="B229">
        <v>500</v>
      </c>
      <c r="C229">
        <v>10</v>
      </c>
      <c r="D229">
        <v>1E-3</v>
      </c>
      <c r="E229">
        <v>20</v>
      </c>
      <c r="F229">
        <v>100</v>
      </c>
      <c r="G229">
        <v>18</v>
      </c>
      <c r="H229">
        <v>0.1</v>
      </c>
      <c r="I229">
        <v>100</v>
      </c>
      <c r="J229">
        <f t="shared" si="37"/>
        <v>1</v>
      </c>
      <c r="K229">
        <f t="shared" si="38"/>
        <v>1</v>
      </c>
      <c r="L229">
        <f t="shared" si="30"/>
        <v>1</v>
      </c>
      <c r="M229">
        <f t="shared" si="39"/>
        <v>1</v>
      </c>
      <c r="N229">
        <f t="shared" si="31"/>
        <v>1</v>
      </c>
      <c r="O229">
        <f t="shared" si="32"/>
        <v>0</v>
      </c>
      <c r="P229">
        <f t="shared" si="33"/>
        <v>0</v>
      </c>
      <c r="Q229">
        <f t="shared" si="34"/>
        <v>0</v>
      </c>
      <c r="R229">
        <f t="shared" si="35"/>
        <v>5</v>
      </c>
      <c r="S229" t="s">
        <v>125</v>
      </c>
      <c r="T229">
        <f t="shared" si="36"/>
        <v>5</v>
      </c>
    </row>
    <row r="230" spans="1:20" x14ac:dyDescent="0.2">
      <c r="A230">
        <v>229</v>
      </c>
      <c r="B230">
        <v>333</v>
      </c>
      <c r="C230">
        <v>10</v>
      </c>
      <c r="D230">
        <v>0.01</v>
      </c>
      <c r="E230" s="3">
        <v>0.2</v>
      </c>
      <c r="F230">
        <v>100</v>
      </c>
      <c r="G230" s="3">
        <v>0.9</v>
      </c>
      <c r="H230">
        <v>0.1</v>
      </c>
      <c r="I230">
        <v>100</v>
      </c>
      <c r="J230">
        <f t="shared" si="37"/>
        <v>0</v>
      </c>
      <c r="K230">
        <f t="shared" si="38"/>
        <v>1</v>
      </c>
      <c r="L230">
        <f t="shared" si="30"/>
        <v>0</v>
      </c>
      <c r="M230">
        <f t="shared" si="39"/>
        <v>1</v>
      </c>
      <c r="N230">
        <f t="shared" si="31"/>
        <v>1</v>
      </c>
      <c r="O230">
        <f t="shared" si="32"/>
        <v>0</v>
      </c>
      <c r="P230">
        <f t="shared" si="33"/>
        <v>0</v>
      </c>
      <c r="Q230">
        <f t="shared" si="34"/>
        <v>0</v>
      </c>
      <c r="R230">
        <f t="shared" si="35"/>
        <v>3</v>
      </c>
      <c r="S230" t="s">
        <v>97</v>
      </c>
      <c r="T230">
        <f t="shared" si="36"/>
        <v>3</v>
      </c>
    </row>
    <row r="231" spans="1:20" x14ac:dyDescent="0.2">
      <c r="A231">
        <v>230</v>
      </c>
      <c r="B231">
        <v>500</v>
      </c>
      <c r="C231">
        <v>10</v>
      </c>
      <c r="D231" s="4">
        <v>1E-4</v>
      </c>
      <c r="E231">
        <v>20</v>
      </c>
      <c r="F231">
        <v>100</v>
      </c>
      <c r="G231" t="s">
        <v>1148</v>
      </c>
      <c r="H231">
        <v>1.05</v>
      </c>
      <c r="I231" t="s">
        <v>1149</v>
      </c>
      <c r="J231">
        <f t="shared" si="37"/>
        <v>1</v>
      </c>
      <c r="K231">
        <f t="shared" si="38"/>
        <v>1</v>
      </c>
      <c r="L231">
        <f t="shared" si="30"/>
        <v>0</v>
      </c>
      <c r="M231">
        <f t="shared" si="39"/>
        <v>1</v>
      </c>
      <c r="N231">
        <f t="shared" si="31"/>
        <v>1</v>
      </c>
      <c r="O231">
        <f t="shared" si="32"/>
        <v>0</v>
      </c>
      <c r="P231">
        <f t="shared" si="33"/>
        <v>0</v>
      </c>
      <c r="Q231">
        <f t="shared" si="34"/>
        <v>0</v>
      </c>
      <c r="R231">
        <f t="shared" si="35"/>
        <v>4</v>
      </c>
      <c r="S231" t="s">
        <v>97</v>
      </c>
      <c r="T231">
        <f t="shared" si="36"/>
        <v>4</v>
      </c>
    </row>
    <row r="232" spans="1:20" x14ac:dyDescent="0.2">
      <c r="A232">
        <v>231</v>
      </c>
      <c r="B232">
        <v>550</v>
      </c>
      <c r="C232">
        <v>100</v>
      </c>
      <c r="D232" t="s">
        <v>1154</v>
      </c>
      <c r="E232">
        <v>20</v>
      </c>
      <c r="F232">
        <v>100</v>
      </c>
      <c r="G232" t="s">
        <v>1155</v>
      </c>
      <c r="H232">
        <v>10</v>
      </c>
      <c r="I232" t="s">
        <v>104</v>
      </c>
      <c r="J232">
        <f t="shared" si="37"/>
        <v>0</v>
      </c>
      <c r="K232">
        <f t="shared" si="38"/>
        <v>0</v>
      </c>
      <c r="L232">
        <f t="shared" si="30"/>
        <v>0</v>
      </c>
      <c r="M232">
        <f t="shared" si="39"/>
        <v>1</v>
      </c>
      <c r="N232">
        <f t="shared" si="31"/>
        <v>1</v>
      </c>
      <c r="O232">
        <f t="shared" si="32"/>
        <v>0</v>
      </c>
      <c r="P232">
        <f t="shared" si="33"/>
        <v>0</v>
      </c>
      <c r="Q232">
        <f t="shared" si="34"/>
        <v>1</v>
      </c>
      <c r="R232">
        <f t="shared" si="35"/>
        <v>3</v>
      </c>
      <c r="S232" t="s">
        <v>97</v>
      </c>
      <c r="T232">
        <f t="shared" si="36"/>
        <v>2</v>
      </c>
    </row>
    <row r="233" spans="1:20" x14ac:dyDescent="0.2">
      <c r="A233">
        <v>232</v>
      </c>
      <c r="B233">
        <v>500</v>
      </c>
      <c r="C233">
        <v>10</v>
      </c>
      <c r="D233" s="4">
        <v>1E-3</v>
      </c>
      <c r="E233">
        <v>20</v>
      </c>
      <c r="F233">
        <v>100</v>
      </c>
      <c r="G233" s="3">
        <v>0.18</v>
      </c>
      <c r="H233" s="5">
        <v>0.1</v>
      </c>
      <c r="I233">
        <v>100</v>
      </c>
      <c r="J233">
        <f t="shared" si="37"/>
        <v>1</v>
      </c>
      <c r="K233">
        <f t="shared" si="38"/>
        <v>1</v>
      </c>
      <c r="L233">
        <f t="shared" si="30"/>
        <v>1</v>
      </c>
      <c r="M233">
        <f t="shared" si="39"/>
        <v>1</v>
      </c>
      <c r="N233">
        <f t="shared" si="31"/>
        <v>1</v>
      </c>
      <c r="O233">
        <f t="shared" si="32"/>
        <v>0</v>
      </c>
      <c r="P233">
        <f t="shared" si="33"/>
        <v>0</v>
      </c>
      <c r="Q233">
        <f t="shared" si="34"/>
        <v>0</v>
      </c>
      <c r="R233">
        <f t="shared" si="35"/>
        <v>5</v>
      </c>
      <c r="S233" t="s">
        <v>111</v>
      </c>
      <c r="T233">
        <f t="shared" si="36"/>
        <v>5</v>
      </c>
    </row>
    <row r="234" spans="1:20" x14ac:dyDescent="0.2">
      <c r="A234">
        <v>233</v>
      </c>
      <c r="B234">
        <v>45</v>
      </c>
      <c r="C234">
        <v>10</v>
      </c>
      <c r="D234" s="3">
        <v>0.01</v>
      </c>
      <c r="E234">
        <v>20</v>
      </c>
      <c r="F234">
        <v>10</v>
      </c>
      <c r="G234">
        <v>5</v>
      </c>
      <c r="H234">
        <v>0.1</v>
      </c>
      <c r="I234" t="s">
        <v>104</v>
      </c>
      <c r="J234">
        <f t="shared" si="37"/>
        <v>0</v>
      </c>
      <c r="K234">
        <f t="shared" si="38"/>
        <v>1</v>
      </c>
      <c r="L234">
        <f t="shared" si="30"/>
        <v>0</v>
      </c>
      <c r="M234">
        <f t="shared" si="39"/>
        <v>1</v>
      </c>
      <c r="N234">
        <f t="shared" si="31"/>
        <v>0</v>
      </c>
      <c r="O234">
        <f t="shared" si="32"/>
        <v>0</v>
      </c>
      <c r="P234">
        <f t="shared" si="33"/>
        <v>0</v>
      </c>
      <c r="Q234">
        <f t="shared" si="34"/>
        <v>1</v>
      </c>
      <c r="R234">
        <f t="shared" si="35"/>
        <v>3</v>
      </c>
      <c r="S234" t="s">
        <v>105</v>
      </c>
      <c r="T234">
        <f t="shared" si="36"/>
        <v>2</v>
      </c>
    </row>
    <row r="235" spans="1:20" x14ac:dyDescent="0.2">
      <c r="A235">
        <v>234</v>
      </c>
      <c r="B235">
        <v>500</v>
      </c>
      <c r="C235">
        <v>10</v>
      </c>
      <c r="D235" s="4">
        <v>1E-3</v>
      </c>
      <c r="E235">
        <v>20</v>
      </c>
      <c r="F235">
        <v>100</v>
      </c>
      <c r="G235" s="3">
        <v>0.9</v>
      </c>
      <c r="H235" s="5">
        <v>0.05</v>
      </c>
      <c r="I235" t="s">
        <v>104</v>
      </c>
      <c r="J235">
        <f t="shared" si="37"/>
        <v>1</v>
      </c>
      <c r="K235">
        <f t="shared" si="38"/>
        <v>1</v>
      </c>
      <c r="L235">
        <f t="shared" si="30"/>
        <v>1</v>
      </c>
      <c r="M235">
        <f t="shared" si="39"/>
        <v>1</v>
      </c>
      <c r="N235">
        <f t="shared" si="31"/>
        <v>1</v>
      </c>
      <c r="O235">
        <f t="shared" si="32"/>
        <v>0</v>
      </c>
      <c r="P235">
        <f t="shared" si="33"/>
        <v>1</v>
      </c>
      <c r="Q235">
        <f t="shared" si="34"/>
        <v>1</v>
      </c>
      <c r="R235">
        <f t="shared" si="35"/>
        <v>7</v>
      </c>
      <c r="S235" t="s">
        <v>125</v>
      </c>
      <c r="T235">
        <f t="shared" si="36"/>
        <v>5</v>
      </c>
    </row>
    <row r="236" spans="1:20" x14ac:dyDescent="0.2">
      <c r="A236">
        <v>235</v>
      </c>
      <c r="B236">
        <v>500</v>
      </c>
      <c r="C236">
        <v>1</v>
      </c>
      <c r="D236">
        <v>1</v>
      </c>
      <c r="E236">
        <v>20</v>
      </c>
      <c r="F236">
        <v>10</v>
      </c>
      <c r="G236">
        <v>90</v>
      </c>
      <c r="H236">
        <v>0.1</v>
      </c>
      <c r="I236">
        <v>100</v>
      </c>
      <c r="J236">
        <f t="shared" si="37"/>
        <v>1</v>
      </c>
      <c r="K236">
        <f t="shared" si="38"/>
        <v>0</v>
      </c>
      <c r="L236">
        <f t="shared" si="30"/>
        <v>0</v>
      </c>
      <c r="M236">
        <f t="shared" si="39"/>
        <v>1</v>
      </c>
      <c r="N236">
        <f t="shared" si="31"/>
        <v>0</v>
      </c>
      <c r="O236">
        <f t="shared" si="32"/>
        <v>0</v>
      </c>
      <c r="P236">
        <f t="shared" si="33"/>
        <v>0</v>
      </c>
      <c r="Q236">
        <f t="shared" si="34"/>
        <v>0</v>
      </c>
      <c r="R236">
        <f t="shared" si="35"/>
        <v>2</v>
      </c>
      <c r="S236" t="s">
        <v>105</v>
      </c>
      <c r="T236">
        <f t="shared" si="36"/>
        <v>2</v>
      </c>
    </row>
    <row r="237" spans="1:20" x14ac:dyDescent="0.2">
      <c r="A237">
        <v>236</v>
      </c>
      <c r="B237">
        <v>500</v>
      </c>
      <c r="C237">
        <v>10</v>
      </c>
      <c r="D237">
        <v>0.1</v>
      </c>
      <c r="E237">
        <v>20</v>
      </c>
      <c r="F237">
        <v>100</v>
      </c>
      <c r="G237" s="3">
        <v>0.5</v>
      </c>
      <c r="H237">
        <v>0.05</v>
      </c>
      <c r="I237" t="s">
        <v>104</v>
      </c>
      <c r="J237">
        <f t="shared" si="37"/>
        <v>1</v>
      </c>
      <c r="K237">
        <f t="shared" si="38"/>
        <v>1</v>
      </c>
      <c r="L237">
        <f t="shared" si="30"/>
        <v>1</v>
      </c>
      <c r="M237">
        <f t="shared" si="39"/>
        <v>1</v>
      </c>
      <c r="N237">
        <f t="shared" si="31"/>
        <v>1</v>
      </c>
      <c r="O237">
        <f t="shared" si="32"/>
        <v>1</v>
      </c>
      <c r="P237">
        <f t="shared" si="33"/>
        <v>1</v>
      </c>
      <c r="Q237">
        <f t="shared" si="34"/>
        <v>1</v>
      </c>
      <c r="R237">
        <f t="shared" si="35"/>
        <v>8</v>
      </c>
      <c r="S237" t="s">
        <v>125</v>
      </c>
      <c r="T237">
        <f t="shared" si="36"/>
        <v>6</v>
      </c>
    </row>
    <row r="238" spans="1:20" x14ac:dyDescent="0.2">
      <c r="A238">
        <v>237</v>
      </c>
      <c r="B238">
        <v>100</v>
      </c>
      <c r="C238">
        <v>10</v>
      </c>
      <c r="D238">
        <v>10</v>
      </c>
      <c r="E238">
        <v>20</v>
      </c>
      <c r="F238">
        <v>10</v>
      </c>
      <c r="G238" t="s">
        <v>1181</v>
      </c>
      <c r="H238">
        <v>0.1</v>
      </c>
      <c r="I238" t="s">
        <v>266</v>
      </c>
      <c r="J238">
        <f t="shared" si="37"/>
        <v>0</v>
      </c>
      <c r="K238">
        <f t="shared" si="38"/>
        <v>1</v>
      </c>
      <c r="L238">
        <f t="shared" si="30"/>
        <v>0</v>
      </c>
      <c r="M238">
        <f t="shared" si="39"/>
        <v>1</v>
      </c>
      <c r="N238">
        <f t="shared" si="31"/>
        <v>0</v>
      </c>
      <c r="O238">
        <f t="shared" si="32"/>
        <v>0</v>
      </c>
      <c r="P238">
        <f t="shared" si="33"/>
        <v>0</v>
      </c>
      <c r="Q238">
        <f t="shared" si="34"/>
        <v>0</v>
      </c>
      <c r="R238">
        <f t="shared" si="35"/>
        <v>2</v>
      </c>
      <c r="S238" t="s">
        <v>105</v>
      </c>
      <c r="T238">
        <f t="shared" si="36"/>
        <v>2</v>
      </c>
    </row>
    <row r="239" spans="1:20" x14ac:dyDescent="0.2">
      <c r="A239">
        <v>238</v>
      </c>
      <c r="B239">
        <v>500</v>
      </c>
      <c r="C239">
        <v>1</v>
      </c>
      <c r="D239" s="3">
        <v>0.01</v>
      </c>
      <c r="E239">
        <v>20</v>
      </c>
      <c r="F239">
        <v>100</v>
      </c>
      <c r="G239" s="3">
        <v>0.9</v>
      </c>
      <c r="H239">
        <v>0.05</v>
      </c>
      <c r="I239">
        <v>5</v>
      </c>
      <c r="J239">
        <f t="shared" si="37"/>
        <v>1</v>
      </c>
      <c r="K239">
        <f t="shared" si="38"/>
        <v>0</v>
      </c>
      <c r="L239">
        <f t="shared" si="30"/>
        <v>0</v>
      </c>
      <c r="M239">
        <f t="shared" si="39"/>
        <v>1</v>
      </c>
      <c r="N239">
        <f t="shared" si="31"/>
        <v>1</v>
      </c>
      <c r="O239">
        <f t="shared" si="32"/>
        <v>0</v>
      </c>
      <c r="P239">
        <f t="shared" si="33"/>
        <v>1</v>
      </c>
      <c r="Q239">
        <f t="shared" si="34"/>
        <v>1</v>
      </c>
      <c r="R239">
        <f t="shared" si="35"/>
        <v>5</v>
      </c>
      <c r="S239" t="s">
        <v>97</v>
      </c>
      <c r="T239">
        <f t="shared" si="36"/>
        <v>3</v>
      </c>
    </row>
    <row r="240" spans="1:20" x14ac:dyDescent="0.2">
      <c r="A240">
        <v>239</v>
      </c>
      <c r="B240">
        <v>500</v>
      </c>
      <c r="C240">
        <v>10</v>
      </c>
      <c r="D240" s="4">
        <v>1E-3</v>
      </c>
      <c r="E240">
        <v>20</v>
      </c>
      <c r="F240">
        <v>100</v>
      </c>
      <c r="G240" s="3">
        <v>0.9</v>
      </c>
      <c r="H240" t="s">
        <v>1190</v>
      </c>
      <c r="I240">
        <v>100</v>
      </c>
      <c r="J240">
        <f t="shared" si="37"/>
        <v>1</v>
      </c>
      <c r="K240">
        <f t="shared" si="38"/>
        <v>1</v>
      </c>
      <c r="L240">
        <f t="shared" si="30"/>
        <v>1</v>
      </c>
      <c r="M240">
        <f t="shared" si="39"/>
        <v>1</v>
      </c>
      <c r="N240">
        <f t="shared" si="31"/>
        <v>1</v>
      </c>
      <c r="O240">
        <f t="shared" si="32"/>
        <v>0</v>
      </c>
      <c r="P240">
        <f t="shared" si="33"/>
        <v>0</v>
      </c>
      <c r="Q240">
        <f t="shared" si="34"/>
        <v>0</v>
      </c>
      <c r="R240">
        <f t="shared" si="35"/>
        <v>5</v>
      </c>
      <c r="S240" t="s">
        <v>105</v>
      </c>
      <c r="T240">
        <f t="shared" si="36"/>
        <v>5</v>
      </c>
    </row>
    <row r="241" spans="1:20" x14ac:dyDescent="0.2">
      <c r="A241">
        <v>240</v>
      </c>
      <c r="B241">
        <v>500</v>
      </c>
      <c r="C241">
        <v>10</v>
      </c>
      <c r="D241">
        <v>1E-3</v>
      </c>
      <c r="E241">
        <v>20</v>
      </c>
      <c r="F241">
        <v>100</v>
      </c>
      <c r="G241">
        <v>9</v>
      </c>
      <c r="H241">
        <v>10</v>
      </c>
      <c r="I241">
        <v>1</v>
      </c>
      <c r="J241">
        <f t="shared" si="37"/>
        <v>1</v>
      </c>
      <c r="K241">
        <f t="shared" si="38"/>
        <v>1</v>
      </c>
      <c r="L241">
        <f t="shared" si="30"/>
        <v>1</v>
      </c>
      <c r="M241">
        <f t="shared" si="39"/>
        <v>1</v>
      </c>
      <c r="N241">
        <f t="shared" si="31"/>
        <v>1</v>
      </c>
      <c r="O241">
        <f t="shared" si="32"/>
        <v>0</v>
      </c>
      <c r="P241">
        <f t="shared" si="33"/>
        <v>0</v>
      </c>
      <c r="Q241">
        <f t="shared" si="34"/>
        <v>0</v>
      </c>
      <c r="R241">
        <f t="shared" si="35"/>
        <v>5</v>
      </c>
      <c r="S241" t="s">
        <v>97</v>
      </c>
      <c r="T241">
        <f t="shared" si="36"/>
        <v>5</v>
      </c>
    </row>
    <row r="242" spans="1:20" x14ac:dyDescent="0.2">
      <c r="A242">
        <v>241</v>
      </c>
      <c r="B242">
        <v>500</v>
      </c>
      <c r="C242">
        <v>10</v>
      </c>
      <c r="D242">
        <v>1</v>
      </c>
      <c r="E242">
        <v>20</v>
      </c>
      <c r="F242">
        <v>10</v>
      </c>
      <c r="G242">
        <v>90</v>
      </c>
      <c r="H242">
        <v>0.1</v>
      </c>
      <c r="I242">
        <v>100</v>
      </c>
      <c r="J242">
        <f t="shared" si="37"/>
        <v>1</v>
      </c>
      <c r="K242">
        <f t="shared" si="38"/>
        <v>1</v>
      </c>
      <c r="L242">
        <f t="shared" si="30"/>
        <v>0</v>
      </c>
      <c r="M242">
        <f t="shared" si="39"/>
        <v>1</v>
      </c>
      <c r="N242">
        <f t="shared" si="31"/>
        <v>0</v>
      </c>
      <c r="O242">
        <f t="shared" si="32"/>
        <v>0</v>
      </c>
      <c r="P242">
        <f t="shared" si="33"/>
        <v>0</v>
      </c>
      <c r="Q242">
        <f t="shared" si="34"/>
        <v>0</v>
      </c>
      <c r="R242">
        <f t="shared" si="35"/>
        <v>3</v>
      </c>
      <c r="S242" t="s">
        <v>97</v>
      </c>
      <c r="T242">
        <f t="shared" si="36"/>
        <v>3</v>
      </c>
    </row>
    <row r="243" spans="1:20" x14ac:dyDescent="0.2">
      <c r="A243">
        <v>242</v>
      </c>
      <c r="B243">
        <v>500</v>
      </c>
      <c r="C243">
        <v>10</v>
      </c>
      <c r="D243">
        <v>0.1</v>
      </c>
      <c r="E243">
        <v>20</v>
      </c>
      <c r="F243">
        <v>100</v>
      </c>
      <c r="G243">
        <v>10</v>
      </c>
      <c r="H243">
        <v>0.05</v>
      </c>
      <c r="I243">
        <v>5</v>
      </c>
      <c r="J243">
        <f t="shared" si="37"/>
        <v>1</v>
      </c>
      <c r="K243">
        <f t="shared" si="38"/>
        <v>1</v>
      </c>
      <c r="L243">
        <f t="shared" si="30"/>
        <v>1</v>
      </c>
      <c r="M243">
        <f t="shared" si="39"/>
        <v>1</v>
      </c>
      <c r="N243">
        <f t="shared" si="31"/>
        <v>1</v>
      </c>
      <c r="O243">
        <f t="shared" si="32"/>
        <v>0</v>
      </c>
      <c r="P243">
        <f t="shared" si="33"/>
        <v>1</v>
      </c>
      <c r="Q243">
        <f t="shared" si="34"/>
        <v>1</v>
      </c>
      <c r="R243">
        <f t="shared" si="35"/>
        <v>7</v>
      </c>
      <c r="S243" t="s">
        <v>111</v>
      </c>
      <c r="T243">
        <f t="shared" si="36"/>
        <v>5</v>
      </c>
    </row>
    <row r="244" spans="1:20" x14ac:dyDescent="0.2">
      <c r="A244">
        <v>243</v>
      </c>
      <c r="B244">
        <v>500</v>
      </c>
      <c r="C244">
        <v>10</v>
      </c>
      <c r="D244">
        <v>0.1</v>
      </c>
      <c r="E244">
        <v>20</v>
      </c>
      <c r="F244">
        <v>100</v>
      </c>
      <c r="G244">
        <v>90</v>
      </c>
      <c r="H244">
        <v>0.1</v>
      </c>
      <c r="I244">
        <v>100</v>
      </c>
      <c r="J244">
        <f t="shared" si="37"/>
        <v>1</v>
      </c>
      <c r="K244">
        <f t="shared" si="38"/>
        <v>1</v>
      </c>
      <c r="L244">
        <f t="shared" si="30"/>
        <v>1</v>
      </c>
      <c r="M244">
        <f t="shared" si="39"/>
        <v>1</v>
      </c>
      <c r="N244">
        <f t="shared" si="31"/>
        <v>1</v>
      </c>
      <c r="O244">
        <f t="shared" si="32"/>
        <v>0</v>
      </c>
      <c r="P244">
        <f t="shared" si="33"/>
        <v>0</v>
      </c>
      <c r="Q244">
        <f t="shared" si="34"/>
        <v>0</v>
      </c>
      <c r="R244">
        <f t="shared" si="35"/>
        <v>5</v>
      </c>
      <c r="S244" t="s">
        <v>97</v>
      </c>
      <c r="T244">
        <f t="shared" si="36"/>
        <v>5</v>
      </c>
    </row>
    <row r="245" spans="1:20" x14ac:dyDescent="0.2">
      <c r="A245">
        <v>244</v>
      </c>
      <c r="B245">
        <v>512</v>
      </c>
      <c r="C245">
        <v>10</v>
      </c>
      <c r="D245" s="4">
        <v>1E-3</v>
      </c>
      <c r="E245">
        <v>20</v>
      </c>
      <c r="F245">
        <v>10</v>
      </c>
      <c r="G245">
        <v>4</v>
      </c>
      <c r="H245">
        <v>0.1</v>
      </c>
      <c r="I245" t="s">
        <v>104</v>
      </c>
      <c r="J245">
        <f t="shared" si="37"/>
        <v>0</v>
      </c>
      <c r="K245">
        <f t="shared" si="38"/>
        <v>1</v>
      </c>
      <c r="L245">
        <f t="shared" si="30"/>
        <v>1</v>
      </c>
      <c r="M245">
        <f t="shared" si="39"/>
        <v>1</v>
      </c>
      <c r="N245">
        <f t="shared" si="31"/>
        <v>0</v>
      </c>
      <c r="O245">
        <f t="shared" si="32"/>
        <v>0</v>
      </c>
      <c r="P245">
        <f t="shared" si="33"/>
        <v>0</v>
      </c>
      <c r="Q245">
        <f t="shared" si="34"/>
        <v>1</v>
      </c>
      <c r="R245">
        <f t="shared" si="35"/>
        <v>4</v>
      </c>
      <c r="S245" t="s">
        <v>97</v>
      </c>
      <c r="T245">
        <f t="shared" si="36"/>
        <v>3</v>
      </c>
    </row>
    <row r="246" spans="1:20" x14ac:dyDescent="0.2">
      <c r="A246">
        <v>245</v>
      </c>
      <c r="B246">
        <v>500</v>
      </c>
      <c r="C246">
        <v>10</v>
      </c>
      <c r="D246" s="3">
        <v>0.01</v>
      </c>
      <c r="E246" s="3">
        <v>0.2</v>
      </c>
      <c r="F246">
        <v>100</v>
      </c>
      <c r="G246" s="3">
        <v>0.1</v>
      </c>
      <c r="H246">
        <v>0.05</v>
      </c>
      <c r="I246">
        <v>5</v>
      </c>
      <c r="J246">
        <f t="shared" si="37"/>
        <v>1</v>
      </c>
      <c r="K246">
        <f t="shared" si="38"/>
        <v>1</v>
      </c>
      <c r="L246">
        <f t="shared" si="30"/>
        <v>0</v>
      </c>
      <c r="M246">
        <f t="shared" si="39"/>
        <v>1</v>
      </c>
      <c r="N246">
        <f t="shared" si="31"/>
        <v>1</v>
      </c>
      <c r="O246">
        <f t="shared" si="32"/>
        <v>0</v>
      </c>
      <c r="P246">
        <f t="shared" si="33"/>
        <v>1</v>
      </c>
      <c r="Q246">
        <f t="shared" si="34"/>
        <v>1</v>
      </c>
      <c r="R246">
        <f t="shared" si="35"/>
        <v>6</v>
      </c>
      <c r="S246" t="s">
        <v>97</v>
      </c>
      <c r="T246">
        <f t="shared" si="36"/>
        <v>4</v>
      </c>
    </row>
    <row r="247" spans="1:20" x14ac:dyDescent="0.2">
      <c r="A247">
        <v>246</v>
      </c>
      <c r="B247">
        <v>500</v>
      </c>
      <c r="C247">
        <v>10</v>
      </c>
      <c r="D247">
        <v>0.1</v>
      </c>
      <c r="E247">
        <v>20</v>
      </c>
      <c r="F247">
        <v>100</v>
      </c>
      <c r="G247" t="s">
        <v>1219</v>
      </c>
      <c r="H247">
        <v>0.1</v>
      </c>
      <c r="I247" t="s">
        <v>266</v>
      </c>
      <c r="J247">
        <f t="shared" si="37"/>
        <v>1</v>
      </c>
      <c r="K247">
        <f t="shared" si="38"/>
        <v>1</v>
      </c>
      <c r="L247">
        <f t="shared" si="30"/>
        <v>1</v>
      </c>
      <c r="M247">
        <f t="shared" si="39"/>
        <v>1</v>
      </c>
      <c r="N247">
        <f t="shared" si="31"/>
        <v>1</v>
      </c>
      <c r="O247">
        <f t="shared" si="32"/>
        <v>0</v>
      </c>
      <c r="P247">
        <f t="shared" si="33"/>
        <v>0</v>
      </c>
      <c r="Q247">
        <f t="shared" si="34"/>
        <v>0</v>
      </c>
      <c r="R247">
        <f t="shared" si="35"/>
        <v>5</v>
      </c>
      <c r="S247" t="s">
        <v>111</v>
      </c>
      <c r="T247">
        <f t="shared" si="36"/>
        <v>5</v>
      </c>
    </row>
    <row r="248" spans="1:20" x14ac:dyDescent="0.2">
      <c r="A248">
        <v>247</v>
      </c>
      <c r="B248">
        <v>500</v>
      </c>
      <c r="C248">
        <v>10</v>
      </c>
      <c r="D248">
        <v>1E-3</v>
      </c>
      <c r="E248">
        <v>20</v>
      </c>
      <c r="F248">
        <v>100</v>
      </c>
      <c r="G248" t="s">
        <v>569</v>
      </c>
      <c r="H248">
        <v>0.1</v>
      </c>
      <c r="I248" t="s">
        <v>104</v>
      </c>
      <c r="J248">
        <f t="shared" si="37"/>
        <v>1</v>
      </c>
      <c r="K248">
        <f t="shared" si="38"/>
        <v>1</v>
      </c>
      <c r="L248">
        <f t="shared" si="30"/>
        <v>1</v>
      </c>
      <c r="M248">
        <f t="shared" si="39"/>
        <v>1</v>
      </c>
      <c r="N248">
        <f t="shared" si="31"/>
        <v>1</v>
      </c>
      <c r="O248">
        <f t="shared" si="32"/>
        <v>0</v>
      </c>
      <c r="P248">
        <f t="shared" si="33"/>
        <v>0</v>
      </c>
      <c r="Q248">
        <f t="shared" si="34"/>
        <v>1</v>
      </c>
      <c r="R248">
        <f t="shared" si="35"/>
        <v>6</v>
      </c>
      <c r="S248" t="s">
        <v>105</v>
      </c>
      <c r="T248">
        <f t="shared" si="36"/>
        <v>5</v>
      </c>
    </row>
    <row r="249" spans="1:20" x14ac:dyDescent="0.2">
      <c r="A249">
        <v>248</v>
      </c>
      <c r="B249">
        <v>500</v>
      </c>
      <c r="C249">
        <v>10</v>
      </c>
      <c r="D249" s="4">
        <v>1E-3</v>
      </c>
      <c r="E249" t="s">
        <v>1228</v>
      </c>
      <c r="F249">
        <v>100</v>
      </c>
      <c r="G249" s="3">
        <v>0.09</v>
      </c>
      <c r="H249" t="s">
        <v>297</v>
      </c>
      <c r="I249" t="s">
        <v>266</v>
      </c>
      <c r="J249">
        <f t="shared" si="37"/>
        <v>1</v>
      </c>
      <c r="K249">
        <f t="shared" si="38"/>
        <v>1</v>
      </c>
      <c r="L249">
        <f t="shared" si="30"/>
        <v>1</v>
      </c>
      <c r="M249">
        <f t="shared" si="39"/>
        <v>0</v>
      </c>
      <c r="N249">
        <f t="shared" si="31"/>
        <v>1</v>
      </c>
      <c r="O249">
        <f t="shared" si="32"/>
        <v>0</v>
      </c>
      <c r="P249">
        <f t="shared" si="33"/>
        <v>0</v>
      </c>
      <c r="Q249">
        <f t="shared" si="34"/>
        <v>0</v>
      </c>
      <c r="R249">
        <f t="shared" si="35"/>
        <v>4</v>
      </c>
      <c r="S249" t="s">
        <v>97</v>
      </c>
      <c r="T249">
        <f t="shared" si="36"/>
        <v>4</v>
      </c>
    </row>
    <row r="250" spans="1:20" x14ac:dyDescent="0.2">
      <c r="A250">
        <v>249</v>
      </c>
      <c r="B250">
        <v>500</v>
      </c>
      <c r="C250">
        <v>100</v>
      </c>
      <c r="D250" s="4">
        <v>1E-3</v>
      </c>
      <c r="E250" s="3">
        <v>0.2</v>
      </c>
      <c r="F250">
        <v>100</v>
      </c>
      <c r="G250" s="3">
        <v>0.18</v>
      </c>
      <c r="H250">
        <v>0.05</v>
      </c>
      <c r="I250" t="s">
        <v>104</v>
      </c>
      <c r="J250">
        <f t="shared" si="37"/>
        <v>1</v>
      </c>
      <c r="K250">
        <f t="shared" si="38"/>
        <v>0</v>
      </c>
      <c r="L250">
        <f t="shared" si="30"/>
        <v>1</v>
      </c>
      <c r="M250">
        <f t="shared" si="39"/>
        <v>1</v>
      </c>
      <c r="N250">
        <f t="shared" si="31"/>
        <v>1</v>
      </c>
      <c r="O250">
        <f t="shared" si="32"/>
        <v>0</v>
      </c>
      <c r="P250">
        <f t="shared" si="33"/>
        <v>1</v>
      </c>
      <c r="Q250">
        <f t="shared" si="34"/>
        <v>1</v>
      </c>
      <c r="R250">
        <f t="shared" si="35"/>
        <v>6</v>
      </c>
      <c r="S250" t="s">
        <v>111</v>
      </c>
      <c r="T250">
        <f t="shared" si="36"/>
        <v>4</v>
      </c>
    </row>
    <row r="251" spans="1:20" x14ac:dyDescent="0.2">
      <c r="A251">
        <v>250</v>
      </c>
      <c r="B251">
        <v>500</v>
      </c>
      <c r="C251">
        <v>10</v>
      </c>
      <c r="D251" s="4">
        <v>1E-3</v>
      </c>
      <c r="E251">
        <v>20</v>
      </c>
      <c r="F251">
        <v>100</v>
      </c>
      <c r="G251" s="3">
        <v>0.5</v>
      </c>
      <c r="H251" s="5">
        <v>0.1</v>
      </c>
      <c r="I251">
        <v>100</v>
      </c>
      <c r="J251">
        <f t="shared" si="37"/>
        <v>1</v>
      </c>
      <c r="K251">
        <f t="shared" si="38"/>
        <v>1</v>
      </c>
      <c r="L251">
        <f t="shared" si="30"/>
        <v>1</v>
      </c>
      <c r="M251">
        <f t="shared" si="39"/>
        <v>1</v>
      </c>
      <c r="N251">
        <f t="shared" si="31"/>
        <v>1</v>
      </c>
      <c r="O251">
        <f t="shared" si="32"/>
        <v>1</v>
      </c>
      <c r="P251">
        <f t="shared" si="33"/>
        <v>0</v>
      </c>
      <c r="Q251">
        <f t="shared" si="34"/>
        <v>0</v>
      </c>
      <c r="R251">
        <f t="shared" si="35"/>
        <v>6</v>
      </c>
      <c r="S251" t="s">
        <v>111</v>
      </c>
      <c r="T251">
        <f t="shared" si="36"/>
        <v>6</v>
      </c>
    </row>
    <row r="252" spans="1:20" x14ac:dyDescent="0.2">
      <c r="A252">
        <v>251</v>
      </c>
      <c r="B252">
        <v>500</v>
      </c>
      <c r="C252">
        <v>10</v>
      </c>
      <c r="D252">
        <v>1</v>
      </c>
      <c r="E252">
        <v>20</v>
      </c>
      <c r="F252">
        <v>100</v>
      </c>
      <c r="G252" t="s">
        <v>569</v>
      </c>
      <c r="H252">
        <v>10</v>
      </c>
      <c r="I252">
        <v>10</v>
      </c>
      <c r="J252">
        <f t="shared" si="37"/>
        <v>1</v>
      </c>
      <c r="K252">
        <f t="shared" si="38"/>
        <v>1</v>
      </c>
      <c r="L252">
        <f t="shared" si="30"/>
        <v>0</v>
      </c>
      <c r="M252">
        <f t="shared" si="39"/>
        <v>1</v>
      </c>
      <c r="N252">
        <f t="shared" si="31"/>
        <v>1</v>
      </c>
      <c r="O252">
        <f t="shared" si="32"/>
        <v>0</v>
      </c>
      <c r="P252">
        <f t="shared" si="33"/>
        <v>0</v>
      </c>
      <c r="Q252">
        <f t="shared" si="34"/>
        <v>0</v>
      </c>
      <c r="R252">
        <f t="shared" si="35"/>
        <v>4</v>
      </c>
      <c r="S252" t="s">
        <v>105</v>
      </c>
      <c r="T252">
        <f t="shared" si="36"/>
        <v>4</v>
      </c>
    </row>
    <row r="253" spans="1:20" x14ac:dyDescent="0.2">
      <c r="A253">
        <v>252</v>
      </c>
      <c r="B253">
        <v>500</v>
      </c>
      <c r="C253">
        <v>10</v>
      </c>
      <c r="D253">
        <v>0.1</v>
      </c>
      <c r="E253">
        <v>20</v>
      </c>
      <c r="F253">
        <v>100</v>
      </c>
      <c r="G253" s="3">
        <v>0.18</v>
      </c>
      <c r="H253">
        <v>0.05</v>
      </c>
      <c r="I253">
        <v>5</v>
      </c>
      <c r="J253">
        <f t="shared" si="37"/>
        <v>1</v>
      </c>
      <c r="K253">
        <f t="shared" si="38"/>
        <v>1</v>
      </c>
      <c r="L253">
        <f t="shared" si="30"/>
        <v>1</v>
      </c>
      <c r="M253">
        <f t="shared" si="39"/>
        <v>1</v>
      </c>
      <c r="N253">
        <f t="shared" si="31"/>
        <v>1</v>
      </c>
      <c r="O253">
        <f t="shared" si="32"/>
        <v>0</v>
      </c>
      <c r="P253">
        <f t="shared" si="33"/>
        <v>1</v>
      </c>
      <c r="Q253">
        <f t="shared" si="34"/>
        <v>1</v>
      </c>
      <c r="R253">
        <f t="shared" si="35"/>
        <v>7</v>
      </c>
      <c r="S253" t="s">
        <v>97</v>
      </c>
      <c r="T253">
        <f t="shared" si="36"/>
        <v>5</v>
      </c>
    </row>
    <row r="254" spans="1:20" x14ac:dyDescent="0.2">
      <c r="A254">
        <v>253</v>
      </c>
      <c r="B254">
        <v>500</v>
      </c>
      <c r="C254">
        <v>10</v>
      </c>
      <c r="D254">
        <v>0.1</v>
      </c>
      <c r="E254">
        <v>20</v>
      </c>
      <c r="F254">
        <v>100</v>
      </c>
      <c r="G254" s="3">
        <v>0.2</v>
      </c>
      <c r="H254">
        <v>0.05</v>
      </c>
      <c r="I254" t="s">
        <v>104</v>
      </c>
      <c r="J254">
        <f t="shared" si="37"/>
        <v>1</v>
      </c>
      <c r="K254">
        <f t="shared" si="38"/>
        <v>1</v>
      </c>
      <c r="L254">
        <f t="shared" si="30"/>
        <v>1</v>
      </c>
      <c r="M254">
        <f t="shared" si="39"/>
        <v>1</v>
      </c>
      <c r="N254">
        <f t="shared" si="31"/>
        <v>1</v>
      </c>
      <c r="O254">
        <f t="shared" si="32"/>
        <v>0</v>
      </c>
      <c r="P254">
        <f t="shared" si="33"/>
        <v>1</v>
      </c>
      <c r="Q254">
        <f t="shared" si="34"/>
        <v>1</v>
      </c>
      <c r="R254">
        <f t="shared" si="35"/>
        <v>7</v>
      </c>
      <c r="S254" t="s">
        <v>125</v>
      </c>
      <c r="T254">
        <f t="shared" si="36"/>
        <v>5</v>
      </c>
    </row>
    <row r="255" spans="1:20" x14ac:dyDescent="0.2">
      <c r="A255">
        <v>254</v>
      </c>
      <c r="B255">
        <v>500</v>
      </c>
      <c r="C255">
        <v>10</v>
      </c>
      <c r="D255">
        <v>0.01</v>
      </c>
      <c r="E255">
        <v>20</v>
      </c>
      <c r="F255">
        <v>100</v>
      </c>
      <c r="G255">
        <v>9</v>
      </c>
      <c r="H255">
        <v>0.05</v>
      </c>
      <c r="I255" t="s">
        <v>104</v>
      </c>
      <c r="J255">
        <f t="shared" si="37"/>
        <v>1</v>
      </c>
      <c r="K255">
        <f t="shared" si="38"/>
        <v>1</v>
      </c>
      <c r="L255">
        <f t="shared" si="30"/>
        <v>0</v>
      </c>
      <c r="M255">
        <f t="shared" si="39"/>
        <v>1</v>
      </c>
      <c r="N255">
        <f t="shared" si="31"/>
        <v>1</v>
      </c>
      <c r="O255">
        <f t="shared" si="32"/>
        <v>0</v>
      </c>
      <c r="P255">
        <f t="shared" si="33"/>
        <v>1</v>
      </c>
      <c r="Q255">
        <f t="shared" si="34"/>
        <v>1</v>
      </c>
      <c r="R255">
        <f t="shared" si="35"/>
        <v>6</v>
      </c>
      <c r="S255" t="s">
        <v>125</v>
      </c>
      <c r="T255">
        <f t="shared" si="36"/>
        <v>4</v>
      </c>
    </row>
    <row r="256" spans="1:20" x14ac:dyDescent="0.2">
      <c r="A256">
        <v>255</v>
      </c>
      <c r="B256">
        <v>250</v>
      </c>
      <c r="C256">
        <v>1</v>
      </c>
      <c r="D256">
        <v>0.1</v>
      </c>
      <c r="E256">
        <v>20</v>
      </c>
      <c r="F256">
        <v>1</v>
      </c>
      <c r="G256">
        <v>5</v>
      </c>
      <c r="H256">
        <v>10</v>
      </c>
      <c r="I256">
        <v>20</v>
      </c>
      <c r="J256">
        <f t="shared" si="37"/>
        <v>0</v>
      </c>
      <c r="K256">
        <f t="shared" si="38"/>
        <v>0</v>
      </c>
      <c r="L256">
        <f t="shared" si="30"/>
        <v>1</v>
      </c>
      <c r="M256">
        <f t="shared" si="39"/>
        <v>1</v>
      </c>
      <c r="N256">
        <f t="shared" si="31"/>
        <v>0</v>
      </c>
      <c r="O256">
        <f t="shared" si="32"/>
        <v>0</v>
      </c>
      <c r="P256">
        <f t="shared" si="33"/>
        <v>0</v>
      </c>
      <c r="Q256">
        <f t="shared" si="34"/>
        <v>0</v>
      </c>
      <c r="R256">
        <f t="shared" si="35"/>
        <v>2</v>
      </c>
      <c r="S256" t="s">
        <v>111</v>
      </c>
      <c r="T256">
        <f t="shared" si="36"/>
        <v>2</v>
      </c>
    </row>
    <row r="257" spans="1:20" x14ac:dyDescent="0.2">
      <c r="A257">
        <v>256</v>
      </c>
      <c r="B257">
        <v>500</v>
      </c>
      <c r="C257">
        <v>10</v>
      </c>
      <c r="D257">
        <v>0.1</v>
      </c>
      <c r="E257">
        <v>20</v>
      </c>
      <c r="F257">
        <v>100</v>
      </c>
      <c r="G257" t="s">
        <v>569</v>
      </c>
      <c r="H257">
        <v>0.1</v>
      </c>
      <c r="I257" t="s">
        <v>266</v>
      </c>
      <c r="J257">
        <f t="shared" si="37"/>
        <v>1</v>
      </c>
      <c r="K257">
        <f t="shared" si="38"/>
        <v>1</v>
      </c>
      <c r="L257">
        <f t="shared" si="30"/>
        <v>1</v>
      </c>
      <c r="M257">
        <f t="shared" si="39"/>
        <v>1</v>
      </c>
      <c r="N257">
        <f t="shared" si="31"/>
        <v>1</v>
      </c>
      <c r="O257">
        <f t="shared" si="32"/>
        <v>0</v>
      </c>
      <c r="P257">
        <f t="shared" si="33"/>
        <v>0</v>
      </c>
      <c r="Q257">
        <f t="shared" si="34"/>
        <v>0</v>
      </c>
      <c r="R257">
        <f t="shared" si="35"/>
        <v>5</v>
      </c>
      <c r="S257" t="s">
        <v>97</v>
      </c>
      <c r="T257">
        <f t="shared" si="36"/>
        <v>5</v>
      </c>
    </row>
    <row r="258" spans="1:20" x14ac:dyDescent="0.2">
      <c r="A258">
        <v>257</v>
      </c>
      <c r="B258">
        <v>500</v>
      </c>
      <c r="C258">
        <v>10</v>
      </c>
      <c r="D258">
        <v>10</v>
      </c>
      <c r="E258">
        <v>20</v>
      </c>
      <c r="F258">
        <v>100</v>
      </c>
      <c r="G258" s="3">
        <v>0.48</v>
      </c>
      <c r="H258">
        <v>0.1</v>
      </c>
      <c r="I258" t="s">
        <v>104</v>
      </c>
      <c r="J258">
        <f t="shared" si="37"/>
        <v>1</v>
      </c>
      <c r="K258">
        <f t="shared" si="38"/>
        <v>1</v>
      </c>
      <c r="L258">
        <f t="shared" si="30"/>
        <v>0</v>
      </c>
      <c r="M258">
        <f t="shared" si="39"/>
        <v>1</v>
      </c>
      <c r="N258">
        <f t="shared" si="31"/>
        <v>1</v>
      </c>
      <c r="O258">
        <f t="shared" si="32"/>
        <v>0</v>
      </c>
      <c r="P258">
        <f t="shared" si="33"/>
        <v>0</v>
      </c>
      <c r="Q258">
        <f t="shared" si="34"/>
        <v>1</v>
      </c>
      <c r="R258">
        <f t="shared" si="35"/>
        <v>5</v>
      </c>
      <c r="S258" t="s">
        <v>111</v>
      </c>
      <c r="T258">
        <f t="shared" si="36"/>
        <v>4</v>
      </c>
    </row>
    <row r="259" spans="1:20" x14ac:dyDescent="0.2">
      <c r="A259">
        <v>258</v>
      </c>
      <c r="B259">
        <v>500</v>
      </c>
      <c r="C259">
        <v>10</v>
      </c>
      <c r="D259" s="4">
        <v>1E-3</v>
      </c>
      <c r="E259">
        <v>20</v>
      </c>
      <c r="F259">
        <v>100</v>
      </c>
      <c r="G259" s="3">
        <v>0.18</v>
      </c>
      <c r="H259" t="s">
        <v>760</v>
      </c>
      <c r="I259">
        <v>5</v>
      </c>
      <c r="J259">
        <f t="shared" ref="J259:J322" si="40">IF(B259=500,1,0)</f>
        <v>1</v>
      </c>
      <c r="K259">
        <f t="shared" ref="K259:K322" si="41">IF(C259=10,1,0)</f>
        <v>1</v>
      </c>
      <c r="L259">
        <f t="shared" ref="L259:L322" si="42">IF(OR(D259=0.1,D259=0.1%),1,0)</f>
        <v>1</v>
      </c>
      <c r="M259">
        <f t="shared" si="39"/>
        <v>1</v>
      </c>
      <c r="N259">
        <f t="shared" ref="N259:N322" si="43">IF(F259=100,1,0)</f>
        <v>1</v>
      </c>
      <c r="O259">
        <f t="shared" ref="O259:O322" si="44">IF(OR(G259=50,G259=50%),1,0)</f>
        <v>0</v>
      </c>
      <c r="P259">
        <f t="shared" ref="P259:P322" si="45">IF(OR(H259=0.05,H259="$0.05",H259="5 cents"),1,0)</f>
        <v>0</v>
      </c>
      <c r="Q259">
        <f t="shared" ref="Q259:Q322" si="46">IF(OR(I259=5,I259="5 minutes"),1,0)</f>
        <v>1</v>
      </c>
      <c r="R259">
        <f t="shared" ref="R259:R322" si="47">SUM(J259:Q259)</f>
        <v>6</v>
      </c>
      <c r="S259" t="s">
        <v>125</v>
      </c>
      <c r="T259">
        <f t="shared" ref="T259:T322" si="48">SUM(J259:O259)</f>
        <v>5</v>
      </c>
    </row>
    <row r="260" spans="1:20" x14ac:dyDescent="0.2">
      <c r="A260">
        <v>259</v>
      </c>
      <c r="B260">
        <v>500</v>
      </c>
      <c r="C260">
        <v>10</v>
      </c>
      <c r="D260">
        <v>1E-3</v>
      </c>
      <c r="E260">
        <v>20</v>
      </c>
      <c r="F260">
        <v>100</v>
      </c>
      <c r="G260">
        <v>50</v>
      </c>
      <c r="H260">
        <v>0.05</v>
      </c>
      <c r="I260">
        <v>5</v>
      </c>
      <c r="J260">
        <f t="shared" si="40"/>
        <v>1</v>
      </c>
      <c r="K260">
        <f t="shared" si="41"/>
        <v>1</v>
      </c>
      <c r="L260">
        <f t="shared" si="42"/>
        <v>1</v>
      </c>
      <c r="M260">
        <f t="shared" ref="M260:M323" si="49">IF(OR(E260=20,E260=20%),1,0)</f>
        <v>1</v>
      </c>
      <c r="N260">
        <f t="shared" si="43"/>
        <v>1</v>
      </c>
      <c r="O260">
        <f t="shared" si="44"/>
        <v>1</v>
      </c>
      <c r="P260">
        <f t="shared" si="45"/>
        <v>1</v>
      </c>
      <c r="Q260">
        <f t="shared" si="46"/>
        <v>1</v>
      </c>
      <c r="R260">
        <f t="shared" si="47"/>
        <v>8</v>
      </c>
      <c r="S260" t="s">
        <v>111</v>
      </c>
      <c r="T260">
        <f t="shared" si="48"/>
        <v>6</v>
      </c>
    </row>
    <row r="261" spans="1:20" x14ac:dyDescent="0.2">
      <c r="A261">
        <v>260</v>
      </c>
      <c r="B261">
        <v>500</v>
      </c>
      <c r="C261">
        <v>10</v>
      </c>
      <c r="D261">
        <v>1</v>
      </c>
      <c r="E261">
        <v>20</v>
      </c>
      <c r="F261">
        <v>100</v>
      </c>
      <c r="G261" s="3">
        <v>0.18</v>
      </c>
      <c r="H261">
        <v>0.1</v>
      </c>
      <c r="I261" t="s">
        <v>252</v>
      </c>
      <c r="J261">
        <f t="shared" si="40"/>
        <v>1</v>
      </c>
      <c r="K261">
        <f t="shared" si="41"/>
        <v>1</v>
      </c>
      <c r="L261">
        <f t="shared" si="42"/>
        <v>0</v>
      </c>
      <c r="M261">
        <f t="shared" si="49"/>
        <v>1</v>
      </c>
      <c r="N261">
        <f t="shared" si="43"/>
        <v>1</v>
      </c>
      <c r="O261">
        <f t="shared" si="44"/>
        <v>0</v>
      </c>
      <c r="P261">
        <f t="shared" si="45"/>
        <v>0</v>
      </c>
      <c r="Q261">
        <f t="shared" si="46"/>
        <v>0</v>
      </c>
      <c r="R261">
        <f t="shared" si="47"/>
        <v>4</v>
      </c>
      <c r="S261" t="s">
        <v>125</v>
      </c>
      <c r="T261">
        <f t="shared" si="48"/>
        <v>4</v>
      </c>
    </row>
    <row r="262" spans="1:20" x14ac:dyDescent="0.2">
      <c r="A262">
        <v>261</v>
      </c>
      <c r="B262">
        <v>500</v>
      </c>
      <c r="C262">
        <v>10</v>
      </c>
      <c r="D262">
        <v>0.1</v>
      </c>
      <c r="E262">
        <v>20</v>
      </c>
      <c r="F262">
        <v>100</v>
      </c>
      <c r="G262" s="3">
        <v>0.1</v>
      </c>
      <c r="H262" s="5">
        <v>0.05</v>
      </c>
      <c r="I262" t="s">
        <v>104</v>
      </c>
      <c r="J262">
        <f t="shared" si="40"/>
        <v>1</v>
      </c>
      <c r="K262">
        <f t="shared" si="41"/>
        <v>1</v>
      </c>
      <c r="L262">
        <f t="shared" si="42"/>
        <v>1</v>
      </c>
      <c r="M262">
        <f t="shared" si="49"/>
        <v>1</v>
      </c>
      <c r="N262">
        <f t="shared" si="43"/>
        <v>1</v>
      </c>
      <c r="O262">
        <f t="shared" si="44"/>
        <v>0</v>
      </c>
      <c r="P262">
        <f t="shared" si="45"/>
        <v>1</v>
      </c>
      <c r="Q262">
        <f t="shared" si="46"/>
        <v>1</v>
      </c>
      <c r="R262">
        <f t="shared" si="47"/>
        <v>7</v>
      </c>
      <c r="S262" t="s">
        <v>105</v>
      </c>
      <c r="T262">
        <f t="shared" si="48"/>
        <v>5</v>
      </c>
    </row>
    <row r="263" spans="1:20" x14ac:dyDescent="0.2">
      <c r="A263">
        <v>262</v>
      </c>
      <c r="B263">
        <v>500</v>
      </c>
      <c r="C263">
        <v>10</v>
      </c>
      <c r="D263">
        <v>1E-3</v>
      </c>
      <c r="E263">
        <v>20</v>
      </c>
      <c r="F263">
        <v>100</v>
      </c>
      <c r="G263" s="3">
        <v>0.5</v>
      </c>
      <c r="H263" s="5">
        <v>0.1</v>
      </c>
      <c r="I263" t="s">
        <v>104</v>
      </c>
      <c r="J263">
        <f t="shared" si="40"/>
        <v>1</v>
      </c>
      <c r="K263">
        <f t="shared" si="41"/>
        <v>1</v>
      </c>
      <c r="L263">
        <f t="shared" si="42"/>
        <v>1</v>
      </c>
      <c r="M263">
        <f t="shared" si="49"/>
        <v>1</v>
      </c>
      <c r="N263">
        <f t="shared" si="43"/>
        <v>1</v>
      </c>
      <c r="O263">
        <f t="shared" si="44"/>
        <v>1</v>
      </c>
      <c r="P263">
        <f t="shared" si="45"/>
        <v>0</v>
      </c>
      <c r="Q263">
        <f t="shared" si="46"/>
        <v>1</v>
      </c>
      <c r="R263">
        <f t="shared" si="47"/>
        <v>7</v>
      </c>
      <c r="S263" t="s">
        <v>105</v>
      </c>
      <c r="T263">
        <f t="shared" si="48"/>
        <v>6</v>
      </c>
    </row>
    <row r="264" spans="1:20" x14ac:dyDescent="0.2">
      <c r="A264">
        <v>263</v>
      </c>
      <c r="B264">
        <v>500</v>
      </c>
      <c r="C264">
        <v>10</v>
      </c>
      <c r="D264">
        <v>1E-3</v>
      </c>
      <c r="E264">
        <v>20</v>
      </c>
      <c r="F264">
        <v>100</v>
      </c>
      <c r="G264" s="3">
        <v>0.9</v>
      </c>
      <c r="H264">
        <v>0.1</v>
      </c>
      <c r="I264" t="s">
        <v>104</v>
      </c>
      <c r="J264">
        <f t="shared" si="40"/>
        <v>1</v>
      </c>
      <c r="K264">
        <f t="shared" si="41"/>
        <v>1</v>
      </c>
      <c r="L264">
        <f t="shared" si="42"/>
        <v>1</v>
      </c>
      <c r="M264">
        <f t="shared" si="49"/>
        <v>1</v>
      </c>
      <c r="N264">
        <f t="shared" si="43"/>
        <v>1</v>
      </c>
      <c r="O264">
        <f t="shared" si="44"/>
        <v>0</v>
      </c>
      <c r="P264">
        <f t="shared" si="45"/>
        <v>0</v>
      </c>
      <c r="Q264">
        <f t="shared" si="46"/>
        <v>1</v>
      </c>
      <c r="R264">
        <f t="shared" si="47"/>
        <v>6</v>
      </c>
      <c r="S264" t="s">
        <v>105</v>
      </c>
      <c r="T264">
        <f t="shared" si="48"/>
        <v>5</v>
      </c>
    </row>
    <row r="265" spans="1:20" x14ac:dyDescent="0.2">
      <c r="A265">
        <v>264</v>
      </c>
      <c r="B265">
        <v>500</v>
      </c>
      <c r="C265">
        <v>10</v>
      </c>
      <c r="D265">
        <v>0.01</v>
      </c>
      <c r="E265">
        <v>20</v>
      </c>
      <c r="F265">
        <v>1000</v>
      </c>
      <c r="G265" s="3">
        <v>0.1</v>
      </c>
      <c r="H265">
        <v>0.1</v>
      </c>
      <c r="I265" t="s">
        <v>104</v>
      </c>
      <c r="J265">
        <f t="shared" si="40"/>
        <v>1</v>
      </c>
      <c r="K265">
        <f t="shared" si="41"/>
        <v>1</v>
      </c>
      <c r="L265">
        <f t="shared" si="42"/>
        <v>0</v>
      </c>
      <c r="M265">
        <f t="shared" si="49"/>
        <v>1</v>
      </c>
      <c r="N265">
        <f t="shared" si="43"/>
        <v>0</v>
      </c>
      <c r="O265">
        <f t="shared" si="44"/>
        <v>0</v>
      </c>
      <c r="P265">
        <f t="shared" si="45"/>
        <v>0</v>
      </c>
      <c r="Q265">
        <f t="shared" si="46"/>
        <v>1</v>
      </c>
      <c r="R265">
        <f t="shared" si="47"/>
        <v>4</v>
      </c>
      <c r="S265" t="s">
        <v>105</v>
      </c>
      <c r="T265">
        <f t="shared" si="48"/>
        <v>3</v>
      </c>
    </row>
    <row r="266" spans="1:20" x14ac:dyDescent="0.2">
      <c r="A266">
        <v>265</v>
      </c>
      <c r="B266">
        <v>500</v>
      </c>
      <c r="C266">
        <v>10</v>
      </c>
      <c r="D266">
        <v>0.01</v>
      </c>
      <c r="E266">
        <v>20</v>
      </c>
      <c r="F266">
        <v>100</v>
      </c>
      <c r="G266">
        <v>50</v>
      </c>
      <c r="H266">
        <v>0.05</v>
      </c>
      <c r="I266">
        <v>5</v>
      </c>
      <c r="J266">
        <f t="shared" si="40"/>
        <v>1</v>
      </c>
      <c r="K266">
        <f t="shared" si="41"/>
        <v>1</v>
      </c>
      <c r="L266">
        <f t="shared" si="42"/>
        <v>0</v>
      </c>
      <c r="M266">
        <f t="shared" si="49"/>
        <v>1</v>
      </c>
      <c r="N266">
        <f t="shared" si="43"/>
        <v>1</v>
      </c>
      <c r="O266">
        <f t="shared" si="44"/>
        <v>1</v>
      </c>
      <c r="P266">
        <f t="shared" si="45"/>
        <v>1</v>
      </c>
      <c r="Q266">
        <f t="shared" si="46"/>
        <v>1</v>
      </c>
      <c r="R266">
        <f t="shared" si="47"/>
        <v>7</v>
      </c>
      <c r="S266" t="s">
        <v>97</v>
      </c>
      <c r="T266">
        <f t="shared" si="48"/>
        <v>5</v>
      </c>
    </row>
    <row r="267" spans="1:20" x14ac:dyDescent="0.2">
      <c r="A267">
        <v>266</v>
      </c>
      <c r="B267">
        <v>512</v>
      </c>
      <c r="C267">
        <v>10</v>
      </c>
      <c r="D267">
        <v>0.01</v>
      </c>
      <c r="E267">
        <v>5</v>
      </c>
      <c r="F267">
        <v>100</v>
      </c>
      <c r="G267" t="s">
        <v>1301</v>
      </c>
      <c r="H267">
        <v>0.1</v>
      </c>
      <c r="I267" t="s">
        <v>1302</v>
      </c>
      <c r="J267">
        <f t="shared" si="40"/>
        <v>0</v>
      </c>
      <c r="K267">
        <f t="shared" si="41"/>
        <v>1</v>
      </c>
      <c r="L267">
        <f t="shared" si="42"/>
        <v>0</v>
      </c>
      <c r="M267">
        <f t="shared" si="49"/>
        <v>0</v>
      </c>
      <c r="N267">
        <f t="shared" si="43"/>
        <v>1</v>
      </c>
      <c r="O267">
        <f t="shared" si="44"/>
        <v>0</v>
      </c>
      <c r="P267">
        <f t="shared" si="45"/>
        <v>0</v>
      </c>
      <c r="Q267">
        <f t="shared" si="46"/>
        <v>0</v>
      </c>
      <c r="R267">
        <f t="shared" si="47"/>
        <v>2</v>
      </c>
      <c r="S267" t="s">
        <v>97</v>
      </c>
      <c r="T267">
        <f t="shared" si="48"/>
        <v>2</v>
      </c>
    </row>
    <row r="268" spans="1:20" x14ac:dyDescent="0.2">
      <c r="A268">
        <v>267</v>
      </c>
      <c r="B268">
        <v>500</v>
      </c>
      <c r="C268">
        <v>10</v>
      </c>
      <c r="D268" s="4">
        <v>1E-3</v>
      </c>
      <c r="E268">
        <v>20</v>
      </c>
      <c r="F268">
        <v>100</v>
      </c>
      <c r="G268" s="3">
        <v>0.1</v>
      </c>
      <c r="H268">
        <v>0.1</v>
      </c>
      <c r="I268">
        <v>100</v>
      </c>
      <c r="J268">
        <f t="shared" si="40"/>
        <v>1</v>
      </c>
      <c r="K268">
        <f t="shared" si="41"/>
        <v>1</v>
      </c>
      <c r="L268">
        <f t="shared" si="42"/>
        <v>1</v>
      </c>
      <c r="M268">
        <f t="shared" si="49"/>
        <v>1</v>
      </c>
      <c r="N268">
        <f t="shared" si="43"/>
        <v>1</v>
      </c>
      <c r="O268">
        <f t="shared" si="44"/>
        <v>0</v>
      </c>
      <c r="P268">
        <f t="shared" si="45"/>
        <v>0</v>
      </c>
      <c r="Q268">
        <f t="shared" si="46"/>
        <v>0</v>
      </c>
      <c r="R268">
        <f t="shared" si="47"/>
        <v>5</v>
      </c>
      <c r="S268" t="s">
        <v>97</v>
      </c>
      <c r="T268">
        <f t="shared" si="48"/>
        <v>5</v>
      </c>
    </row>
    <row r="269" spans="1:20" x14ac:dyDescent="0.2">
      <c r="A269">
        <v>268</v>
      </c>
      <c r="B269">
        <v>166</v>
      </c>
      <c r="C269">
        <v>100</v>
      </c>
      <c r="D269">
        <v>90</v>
      </c>
      <c r="E269">
        <v>25</v>
      </c>
      <c r="F269">
        <v>100</v>
      </c>
      <c r="G269" s="3">
        <v>0.1</v>
      </c>
      <c r="H269">
        <v>0.1</v>
      </c>
      <c r="I269" t="s">
        <v>104</v>
      </c>
      <c r="J269">
        <f t="shared" si="40"/>
        <v>0</v>
      </c>
      <c r="K269">
        <f t="shared" si="41"/>
        <v>0</v>
      </c>
      <c r="L269">
        <f t="shared" si="42"/>
        <v>0</v>
      </c>
      <c r="M269">
        <f t="shared" si="49"/>
        <v>0</v>
      </c>
      <c r="N269">
        <f t="shared" si="43"/>
        <v>1</v>
      </c>
      <c r="O269">
        <f t="shared" si="44"/>
        <v>0</v>
      </c>
      <c r="P269">
        <f t="shared" si="45"/>
        <v>0</v>
      </c>
      <c r="Q269">
        <f t="shared" si="46"/>
        <v>1</v>
      </c>
      <c r="R269">
        <f t="shared" si="47"/>
        <v>2</v>
      </c>
      <c r="S269" t="s">
        <v>105</v>
      </c>
      <c r="T269">
        <f t="shared" si="48"/>
        <v>1</v>
      </c>
    </row>
    <row r="270" spans="1:20" x14ac:dyDescent="0.2">
      <c r="A270">
        <v>269</v>
      </c>
      <c r="B270">
        <v>500</v>
      </c>
      <c r="C270">
        <v>10</v>
      </c>
      <c r="D270">
        <v>0.1</v>
      </c>
      <c r="E270">
        <v>20</v>
      </c>
      <c r="F270">
        <v>100</v>
      </c>
      <c r="G270">
        <v>90</v>
      </c>
      <c r="H270">
        <v>0.05</v>
      </c>
      <c r="I270" t="s">
        <v>104</v>
      </c>
      <c r="J270">
        <f t="shared" si="40"/>
        <v>1</v>
      </c>
      <c r="K270">
        <f t="shared" si="41"/>
        <v>1</v>
      </c>
      <c r="L270">
        <f t="shared" si="42"/>
        <v>1</v>
      </c>
      <c r="M270">
        <f t="shared" si="49"/>
        <v>1</v>
      </c>
      <c r="N270">
        <f t="shared" si="43"/>
        <v>1</v>
      </c>
      <c r="O270">
        <f t="shared" si="44"/>
        <v>0</v>
      </c>
      <c r="P270">
        <f t="shared" si="45"/>
        <v>1</v>
      </c>
      <c r="Q270">
        <f t="shared" si="46"/>
        <v>1</v>
      </c>
      <c r="R270">
        <f t="shared" si="47"/>
        <v>7</v>
      </c>
      <c r="S270" t="s">
        <v>105</v>
      </c>
      <c r="T270">
        <f t="shared" si="48"/>
        <v>5</v>
      </c>
    </row>
    <row r="271" spans="1:20" x14ac:dyDescent="0.2">
      <c r="A271">
        <v>270</v>
      </c>
      <c r="B271">
        <v>500</v>
      </c>
      <c r="C271">
        <v>10</v>
      </c>
      <c r="D271">
        <v>0.01</v>
      </c>
      <c r="E271" s="3">
        <v>0.2</v>
      </c>
      <c r="F271">
        <v>100</v>
      </c>
      <c r="G271" s="3">
        <v>0.8</v>
      </c>
      <c r="H271">
        <v>1.05</v>
      </c>
      <c r="I271">
        <v>100</v>
      </c>
      <c r="J271">
        <f t="shared" si="40"/>
        <v>1</v>
      </c>
      <c r="K271">
        <f t="shared" si="41"/>
        <v>1</v>
      </c>
      <c r="L271">
        <f t="shared" si="42"/>
        <v>0</v>
      </c>
      <c r="M271">
        <f t="shared" si="49"/>
        <v>1</v>
      </c>
      <c r="N271">
        <f t="shared" si="43"/>
        <v>1</v>
      </c>
      <c r="O271">
        <f t="shared" si="44"/>
        <v>0</v>
      </c>
      <c r="P271">
        <f t="shared" si="45"/>
        <v>0</v>
      </c>
      <c r="Q271">
        <f t="shared" si="46"/>
        <v>0</v>
      </c>
      <c r="R271">
        <f t="shared" si="47"/>
        <v>4</v>
      </c>
      <c r="S271" t="s">
        <v>111</v>
      </c>
      <c r="T271">
        <f t="shared" si="48"/>
        <v>4</v>
      </c>
    </row>
    <row r="272" spans="1:20" x14ac:dyDescent="0.2">
      <c r="A272">
        <v>271</v>
      </c>
      <c r="B272">
        <v>500</v>
      </c>
      <c r="C272">
        <v>10</v>
      </c>
      <c r="D272">
        <v>0.1</v>
      </c>
      <c r="E272">
        <v>20</v>
      </c>
      <c r="F272">
        <v>100</v>
      </c>
      <c r="G272" s="3">
        <v>0.11</v>
      </c>
      <c r="H272">
        <v>0.05</v>
      </c>
      <c r="I272">
        <v>5</v>
      </c>
      <c r="J272">
        <f t="shared" si="40"/>
        <v>1</v>
      </c>
      <c r="K272">
        <f t="shared" si="41"/>
        <v>1</v>
      </c>
      <c r="L272">
        <f t="shared" si="42"/>
        <v>1</v>
      </c>
      <c r="M272">
        <f t="shared" si="49"/>
        <v>1</v>
      </c>
      <c r="N272">
        <f t="shared" si="43"/>
        <v>1</v>
      </c>
      <c r="O272">
        <f t="shared" si="44"/>
        <v>0</v>
      </c>
      <c r="P272">
        <f t="shared" si="45"/>
        <v>1</v>
      </c>
      <c r="Q272">
        <f t="shared" si="46"/>
        <v>1</v>
      </c>
      <c r="R272">
        <f t="shared" si="47"/>
        <v>7</v>
      </c>
      <c r="S272" t="s">
        <v>97</v>
      </c>
      <c r="T272">
        <f t="shared" si="48"/>
        <v>5</v>
      </c>
    </row>
    <row r="273" spans="1:20" x14ac:dyDescent="0.2">
      <c r="A273">
        <v>272</v>
      </c>
      <c r="B273" t="s">
        <v>1327</v>
      </c>
      <c r="C273" t="s">
        <v>716</v>
      </c>
      <c r="D273" s="4">
        <v>1E-3</v>
      </c>
      <c r="E273">
        <v>20</v>
      </c>
      <c r="F273" t="s">
        <v>717</v>
      </c>
      <c r="G273" t="s">
        <v>1328</v>
      </c>
      <c r="H273" s="5">
        <v>0.1</v>
      </c>
      <c r="I273" t="s">
        <v>104</v>
      </c>
      <c r="J273">
        <v>1</v>
      </c>
      <c r="K273">
        <v>1</v>
      </c>
      <c r="L273">
        <f t="shared" si="42"/>
        <v>1</v>
      </c>
      <c r="M273">
        <f t="shared" si="49"/>
        <v>1</v>
      </c>
      <c r="N273">
        <v>1</v>
      </c>
      <c r="O273">
        <f t="shared" si="44"/>
        <v>0</v>
      </c>
      <c r="P273">
        <f t="shared" si="45"/>
        <v>0</v>
      </c>
      <c r="Q273">
        <f t="shared" si="46"/>
        <v>1</v>
      </c>
      <c r="R273">
        <f t="shared" si="47"/>
        <v>6</v>
      </c>
      <c r="S273" t="s">
        <v>97</v>
      </c>
      <c r="T273">
        <f t="shared" si="48"/>
        <v>5</v>
      </c>
    </row>
    <row r="274" spans="1:20" x14ac:dyDescent="0.2">
      <c r="A274">
        <v>273</v>
      </c>
      <c r="B274">
        <v>500</v>
      </c>
      <c r="C274">
        <v>10</v>
      </c>
      <c r="D274">
        <v>0.1</v>
      </c>
      <c r="E274">
        <v>20</v>
      </c>
      <c r="F274">
        <v>100</v>
      </c>
      <c r="G274" t="s">
        <v>624</v>
      </c>
      <c r="H274">
        <v>0.05</v>
      </c>
      <c r="I274" t="s">
        <v>104</v>
      </c>
      <c r="J274">
        <f t="shared" si="40"/>
        <v>1</v>
      </c>
      <c r="K274">
        <f t="shared" si="41"/>
        <v>1</v>
      </c>
      <c r="L274">
        <f t="shared" si="42"/>
        <v>1</v>
      </c>
      <c r="M274">
        <f t="shared" si="49"/>
        <v>1</v>
      </c>
      <c r="N274">
        <f t="shared" si="43"/>
        <v>1</v>
      </c>
      <c r="O274">
        <f t="shared" si="44"/>
        <v>0</v>
      </c>
      <c r="P274">
        <f t="shared" si="45"/>
        <v>1</v>
      </c>
      <c r="Q274">
        <f t="shared" si="46"/>
        <v>1</v>
      </c>
      <c r="R274">
        <f t="shared" si="47"/>
        <v>7</v>
      </c>
      <c r="S274" t="s">
        <v>105</v>
      </c>
      <c r="T274">
        <f t="shared" si="48"/>
        <v>5</v>
      </c>
    </row>
    <row r="275" spans="1:20" x14ac:dyDescent="0.2">
      <c r="A275">
        <v>274</v>
      </c>
      <c r="B275">
        <v>500</v>
      </c>
      <c r="C275">
        <v>10</v>
      </c>
      <c r="D275" s="4">
        <v>1E-3</v>
      </c>
      <c r="E275">
        <v>20</v>
      </c>
      <c r="F275">
        <v>100</v>
      </c>
      <c r="G275" s="3">
        <v>0.9</v>
      </c>
      <c r="H275" s="5">
        <v>0.05</v>
      </c>
      <c r="I275">
        <v>5</v>
      </c>
      <c r="J275">
        <f t="shared" si="40"/>
        <v>1</v>
      </c>
      <c r="K275">
        <f t="shared" si="41"/>
        <v>1</v>
      </c>
      <c r="L275">
        <f t="shared" si="42"/>
        <v>1</v>
      </c>
      <c r="M275">
        <f t="shared" si="49"/>
        <v>1</v>
      </c>
      <c r="N275">
        <f t="shared" si="43"/>
        <v>1</v>
      </c>
      <c r="O275">
        <f t="shared" si="44"/>
        <v>0</v>
      </c>
      <c r="P275">
        <f t="shared" si="45"/>
        <v>1</v>
      </c>
      <c r="Q275">
        <f t="shared" si="46"/>
        <v>1</v>
      </c>
      <c r="R275">
        <f t="shared" si="47"/>
        <v>7</v>
      </c>
      <c r="S275" t="s">
        <v>97</v>
      </c>
      <c r="T275">
        <f t="shared" si="48"/>
        <v>5</v>
      </c>
    </row>
    <row r="276" spans="1:20" x14ac:dyDescent="0.2">
      <c r="A276">
        <v>275</v>
      </c>
      <c r="B276">
        <v>500</v>
      </c>
      <c r="C276">
        <v>10</v>
      </c>
      <c r="D276" s="3">
        <v>0.01</v>
      </c>
      <c r="E276" s="3">
        <v>0.2</v>
      </c>
      <c r="F276">
        <v>20</v>
      </c>
      <c r="G276" s="3">
        <v>0.2</v>
      </c>
      <c r="H276" t="s">
        <v>786</v>
      </c>
      <c r="I276" t="s">
        <v>266</v>
      </c>
      <c r="J276">
        <f t="shared" si="40"/>
        <v>1</v>
      </c>
      <c r="K276">
        <f t="shared" si="41"/>
        <v>1</v>
      </c>
      <c r="L276">
        <f t="shared" si="42"/>
        <v>0</v>
      </c>
      <c r="M276">
        <f t="shared" si="49"/>
        <v>1</v>
      </c>
      <c r="N276">
        <f t="shared" si="43"/>
        <v>0</v>
      </c>
      <c r="O276">
        <f t="shared" si="44"/>
        <v>0</v>
      </c>
      <c r="P276">
        <f t="shared" si="45"/>
        <v>0</v>
      </c>
      <c r="Q276">
        <f t="shared" si="46"/>
        <v>0</v>
      </c>
      <c r="R276">
        <f t="shared" si="47"/>
        <v>3</v>
      </c>
      <c r="S276" t="s">
        <v>97</v>
      </c>
      <c r="T276">
        <f t="shared" si="48"/>
        <v>3</v>
      </c>
    </row>
    <row r="277" spans="1:20" x14ac:dyDescent="0.2">
      <c r="A277">
        <v>276</v>
      </c>
      <c r="B277">
        <v>500</v>
      </c>
      <c r="C277">
        <v>10</v>
      </c>
      <c r="D277">
        <v>0.1</v>
      </c>
      <c r="E277">
        <v>20</v>
      </c>
      <c r="F277">
        <v>100</v>
      </c>
      <c r="G277" s="3">
        <v>0.5</v>
      </c>
      <c r="H277" s="5">
        <v>0.05</v>
      </c>
      <c r="I277" t="s">
        <v>104</v>
      </c>
      <c r="J277">
        <f t="shared" si="40"/>
        <v>1</v>
      </c>
      <c r="K277">
        <f t="shared" si="41"/>
        <v>1</v>
      </c>
      <c r="L277">
        <f t="shared" si="42"/>
        <v>1</v>
      </c>
      <c r="M277">
        <f t="shared" si="49"/>
        <v>1</v>
      </c>
      <c r="N277">
        <f t="shared" si="43"/>
        <v>1</v>
      </c>
      <c r="O277">
        <f t="shared" si="44"/>
        <v>1</v>
      </c>
      <c r="P277">
        <f t="shared" si="45"/>
        <v>1</v>
      </c>
      <c r="Q277">
        <f t="shared" si="46"/>
        <v>1</v>
      </c>
      <c r="R277">
        <f t="shared" si="47"/>
        <v>8</v>
      </c>
      <c r="S277" t="s">
        <v>105</v>
      </c>
      <c r="T277">
        <f t="shared" si="48"/>
        <v>6</v>
      </c>
    </row>
    <row r="278" spans="1:20" x14ac:dyDescent="0.2">
      <c r="A278">
        <v>277</v>
      </c>
      <c r="B278">
        <v>500</v>
      </c>
      <c r="C278">
        <v>10</v>
      </c>
      <c r="D278" s="4">
        <v>1E-3</v>
      </c>
      <c r="E278">
        <v>20</v>
      </c>
      <c r="F278">
        <v>100</v>
      </c>
      <c r="G278" s="3">
        <v>0.9</v>
      </c>
      <c r="H278">
        <v>0.05</v>
      </c>
      <c r="I278" t="s">
        <v>104</v>
      </c>
      <c r="J278">
        <f t="shared" si="40"/>
        <v>1</v>
      </c>
      <c r="K278">
        <f t="shared" si="41"/>
        <v>1</v>
      </c>
      <c r="L278">
        <f t="shared" si="42"/>
        <v>1</v>
      </c>
      <c r="M278">
        <f t="shared" si="49"/>
        <v>1</v>
      </c>
      <c r="N278">
        <f t="shared" si="43"/>
        <v>1</v>
      </c>
      <c r="O278">
        <f t="shared" si="44"/>
        <v>0</v>
      </c>
      <c r="P278">
        <f t="shared" si="45"/>
        <v>1</v>
      </c>
      <c r="Q278">
        <f t="shared" si="46"/>
        <v>1</v>
      </c>
      <c r="R278">
        <f t="shared" si="47"/>
        <v>7</v>
      </c>
      <c r="S278" t="s">
        <v>111</v>
      </c>
      <c r="T278">
        <f t="shared" si="48"/>
        <v>5</v>
      </c>
    </row>
    <row r="279" spans="1:20" x14ac:dyDescent="0.2">
      <c r="A279">
        <v>278</v>
      </c>
      <c r="B279">
        <v>500</v>
      </c>
      <c r="C279">
        <v>10</v>
      </c>
      <c r="D279" s="4">
        <v>1E-3</v>
      </c>
      <c r="E279">
        <v>20</v>
      </c>
      <c r="F279">
        <v>100</v>
      </c>
      <c r="G279" s="3">
        <v>0.5</v>
      </c>
      <c r="H279">
        <v>0.05</v>
      </c>
      <c r="I279" t="s">
        <v>104</v>
      </c>
      <c r="J279">
        <f t="shared" si="40"/>
        <v>1</v>
      </c>
      <c r="K279">
        <f t="shared" si="41"/>
        <v>1</v>
      </c>
      <c r="L279">
        <f t="shared" si="42"/>
        <v>1</v>
      </c>
      <c r="M279">
        <f t="shared" si="49"/>
        <v>1</v>
      </c>
      <c r="N279">
        <f t="shared" si="43"/>
        <v>1</v>
      </c>
      <c r="O279">
        <f t="shared" si="44"/>
        <v>1</v>
      </c>
      <c r="P279">
        <f t="shared" si="45"/>
        <v>1</v>
      </c>
      <c r="Q279">
        <f t="shared" si="46"/>
        <v>1</v>
      </c>
      <c r="R279">
        <f t="shared" si="47"/>
        <v>8</v>
      </c>
      <c r="S279" t="s">
        <v>125</v>
      </c>
      <c r="T279">
        <f t="shared" si="48"/>
        <v>6</v>
      </c>
    </row>
    <row r="280" spans="1:20" x14ac:dyDescent="0.2">
      <c r="A280">
        <v>279</v>
      </c>
      <c r="B280">
        <v>500</v>
      </c>
      <c r="C280">
        <v>10</v>
      </c>
      <c r="D280" s="4">
        <v>1E-3</v>
      </c>
      <c r="E280" s="3">
        <v>0.2</v>
      </c>
      <c r="F280">
        <v>100</v>
      </c>
      <c r="G280" s="3">
        <v>0.1</v>
      </c>
      <c r="H280">
        <v>0.1</v>
      </c>
      <c r="I280">
        <v>100</v>
      </c>
      <c r="J280">
        <f t="shared" si="40"/>
        <v>1</v>
      </c>
      <c r="K280">
        <f t="shared" si="41"/>
        <v>1</v>
      </c>
      <c r="L280">
        <f t="shared" si="42"/>
        <v>1</v>
      </c>
      <c r="M280">
        <f t="shared" si="49"/>
        <v>1</v>
      </c>
      <c r="N280">
        <f t="shared" si="43"/>
        <v>1</v>
      </c>
      <c r="O280">
        <f t="shared" si="44"/>
        <v>0</v>
      </c>
      <c r="P280">
        <f t="shared" si="45"/>
        <v>0</v>
      </c>
      <c r="Q280">
        <f t="shared" si="46"/>
        <v>0</v>
      </c>
      <c r="R280">
        <f t="shared" si="47"/>
        <v>5</v>
      </c>
      <c r="S280" t="s">
        <v>111</v>
      </c>
      <c r="T280">
        <f t="shared" si="48"/>
        <v>5</v>
      </c>
    </row>
    <row r="281" spans="1:20" x14ac:dyDescent="0.2">
      <c r="A281">
        <v>280</v>
      </c>
      <c r="B281">
        <v>500</v>
      </c>
      <c r="C281">
        <v>10</v>
      </c>
      <c r="D281">
        <v>0.1</v>
      </c>
      <c r="E281">
        <v>20</v>
      </c>
      <c r="F281">
        <v>100</v>
      </c>
      <c r="G281">
        <v>90</v>
      </c>
      <c r="H281">
        <v>0.05</v>
      </c>
      <c r="I281">
        <v>5</v>
      </c>
      <c r="J281">
        <f t="shared" si="40"/>
        <v>1</v>
      </c>
      <c r="K281">
        <f t="shared" si="41"/>
        <v>1</v>
      </c>
      <c r="L281">
        <f t="shared" si="42"/>
        <v>1</v>
      </c>
      <c r="M281">
        <f t="shared" si="49"/>
        <v>1</v>
      </c>
      <c r="N281">
        <f t="shared" si="43"/>
        <v>1</v>
      </c>
      <c r="O281">
        <f t="shared" si="44"/>
        <v>0</v>
      </c>
      <c r="P281">
        <f t="shared" si="45"/>
        <v>1</v>
      </c>
      <c r="Q281">
        <f t="shared" si="46"/>
        <v>1</v>
      </c>
      <c r="R281">
        <f t="shared" si="47"/>
        <v>7</v>
      </c>
      <c r="S281" t="s">
        <v>125</v>
      </c>
      <c r="T281">
        <f t="shared" si="48"/>
        <v>5</v>
      </c>
    </row>
    <row r="282" spans="1:20" x14ac:dyDescent="0.2">
      <c r="A282">
        <v>281</v>
      </c>
      <c r="B282">
        <v>500</v>
      </c>
      <c r="C282">
        <v>10</v>
      </c>
      <c r="D282" t="s">
        <v>1365</v>
      </c>
      <c r="E282">
        <v>20</v>
      </c>
      <c r="F282">
        <v>100</v>
      </c>
      <c r="G282" s="3">
        <v>0.9</v>
      </c>
      <c r="H282">
        <v>0.05</v>
      </c>
      <c r="I282" t="s">
        <v>104</v>
      </c>
      <c r="J282">
        <f t="shared" si="40"/>
        <v>1</v>
      </c>
      <c r="K282">
        <f t="shared" si="41"/>
        <v>1</v>
      </c>
      <c r="L282">
        <f t="shared" si="42"/>
        <v>0</v>
      </c>
      <c r="M282">
        <f t="shared" si="49"/>
        <v>1</v>
      </c>
      <c r="N282">
        <f t="shared" si="43"/>
        <v>1</v>
      </c>
      <c r="O282">
        <f t="shared" si="44"/>
        <v>0</v>
      </c>
      <c r="P282">
        <f t="shared" si="45"/>
        <v>1</v>
      </c>
      <c r="Q282">
        <f t="shared" si="46"/>
        <v>1</v>
      </c>
      <c r="R282">
        <f t="shared" si="47"/>
        <v>6</v>
      </c>
      <c r="S282" t="s">
        <v>111</v>
      </c>
      <c r="T282">
        <f t="shared" si="48"/>
        <v>4</v>
      </c>
    </row>
    <row r="283" spans="1:20" x14ac:dyDescent="0.2">
      <c r="A283">
        <v>282</v>
      </c>
      <c r="B283" t="s">
        <v>1371</v>
      </c>
      <c r="C283" t="s">
        <v>1372</v>
      </c>
      <c r="D283" s="4">
        <v>1E-3</v>
      </c>
      <c r="E283">
        <v>20</v>
      </c>
      <c r="F283" t="s">
        <v>1373</v>
      </c>
      <c r="G283" t="s">
        <v>1374</v>
      </c>
      <c r="H283" t="s">
        <v>1375</v>
      </c>
      <c r="I283" t="s">
        <v>232</v>
      </c>
      <c r="J283">
        <v>1</v>
      </c>
      <c r="K283">
        <v>1</v>
      </c>
      <c r="L283">
        <f t="shared" si="42"/>
        <v>1</v>
      </c>
      <c r="M283">
        <f t="shared" si="49"/>
        <v>1</v>
      </c>
      <c r="N283">
        <v>1</v>
      </c>
      <c r="O283">
        <f t="shared" si="44"/>
        <v>0</v>
      </c>
      <c r="P283">
        <f t="shared" si="45"/>
        <v>0</v>
      </c>
      <c r="Q283">
        <f t="shared" si="46"/>
        <v>0</v>
      </c>
      <c r="R283">
        <f t="shared" si="47"/>
        <v>5</v>
      </c>
      <c r="S283" t="s">
        <v>125</v>
      </c>
      <c r="T283">
        <f t="shared" si="48"/>
        <v>5</v>
      </c>
    </row>
    <row r="284" spans="1:20" x14ac:dyDescent="0.2">
      <c r="A284">
        <v>283</v>
      </c>
      <c r="B284">
        <v>500</v>
      </c>
      <c r="C284">
        <v>10</v>
      </c>
      <c r="D284" s="4">
        <v>1E-3</v>
      </c>
      <c r="E284">
        <v>20</v>
      </c>
      <c r="F284">
        <v>100</v>
      </c>
      <c r="G284" s="3">
        <v>0.5</v>
      </c>
      <c r="H284" s="5">
        <v>0.05</v>
      </c>
      <c r="I284" t="s">
        <v>104</v>
      </c>
      <c r="J284">
        <f t="shared" si="40"/>
        <v>1</v>
      </c>
      <c r="K284">
        <f t="shared" si="41"/>
        <v>1</v>
      </c>
      <c r="L284">
        <f t="shared" si="42"/>
        <v>1</v>
      </c>
      <c r="M284">
        <f t="shared" si="49"/>
        <v>1</v>
      </c>
      <c r="N284">
        <f t="shared" si="43"/>
        <v>1</v>
      </c>
      <c r="O284">
        <f t="shared" si="44"/>
        <v>1</v>
      </c>
      <c r="P284">
        <f t="shared" si="45"/>
        <v>1</v>
      </c>
      <c r="Q284">
        <f t="shared" si="46"/>
        <v>1</v>
      </c>
      <c r="R284">
        <f t="shared" si="47"/>
        <v>8</v>
      </c>
      <c r="S284" t="s">
        <v>111</v>
      </c>
      <c r="T284">
        <f t="shared" si="48"/>
        <v>6</v>
      </c>
    </row>
    <row r="285" spans="1:20" x14ac:dyDescent="0.2">
      <c r="A285">
        <v>284</v>
      </c>
      <c r="B285">
        <v>500</v>
      </c>
      <c r="C285">
        <v>10</v>
      </c>
      <c r="D285" s="4">
        <v>1E-3</v>
      </c>
      <c r="E285" s="3">
        <v>0.2</v>
      </c>
      <c r="F285">
        <v>100</v>
      </c>
      <c r="G285">
        <v>18</v>
      </c>
      <c r="H285" t="s">
        <v>1384</v>
      </c>
      <c r="I285" t="s">
        <v>104</v>
      </c>
      <c r="J285">
        <f t="shared" si="40"/>
        <v>1</v>
      </c>
      <c r="K285">
        <f t="shared" si="41"/>
        <v>1</v>
      </c>
      <c r="L285">
        <f t="shared" si="42"/>
        <v>1</v>
      </c>
      <c r="M285">
        <f t="shared" si="49"/>
        <v>1</v>
      </c>
      <c r="N285">
        <f t="shared" si="43"/>
        <v>1</v>
      </c>
      <c r="O285">
        <f t="shared" si="44"/>
        <v>0</v>
      </c>
      <c r="P285">
        <f t="shared" si="45"/>
        <v>0</v>
      </c>
      <c r="Q285">
        <f t="shared" si="46"/>
        <v>1</v>
      </c>
      <c r="R285">
        <f t="shared" si="47"/>
        <v>6</v>
      </c>
      <c r="S285" t="s">
        <v>97</v>
      </c>
      <c r="T285">
        <f t="shared" si="48"/>
        <v>5</v>
      </c>
    </row>
    <row r="286" spans="1:20" x14ac:dyDescent="0.2">
      <c r="A286">
        <v>285</v>
      </c>
      <c r="B286">
        <v>500</v>
      </c>
      <c r="C286">
        <v>10</v>
      </c>
      <c r="D286" s="4">
        <v>1E-3</v>
      </c>
      <c r="E286">
        <v>20</v>
      </c>
      <c r="F286">
        <v>100</v>
      </c>
      <c r="G286" s="3">
        <v>0.5</v>
      </c>
      <c r="H286">
        <v>0.05</v>
      </c>
      <c r="I286" t="s">
        <v>266</v>
      </c>
      <c r="J286">
        <f t="shared" si="40"/>
        <v>1</v>
      </c>
      <c r="K286">
        <f t="shared" si="41"/>
        <v>1</v>
      </c>
      <c r="L286">
        <f t="shared" si="42"/>
        <v>1</v>
      </c>
      <c r="M286">
        <f t="shared" si="49"/>
        <v>1</v>
      </c>
      <c r="N286">
        <f t="shared" si="43"/>
        <v>1</v>
      </c>
      <c r="O286">
        <f t="shared" si="44"/>
        <v>1</v>
      </c>
      <c r="P286">
        <f t="shared" si="45"/>
        <v>1</v>
      </c>
      <c r="Q286">
        <f t="shared" si="46"/>
        <v>0</v>
      </c>
      <c r="R286">
        <f t="shared" si="47"/>
        <v>7</v>
      </c>
      <c r="S286" t="s">
        <v>97</v>
      </c>
      <c r="T286">
        <f t="shared" si="48"/>
        <v>6</v>
      </c>
    </row>
    <row r="287" spans="1:20" x14ac:dyDescent="0.2">
      <c r="A287">
        <v>286</v>
      </c>
      <c r="B287" t="s">
        <v>1393</v>
      </c>
      <c r="C287" t="s">
        <v>1394</v>
      </c>
      <c r="D287" t="s">
        <v>1395</v>
      </c>
      <c r="E287" t="s">
        <v>122</v>
      </c>
      <c r="F287">
        <v>100</v>
      </c>
      <c r="G287" t="s">
        <v>1396</v>
      </c>
      <c r="H287" t="s">
        <v>297</v>
      </c>
      <c r="I287" t="s">
        <v>266</v>
      </c>
      <c r="J287">
        <v>1</v>
      </c>
      <c r="K287">
        <v>1</v>
      </c>
      <c r="L287">
        <v>1</v>
      </c>
      <c r="M287">
        <v>1</v>
      </c>
      <c r="N287">
        <f t="shared" si="43"/>
        <v>1</v>
      </c>
      <c r="O287">
        <f t="shared" si="44"/>
        <v>0</v>
      </c>
      <c r="P287">
        <f t="shared" si="45"/>
        <v>0</v>
      </c>
      <c r="Q287">
        <f t="shared" si="46"/>
        <v>0</v>
      </c>
      <c r="R287">
        <f t="shared" si="47"/>
        <v>5</v>
      </c>
      <c r="S287" t="s">
        <v>125</v>
      </c>
      <c r="T287">
        <f t="shared" si="48"/>
        <v>5</v>
      </c>
    </row>
    <row r="288" spans="1:20" x14ac:dyDescent="0.2">
      <c r="A288">
        <v>287</v>
      </c>
      <c r="B288">
        <v>790</v>
      </c>
      <c r="C288">
        <v>130</v>
      </c>
      <c r="D288">
        <v>10</v>
      </c>
      <c r="E288">
        <v>20</v>
      </c>
      <c r="F288">
        <v>100</v>
      </c>
      <c r="G288" t="s">
        <v>1401</v>
      </c>
      <c r="H288">
        <v>0.1</v>
      </c>
      <c r="I288">
        <v>5</v>
      </c>
      <c r="J288">
        <f t="shared" si="40"/>
        <v>0</v>
      </c>
      <c r="K288">
        <f t="shared" si="41"/>
        <v>0</v>
      </c>
      <c r="L288">
        <f t="shared" si="42"/>
        <v>0</v>
      </c>
      <c r="M288">
        <f t="shared" si="49"/>
        <v>1</v>
      </c>
      <c r="N288">
        <f t="shared" si="43"/>
        <v>1</v>
      </c>
      <c r="O288">
        <f t="shared" si="44"/>
        <v>0</v>
      </c>
      <c r="P288">
        <f t="shared" si="45"/>
        <v>0</v>
      </c>
      <c r="Q288">
        <f t="shared" si="46"/>
        <v>1</v>
      </c>
      <c r="R288">
        <f t="shared" si="47"/>
        <v>3</v>
      </c>
      <c r="S288" t="s">
        <v>111</v>
      </c>
      <c r="T288">
        <f t="shared" si="48"/>
        <v>2</v>
      </c>
    </row>
    <row r="289" spans="1:20" x14ac:dyDescent="0.2">
      <c r="A289">
        <v>288</v>
      </c>
      <c r="B289">
        <v>500</v>
      </c>
      <c r="C289">
        <v>10</v>
      </c>
      <c r="D289" s="4">
        <v>1E-3</v>
      </c>
      <c r="E289">
        <v>20</v>
      </c>
      <c r="F289">
        <v>100</v>
      </c>
      <c r="G289">
        <v>5</v>
      </c>
      <c r="H289">
        <v>0.05</v>
      </c>
      <c r="I289" t="s">
        <v>104</v>
      </c>
      <c r="J289">
        <f t="shared" si="40"/>
        <v>1</v>
      </c>
      <c r="K289">
        <f t="shared" si="41"/>
        <v>1</v>
      </c>
      <c r="L289">
        <f t="shared" si="42"/>
        <v>1</v>
      </c>
      <c r="M289">
        <f t="shared" si="49"/>
        <v>1</v>
      </c>
      <c r="N289">
        <f t="shared" si="43"/>
        <v>1</v>
      </c>
      <c r="O289">
        <f t="shared" si="44"/>
        <v>0</v>
      </c>
      <c r="P289">
        <f t="shared" si="45"/>
        <v>1</v>
      </c>
      <c r="Q289">
        <f t="shared" si="46"/>
        <v>1</v>
      </c>
      <c r="R289">
        <f t="shared" si="47"/>
        <v>7</v>
      </c>
      <c r="S289" t="s">
        <v>125</v>
      </c>
      <c r="T289">
        <f t="shared" si="48"/>
        <v>5</v>
      </c>
    </row>
    <row r="290" spans="1:20" x14ac:dyDescent="0.2">
      <c r="A290">
        <v>289</v>
      </c>
      <c r="B290">
        <v>500</v>
      </c>
      <c r="C290">
        <v>1</v>
      </c>
      <c r="D290">
        <v>1</v>
      </c>
      <c r="E290">
        <v>20</v>
      </c>
      <c r="F290">
        <v>100</v>
      </c>
      <c r="G290">
        <v>10</v>
      </c>
      <c r="H290">
        <v>0.1</v>
      </c>
      <c r="I290">
        <v>100</v>
      </c>
      <c r="J290">
        <f t="shared" si="40"/>
        <v>1</v>
      </c>
      <c r="K290">
        <f t="shared" si="41"/>
        <v>0</v>
      </c>
      <c r="L290">
        <f t="shared" si="42"/>
        <v>0</v>
      </c>
      <c r="M290">
        <f t="shared" si="49"/>
        <v>1</v>
      </c>
      <c r="N290">
        <f t="shared" si="43"/>
        <v>1</v>
      </c>
      <c r="O290">
        <f t="shared" si="44"/>
        <v>0</v>
      </c>
      <c r="P290">
        <f t="shared" si="45"/>
        <v>0</v>
      </c>
      <c r="Q290">
        <f t="shared" si="46"/>
        <v>0</v>
      </c>
      <c r="R290">
        <f t="shared" si="47"/>
        <v>3</v>
      </c>
      <c r="S290" t="s">
        <v>97</v>
      </c>
      <c r="T290">
        <f t="shared" si="48"/>
        <v>3</v>
      </c>
    </row>
    <row r="291" spans="1:20" x14ac:dyDescent="0.2">
      <c r="A291">
        <v>290</v>
      </c>
      <c r="B291">
        <v>500</v>
      </c>
      <c r="C291">
        <v>10</v>
      </c>
      <c r="D291">
        <v>0.1</v>
      </c>
      <c r="E291">
        <v>20</v>
      </c>
      <c r="F291">
        <v>100</v>
      </c>
      <c r="G291">
        <v>10</v>
      </c>
      <c r="H291">
        <v>0.1</v>
      </c>
      <c r="I291" t="s">
        <v>136</v>
      </c>
      <c r="J291">
        <f t="shared" si="40"/>
        <v>1</v>
      </c>
      <c r="K291">
        <f t="shared" si="41"/>
        <v>1</v>
      </c>
      <c r="L291">
        <f t="shared" si="42"/>
        <v>1</v>
      </c>
      <c r="M291">
        <f t="shared" si="49"/>
        <v>1</v>
      </c>
      <c r="N291">
        <f t="shared" si="43"/>
        <v>1</v>
      </c>
      <c r="O291">
        <f t="shared" si="44"/>
        <v>0</v>
      </c>
      <c r="P291">
        <f t="shared" si="45"/>
        <v>0</v>
      </c>
      <c r="Q291">
        <v>1</v>
      </c>
      <c r="R291">
        <f t="shared" si="47"/>
        <v>6</v>
      </c>
      <c r="S291" t="s">
        <v>111</v>
      </c>
      <c r="T291">
        <f t="shared" si="48"/>
        <v>5</v>
      </c>
    </row>
    <row r="292" spans="1:20" x14ac:dyDescent="0.2">
      <c r="A292">
        <v>291</v>
      </c>
      <c r="B292">
        <v>500</v>
      </c>
      <c r="C292">
        <v>10</v>
      </c>
      <c r="D292">
        <v>0.1</v>
      </c>
      <c r="E292">
        <v>20</v>
      </c>
      <c r="F292">
        <v>100</v>
      </c>
      <c r="G292" s="3">
        <v>0.5</v>
      </c>
      <c r="H292">
        <v>0.05</v>
      </c>
      <c r="I292">
        <v>5</v>
      </c>
      <c r="J292">
        <f t="shared" si="40"/>
        <v>1</v>
      </c>
      <c r="K292">
        <f t="shared" si="41"/>
        <v>1</v>
      </c>
      <c r="L292">
        <f t="shared" si="42"/>
        <v>1</v>
      </c>
      <c r="M292">
        <f t="shared" si="49"/>
        <v>1</v>
      </c>
      <c r="N292">
        <f t="shared" si="43"/>
        <v>1</v>
      </c>
      <c r="O292">
        <f t="shared" si="44"/>
        <v>1</v>
      </c>
      <c r="P292">
        <f t="shared" si="45"/>
        <v>1</v>
      </c>
      <c r="Q292">
        <f t="shared" si="46"/>
        <v>1</v>
      </c>
      <c r="R292">
        <f t="shared" si="47"/>
        <v>8</v>
      </c>
      <c r="S292" t="s">
        <v>105</v>
      </c>
      <c r="T292">
        <f t="shared" si="48"/>
        <v>6</v>
      </c>
    </row>
    <row r="293" spans="1:20" x14ac:dyDescent="0.2">
      <c r="A293">
        <v>292</v>
      </c>
      <c r="B293">
        <v>500</v>
      </c>
      <c r="C293">
        <v>10</v>
      </c>
      <c r="D293" s="4">
        <v>1E-3</v>
      </c>
      <c r="E293" s="3">
        <v>0.2</v>
      </c>
      <c r="F293">
        <v>100</v>
      </c>
      <c r="G293" s="3">
        <v>0.1</v>
      </c>
      <c r="H293">
        <v>0.1</v>
      </c>
      <c r="I293" t="s">
        <v>1422</v>
      </c>
      <c r="J293">
        <f t="shared" si="40"/>
        <v>1</v>
      </c>
      <c r="K293">
        <f t="shared" si="41"/>
        <v>1</v>
      </c>
      <c r="L293">
        <f t="shared" si="42"/>
        <v>1</v>
      </c>
      <c r="M293">
        <f t="shared" si="49"/>
        <v>1</v>
      </c>
      <c r="N293">
        <f t="shared" si="43"/>
        <v>1</v>
      </c>
      <c r="O293">
        <f t="shared" si="44"/>
        <v>0</v>
      </c>
      <c r="P293">
        <f t="shared" si="45"/>
        <v>0</v>
      </c>
      <c r="Q293">
        <f t="shared" si="46"/>
        <v>0</v>
      </c>
      <c r="R293">
        <f t="shared" si="47"/>
        <v>5</v>
      </c>
      <c r="S293" t="s">
        <v>111</v>
      </c>
      <c r="T293">
        <f t="shared" si="48"/>
        <v>5</v>
      </c>
    </row>
    <row r="294" spans="1:20" x14ac:dyDescent="0.2">
      <c r="A294">
        <v>293</v>
      </c>
      <c r="B294">
        <v>333</v>
      </c>
      <c r="C294">
        <v>100</v>
      </c>
      <c r="D294">
        <v>1</v>
      </c>
      <c r="E294">
        <v>20</v>
      </c>
      <c r="F294">
        <v>100</v>
      </c>
      <c r="G294" s="3">
        <v>0.9</v>
      </c>
      <c r="H294">
        <v>0.1</v>
      </c>
      <c r="I294">
        <v>100</v>
      </c>
      <c r="J294">
        <f t="shared" si="40"/>
        <v>0</v>
      </c>
      <c r="K294">
        <f t="shared" si="41"/>
        <v>0</v>
      </c>
      <c r="L294">
        <f t="shared" si="42"/>
        <v>0</v>
      </c>
      <c r="M294">
        <f t="shared" si="49"/>
        <v>1</v>
      </c>
      <c r="N294">
        <f t="shared" si="43"/>
        <v>1</v>
      </c>
      <c r="O294">
        <f t="shared" si="44"/>
        <v>0</v>
      </c>
      <c r="P294">
        <f t="shared" si="45"/>
        <v>0</v>
      </c>
      <c r="Q294">
        <f t="shared" si="46"/>
        <v>0</v>
      </c>
      <c r="R294">
        <f t="shared" si="47"/>
        <v>2</v>
      </c>
      <c r="S294" t="s">
        <v>97</v>
      </c>
      <c r="T294">
        <f t="shared" si="48"/>
        <v>2</v>
      </c>
    </row>
    <row r="295" spans="1:20" x14ac:dyDescent="0.2">
      <c r="A295">
        <v>294</v>
      </c>
      <c r="B295" t="s">
        <v>1431</v>
      </c>
      <c r="C295" t="s">
        <v>1432</v>
      </c>
      <c r="D295" t="s">
        <v>1433</v>
      </c>
      <c r="E295" t="s">
        <v>1434</v>
      </c>
      <c r="F295" t="s">
        <v>1435</v>
      </c>
      <c r="G295" t="s">
        <v>1436</v>
      </c>
      <c r="H295">
        <v>0.05</v>
      </c>
      <c r="I295" t="s">
        <v>160</v>
      </c>
      <c r="J295">
        <v>1</v>
      </c>
      <c r="K295">
        <v>1</v>
      </c>
      <c r="L295">
        <v>1</v>
      </c>
      <c r="M295">
        <v>1</v>
      </c>
      <c r="N295">
        <v>1</v>
      </c>
      <c r="O295">
        <f t="shared" si="44"/>
        <v>0</v>
      </c>
      <c r="P295">
        <f t="shared" si="45"/>
        <v>1</v>
      </c>
      <c r="Q295">
        <v>1</v>
      </c>
      <c r="R295">
        <f t="shared" si="47"/>
        <v>7</v>
      </c>
      <c r="S295" t="s">
        <v>111</v>
      </c>
      <c r="T295">
        <f t="shared" si="48"/>
        <v>5</v>
      </c>
    </row>
    <row r="296" spans="1:20" x14ac:dyDescent="0.2">
      <c r="A296">
        <v>295</v>
      </c>
      <c r="B296">
        <v>500</v>
      </c>
      <c r="C296">
        <v>10</v>
      </c>
      <c r="D296">
        <v>0.1</v>
      </c>
      <c r="E296">
        <v>20</v>
      </c>
      <c r="F296">
        <v>100</v>
      </c>
      <c r="G296" s="3">
        <v>0.9</v>
      </c>
      <c r="H296">
        <v>0.05</v>
      </c>
      <c r="I296" t="s">
        <v>104</v>
      </c>
      <c r="J296">
        <f t="shared" si="40"/>
        <v>1</v>
      </c>
      <c r="K296">
        <f t="shared" si="41"/>
        <v>1</v>
      </c>
      <c r="L296">
        <f t="shared" si="42"/>
        <v>1</v>
      </c>
      <c r="M296">
        <f t="shared" si="49"/>
        <v>1</v>
      </c>
      <c r="N296">
        <f t="shared" si="43"/>
        <v>1</v>
      </c>
      <c r="O296">
        <f t="shared" si="44"/>
        <v>0</v>
      </c>
      <c r="P296">
        <f t="shared" si="45"/>
        <v>1</v>
      </c>
      <c r="Q296">
        <f t="shared" si="46"/>
        <v>1</v>
      </c>
      <c r="R296">
        <f t="shared" si="47"/>
        <v>7</v>
      </c>
      <c r="S296" t="s">
        <v>97</v>
      </c>
      <c r="T296">
        <f t="shared" si="48"/>
        <v>5</v>
      </c>
    </row>
    <row r="297" spans="1:20" x14ac:dyDescent="0.2">
      <c r="A297">
        <v>296</v>
      </c>
      <c r="B297">
        <v>505</v>
      </c>
      <c r="C297">
        <v>10</v>
      </c>
      <c r="D297">
        <v>0.01</v>
      </c>
      <c r="E297">
        <v>20</v>
      </c>
      <c r="F297">
        <v>100</v>
      </c>
      <c r="G297">
        <v>18</v>
      </c>
      <c r="H297">
        <v>0.05</v>
      </c>
      <c r="I297">
        <v>5</v>
      </c>
      <c r="J297">
        <f t="shared" si="40"/>
        <v>0</v>
      </c>
      <c r="K297">
        <f t="shared" si="41"/>
        <v>1</v>
      </c>
      <c r="L297">
        <f t="shared" si="42"/>
        <v>0</v>
      </c>
      <c r="M297">
        <f t="shared" si="49"/>
        <v>1</v>
      </c>
      <c r="N297">
        <f t="shared" si="43"/>
        <v>1</v>
      </c>
      <c r="O297">
        <f t="shared" si="44"/>
        <v>0</v>
      </c>
      <c r="P297">
        <f t="shared" si="45"/>
        <v>1</v>
      </c>
      <c r="Q297">
        <f t="shared" si="46"/>
        <v>1</v>
      </c>
      <c r="R297">
        <f t="shared" si="47"/>
        <v>5</v>
      </c>
      <c r="S297" t="s">
        <v>105</v>
      </c>
      <c r="T297">
        <f t="shared" si="48"/>
        <v>3</v>
      </c>
    </row>
    <row r="298" spans="1:20" x14ac:dyDescent="0.2">
      <c r="A298">
        <v>297</v>
      </c>
      <c r="B298">
        <v>500</v>
      </c>
      <c r="C298">
        <v>10</v>
      </c>
      <c r="D298">
        <v>0.1</v>
      </c>
      <c r="E298">
        <v>20</v>
      </c>
      <c r="F298">
        <v>100</v>
      </c>
      <c r="G298" s="3">
        <v>0.18</v>
      </c>
      <c r="H298">
        <v>0.1</v>
      </c>
      <c r="I298">
        <v>100</v>
      </c>
      <c r="J298">
        <f t="shared" si="40"/>
        <v>1</v>
      </c>
      <c r="K298">
        <f t="shared" si="41"/>
        <v>1</v>
      </c>
      <c r="L298">
        <f t="shared" si="42"/>
        <v>1</v>
      </c>
      <c r="M298">
        <f t="shared" si="49"/>
        <v>1</v>
      </c>
      <c r="N298">
        <f t="shared" si="43"/>
        <v>1</v>
      </c>
      <c r="O298">
        <f t="shared" si="44"/>
        <v>0</v>
      </c>
      <c r="P298">
        <f t="shared" si="45"/>
        <v>0</v>
      </c>
      <c r="Q298">
        <f t="shared" si="46"/>
        <v>0</v>
      </c>
      <c r="R298">
        <f t="shared" si="47"/>
        <v>5</v>
      </c>
      <c r="S298" t="s">
        <v>111</v>
      </c>
      <c r="T298">
        <f t="shared" si="48"/>
        <v>5</v>
      </c>
    </row>
    <row r="299" spans="1:20" x14ac:dyDescent="0.2">
      <c r="A299">
        <v>298</v>
      </c>
      <c r="B299">
        <v>500</v>
      </c>
      <c r="C299">
        <v>10</v>
      </c>
      <c r="D299">
        <v>0.1</v>
      </c>
      <c r="E299">
        <v>20</v>
      </c>
      <c r="F299">
        <v>100</v>
      </c>
      <c r="G299" s="3">
        <v>0.9</v>
      </c>
      <c r="H299">
        <v>0.1</v>
      </c>
      <c r="I299" t="s">
        <v>104</v>
      </c>
      <c r="J299">
        <f t="shared" si="40"/>
        <v>1</v>
      </c>
      <c r="K299">
        <f t="shared" si="41"/>
        <v>1</v>
      </c>
      <c r="L299">
        <f t="shared" si="42"/>
        <v>1</v>
      </c>
      <c r="M299">
        <f t="shared" si="49"/>
        <v>1</v>
      </c>
      <c r="N299">
        <f t="shared" si="43"/>
        <v>1</v>
      </c>
      <c r="O299">
        <f t="shared" si="44"/>
        <v>0</v>
      </c>
      <c r="P299">
        <f t="shared" si="45"/>
        <v>0</v>
      </c>
      <c r="Q299">
        <f t="shared" si="46"/>
        <v>1</v>
      </c>
      <c r="R299">
        <f t="shared" si="47"/>
        <v>6</v>
      </c>
      <c r="S299" t="s">
        <v>111</v>
      </c>
      <c r="T299">
        <f t="shared" si="48"/>
        <v>5</v>
      </c>
    </row>
    <row r="300" spans="1:20" x14ac:dyDescent="0.2">
      <c r="A300">
        <v>299</v>
      </c>
      <c r="B300">
        <v>500</v>
      </c>
      <c r="C300">
        <v>10</v>
      </c>
      <c r="D300" s="3">
        <v>0.01</v>
      </c>
      <c r="E300">
        <v>20</v>
      </c>
      <c r="F300">
        <v>100</v>
      </c>
      <c r="G300" s="3">
        <v>0.5</v>
      </c>
      <c r="H300" s="5">
        <v>0.05</v>
      </c>
      <c r="I300" t="s">
        <v>104</v>
      </c>
      <c r="J300">
        <f t="shared" si="40"/>
        <v>1</v>
      </c>
      <c r="K300">
        <f t="shared" si="41"/>
        <v>1</v>
      </c>
      <c r="L300">
        <f t="shared" si="42"/>
        <v>0</v>
      </c>
      <c r="M300">
        <f t="shared" si="49"/>
        <v>1</v>
      </c>
      <c r="N300">
        <f t="shared" si="43"/>
        <v>1</v>
      </c>
      <c r="O300">
        <f t="shared" si="44"/>
        <v>1</v>
      </c>
      <c r="P300">
        <f t="shared" si="45"/>
        <v>1</v>
      </c>
      <c r="Q300">
        <f t="shared" si="46"/>
        <v>1</v>
      </c>
      <c r="R300">
        <f t="shared" si="47"/>
        <v>7</v>
      </c>
      <c r="S300" t="s">
        <v>125</v>
      </c>
      <c r="T300">
        <f t="shared" si="48"/>
        <v>5</v>
      </c>
    </row>
    <row r="301" spans="1:20" x14ac:dyDescent="0.2">
      <c r="A301">
        <v>300</v>
      </c>
      <c r="B301">
        <v>500</v>
      </c>
      <c r="C301">
        <v>10</v>
      </c>
      <c r="D301">
        <v>0.1</v>
      </c>
      <c r="E301">
        <v>20</v>
      </c>
      <c r="F301">
        <v>100</v>
      </c>
      <c r="G301" s="3">
        <v>0.9</v>
      </c>
      <c r="H301">
        <v>0.1</v>
      </c>
      <c r="I301" t="s">
        <v>104</v>
      </c>
      <c r="J301">
        <f t="shared" si="40"/>
        <v>1</v>
      </c>
      <c r="K301">
        <f t="shared" si="41"/>
        <v>1</v>
      </c>
      <c r="L301">
        <f t="shared" si="42"/>
        <v>1</v>
      </c>
      <c r="M301">
        <f t="shared" si="49"/>
        <v>1</v>
      </c>
      <c r="N301">
        <f t="shared" si="43"/>
        <v>1</v>
      </c>
      <c r="O301">
        <f t="shared" si="44"/>
        <v>0</v>
      </c>
      <c r="P301">
        <f t="shared" si="45"/>
        <v>0</v>
      </c>
      <c r="Q301">
        <f t="shared" si="46"/>
        <v>1</v>
      </c>
      <c r="R301">
        <f t="shared" si="47"/>
        <v>6</v>
      </c>
      <c r="S301" t="s">
        <v>111</v>
      </c>
      <c r="T301">
        <f t="shared" si="48"/>
        <v>5</v>
      </c>
    </row>
    <row r="302" spans="1:20" x14ac:dyDescent="0.2">
      <c r="A302">
        <v>301</v>
      </c>
      <c r="B302">
        <v>500</v>
      </c>
      <c r="C302">
        <v>10</v>
      </c>
      <c r="D302">
        <v>0.01</v>
      </c>
      <c r="E302">
        <v>20</v>
      </c>
      <c r="F302">
        <v>100</v>
      </c>
      <c r="G302" s="3">
        <v>0.8</v>
      </c>
      <c r="H302" t="s">
        <v>159</v>
      </c>
      <c r="I302">
        <v>100</v>
      </c>
      <c r="J302">
        <f t="shared" si="40"/>
        <v>1</v>
      </c>
      <c r="K302">
        <f t="shared" si="41"/>
        <v>1</v>
      </c>
      <c r="L302">
        <f t="shared" si="42"/>
        <v>0</v>
      </c>
      <c r="M302">
        <f t="shared" si="49"/>
        <v>1</v>
      </c>
      <c r="N302">
        <f t="shared" si="43"/>
        <v>1</v>
      </c>
      <c r="O302">
        <f t="shared" si="44"/>
        <v>0</v>
      </c>
      <c r="P302">
        <f t="shared" si="45"/>
        <v>1</v>
      </c>
      <c r="Q302">
        <f t="shared" si="46"/>
        <v>0</v>
      </c>
      <c r="R302">
        <f t="shared" si="47"/>
        <v>5</v>
      </c>
      <c r="S302" t="s">
        <v>125</v>
      </c>
      <c r="T302">
        <f t="shared" si="48"/>
        <v>4</v>
      </c>
    </row>
    <row r="303" spans="1:20" x14ac:dyDescent="0.2">
      <c r="A303">
        <v>302</v>
      </c>
      <c r="B303">
        <v>700</v>
      </c>
      <c r="C303">
        <v>10</v>
      </c>
      <c r="D303">
        <v>1</v>
      </c>
      <c r="E303">
        <v>20</v>
      </c>
      <c r="F303">
        <v>100</v>
      </c>
      <c r="G303">
        <v>9</v>
      </c>
      <c r="H303">
        <v>0.1</v>
      </c>
      <c r="I303">
        <v>100</v>
      </c>
      <c r="J303">
        <f t="shared" si="40"/>
        <v>0</v>
      </c>
      <c r="K303">
        <f t="shared" si="41"/>
        <v>1</v>
      </c>
      <c r="L303">
        <f t="shared" si="42"/>
        <v>0</v>
      </c>
      <c r="M303">
        <f t="shared" si="49"/>
        <v>1</v>
      </c>
      <c r="N303">
        <f t="shared" si="43"/>
        <v>1</v>
      </c>
      <c r="O303">
        <f t="shared" si="44"/>
        <v>0</v>
      </c>
      <c r="P303">
        <f t="shared" si="45"/>
        <v>0</v>
      </c>
      <c r="Q303">
        <f t="shared" si="46"/>
        <v>0</v>
      </c>
      <c r="R303">
        <f t="shared" si="47"/>
        <v>3</v>
      </c>
      <c r="S303" t="s">
        <v>125</v>
      </c>
      <c r="T303">
        <f t="shared" si="48"/>
        <v>3</v>
      </c>
    </row>
    <row r="304" spans="1:20" x14ac:dyDescent="0.2">
      <c r="A304">
        <v>303</v>
      </c>
      <c r="B304">
        <v>500</v>
      </c>
      <c r="C304" s="3">
        <v>0.01</v>
      </c>
      <c r="D304" s="4">
        <v>1E-3</v>
      </c>
      <c r="E304">
        <v>20</v>
      </c>
      <c r="F304">
        <v>5</v>
      </c>
      <c r="G304" t="s">
        <v>1473</v>
      </c>
      <c r="H304">
        <v>0.05</v>
      </c>
      <c r="I304">
        <v>5</v>
      </c>
      <c r="J304">
        <f t="shared" si="40"/>
        <v>1</v>
      </c>
      <c r="K304">
        <f t="shared" si="41"/>
        <v>0</v>
      </c>
      <c r="L304">
        <f t="shared" si="42"/>
        <v>1</v>
      </c>
      <c r="M304">
        <f t="shared" si="49"/>
        <v>1</v>
      </c>
      <c r="N304">
        <f t="shared" si="43"/>
        <v>0</v>
      </c>
      <c r="O304">
        <f t="shared" si="44"/>
        <v>0</v>
      </c>
      <c r="P304">
        <f t="shared" si="45"/>
        <v>1</v>
      </c>
      <c r="Q304">
        <f t="shared" si="46"/>
        <v>1</v>
      </c>
      <c r="R304">
        <f t="shared" si="47"/>
        <v>5</v>
      </c>
      <c r="S304" t="s">
        <v>105</v>
      </c>
      <c r="T304">
        <f t="shared" si="48"/>
        <v>3</v>
      </c>
    </row>
    <row r="305" spans="1:20" x14ac:dyDescent="0.2">
      <c r="A305">
        <v>304</v>
      </c>
      <c r="B305">
        <v>500</v>
      </c>
      <c r="C305">
        <v>10</v>
      </c>
      <c r="D305">
        <v>0.1</v>
      </c>
      <c r="E305">
        <v>20</v>
      </c>
      <c r="F305">
        <v>1</v>
      </c>
      <c r="G305">
        <v>9</v>
      </c>
      <c r="H305">
        <v>0.05</v>
      </c>
      <c r="I305" t="s">
        <v>104</v>
      </c>
      <c r="J305">
        <f t="shared" si="40"/>
        <v>1</v>
      </c>
      <c r="K305">
        <f t="shared" si="41"/>
        <v>1</v>
      </c>
      <c r="L305">
        <f t="shared" si="42"/>
        <v>1</v>
      </c>
      <c r="M305">
        <f t="shared" si="49"/>
        <v>1</v>
      </c>
      <c r="N305">
        <f t="shared" si="43"/>
        <v>0</v>
      </c>
      <c r="O305">
        <f t="shared" si="44"/>
        <v>0</v>
      </c>
      <c r="P305">
        <f t="shared" si="45"/>
        <v>1</v>
      </c>
      <c r="Q305">
        <f t="shared" si="46"/>
        <v>1</v>
      </c>
      <c r="R305">
        <f t="shared" si="47"/>
        <v>6</v>
      </c>
      <c r="S305" t="s">
        <v>105</v>
      </c>
      <c r="T305">
        <f t="shared" si="48"/>
        <v>4</v>
      </c>
    </row>
    <row r="306" spans="1:20" x14ac:dyDescent="0.2">
      <c r="A306">
        <v>305</v>
      </c>
      <c r="B306">
        <v>500</v>
      </c>
      <c r="C306">
        <v>12</v>
      </c>
      <c r="D306">
        <v>1</v>
      </c>
      <c r="E306">
        <v>20</v>
      </c>
      <c r="F306">
        <v>100</v>
      </c>
      <c r="G306">
        <v>23</v>
      </c>
      <c r="H306">
        <v>0.05</v>
      </c>
      <c r="I306">
        <v>5</v>
      </c>
      <c r="J306">
        <f t="shared" si="40"/>
        <v>1</v>
      </c>
      <c r="K306">
        <f t="shared" si="41"/>
        <v>0</v>
      </c>
      <c r="L306">
        <f t="shared" si="42"/>
        <v>0</v>
      </c>
      <c r="M306">
        <f t="shared" si="49"/>
        <v>1</v>
      </c>
      <c r="N306">
        <f t="shared" si="43"/>
        <v>1</v>
      </c>
      <c r="O306">
        <f t="shared" si="44"/>
        <v>0</v>
      </c>
      <c r="P306">
        <f t="shared" si="45"/>
        <v>1</v>
      </c>
      <c r="Q306">
        <f t="shared" si="46"/>
        <v>1</v>
      </c>
      <c r="R306">
        <f t="shared" si="47"/>
        <v>5</v>
      </c>
      <c r="S306" t="s">
        <v>97</v>
      </c>
      <c r="T306">
        <f t="shared" si="48"/>
        <v>3</v>
      </c>
    </row>
    <row r="307" spans="1:20" x14ac:dyDescent="0.2">
      <c r="A307">
        <v>306</v>
      </c>
      <c r="B307" t="s">
        <v>1486</v>
      </c>
      <c r="C307">
        <v>10</v>
      </c>
      <c r="D307" s="4">
        <v>1E-3</v>
      </c>
      <c r="E307" s="3">
        <v>0.2</v>
      </c>
      <c r="F307">
        <v>100</v>
      </c>
      <c r="G307" s="3">
        <v>0.5</v>
      </c>
      <c r="H307">
        <v>0.1</v>
      </c>
      <c r="I307" t="s">
        <v>104</v>
      </c>
      <c r="J307">
        <v>1</v>
      </c>
      <c r="K307">
        <f t="shared" si="41"/>
        <v>1</v>
      </c>
      <c r="L307">
        <f t="shared" si="42"/>
        <v>1</v>
      </c>
      <c r="M307">
        <f t="shared" si="49"/>
        <v>1</v>
      </c>
      <c r="N307">
        <f t="shared" si="43"/>
        <v>1</v>
      </c>
      <c r="O307">
        <f t="shared" si="44"/>
        <v>1</v>
      </c>
      <c r="P307">
        <f t="shared" si="45"/>
        <v>0</v>
      </c>
      <c r="Q307">
        <f t="shared" si="46"/>
        <v>1</v>
      </c>
      <c r="R307">
        <f t="shared" si="47"/>
        <v>7</v>
      </c>
      <c r="S307" t="s">
        <v>125</v>
      </c>
      <c r="T307">
        <f t="shared" si="48"/>
        <v>6</v>
      </c>
    </row>
    <row r="308" spans="1:20" x14ac:dyDescent="0.2">
      <c r="A308">
        <v>307</v>
      </c>
      <c r="B308">
        <v>500</v>
      </c>
      <c r="C308">
        <v>10</v>
      </c>
      <c r="D308" s="4">
        <v>1E-3</v>
      </c>
      <c r="E308">
        <v>20</v>
      </c>
      <c r="F308">
        <v>100</v>
      </c>
      <c r="G308" s="3">
        <v>0.45</v>
      </c>
      <c r="H308">
        <v>0.05</v>
      </c>
      <c r="I308" t="s">
        <v>104</v>
      </c>
      <c r="J308">
        <f t="shared" si="40"/>
        <v>1</v>
      </c>
      <c r="K308">
        <f t="shared" si="41"/>
        <v>1</v>
      </c>
      <c r="L308">
        <f t="shared" si="42"/>
        <v>1</v>
      </c>
      <c r="M308">
        <f t="shared" si="49"/>
        <v>1</v>
      </c>
      <c r="N308">
        <f t="shared" si="43"/>
        <v>1</v>
      </c>
      <c r="O308">
        <f t="shared" si="44"/>
        <v>0</v>
      </c>
      <c r="P308">
        <f t="shared" si="45"/>
        <v>1</v>
      </c>
      <c r="Q308">
        <f t="shared" si="46"/>
        <v>1</v>
      </c>
      <c r="R308">
        <f t="shared" si="47"/>
        <v>7</v>
      </c>
      <c r="S308" t="s">
        <v>125</v>
      </c>
      <c r="T308">
        <f t="shared" si="48"/>
        <v>5</v>
      </c>
    </row>
    <row r="309" spans="1:20" x14ac:dyDescent="0.2">
      <c r="A309">
        <v>308</v>
      </c>
      <c r="B309">
        <v>500</v>
      </c>
      <c r="C309" t="s">
        <v>121</v>
      </c>
      <c r="D309" t="s">
        <v>121</v>
      </c>
      <c r="E309" t="s">
        <v>1495</v>
      </c>
      <c r="F309">
        <v>100</v>
      </c>
      <c r="G309" t="s">
        <v>121</v>
      </c>
      <c r="H309">
        <v>1.05</v>
      </c>
      <c r="I309" t="s">
        <v>136</v>
      </c>
      <c r="J309">
        <f t="shared" si="40"/>
        <v>1</v>
      </c>
      <c r="K309">
        <f t="shared" si="41"/>
        <v>0</v>
      </c>
      <c r="L309">
        <f t="shared" si="42"/>
        <v>0</v>
      </c>
      <c r="M309">
        <v>1</v>
      </c>
      <c r="N309">
        <f t="shared" si="43"/>
        <v>1</v>
      </c>
      <c r="O309">
        <f t="shared" si="44"/>
        <v>0</v>
      </c>
      <c r="P309">
        <f t="shared" si="45"/>
        <v>0</v>
      </c>
      <c r="Q309">
        <v>1</v>
      </c>
      <c r="R309">
        <f t="shared" si="47"/>
        <v>4</v>
      </c>
      <c r="S309" t="s">
        <v>111</v>
      </c>
      <c r="T309">
        <f t="shared" si="48"/>
        <v>3</v>
      </c>
    </row>
    <row r="310" spans="1:20" x14ac:dyDescent="0.2">
      <c r="A310">
        <v>309</v>
      </c>
      <c r="B310">
        <v>500</v>
      </c>
      <c r="C310">
        <v>10</v>
      </c>
      <c r="D310">
        <v>0.1</v>
      </c>
      <c r="E310">
        <v>20</v>
      </c>
      <c r="F310">
        <v>100</v>
      </c>
      <c r="G310" s="3">
        <v>0.5</v>
      </c>
      <c r="H310">
        <v>0.05</v>
      </c>
      <c r="I310">
        <v>5</v>
      </c>
      <c r="J310">
        <f t="shared" si="40"/>
        <v>1</v>
      </c>
      <c r="K310">
        <f t="shared" si="41"/>
        <v>1</v>
      </c>
      <c r="L310">
        <f t="shared" si="42"/>
        <v>1</v>
      </c>
      <c r="M310">
        <f t="shared" si="49"/>
        <v>1</v>
      </c>
      <c r="N310">
        <f t="shared" si="43"/>
        <v>1</v>
      </c>
      <c r="O310">
        <f t="shared" si="44"/>
        <v>1</v>
      </c>
      <c r="P310">
        <f t="shared" si="45"/>
        <v>1</v>
      </c>
      <c r="Q310">
        <f t="shared" si="46"/>
        <v>1</v>
      </c>
      <c r="R310">
        <f t="shared" si="47"/>
        <v>8</v>
      </c>
      <c r="S310" t="s">
        <v>125</v>
      </c>
      <c r="T310">
        <f t="shared" si="48"/>
        <v>6</v>
      </c>
    </row>
    <row r="311" spans="1:20" x14ac:dyDescent="0.2">
      <c r="A311">
        <v>310</v>
      </c>
      <c r="B311">
        <v>600</v>
      </c>
      <c r="C311">
        <v>1</v>
      </c>
      <c r="D311">
        <v>1</v>
      </c>
      <c r="E311">
        <v>20</v>
      </c>
      <c r="F311">
        <v>100</v>
      </c>
      <c r="G311">
        <v>10</v>
      </c>
      <c r="H311">
        <v>0.1</v>
      </c>
      <c r="I311">
        <v>100</v>
      </c>
      <c r="J311">
        <f t="shared" si="40"/>
        <v>0</v>
      </c>
      <c r="K311">
        <f t="shared" si="41"/>
        <v>0</v>
      </c>
      <c r="L311">
        <f t="shared" si="42"/>
        <v>0</v>
      </c>
      <c r="M311">
        <f t="shared" si="49"/>
        <v>1</v>
      </c>
      <c r="N311">
        <f t="shared" si="43"/>
        <v>1</v>
      </c>
      <c r="O311">
        <f t="shared" si="44"/>
        <v>0</v>
      </c>
      <c r="P311">
        <f t="shared" si="45"/>
        <v>0</v>
      </c>
      <c r="Q311">
        <f t="shared" si="46"/>
        <v>0</v>
      </c>
      <c r="R311">
        <f t="shared" si="47"/>
        <v>2</v>
      </c>
      <c r="S311" t="s">
        <v>97</v>
      </c>
      <c r="T311">
        <f t="shared" si="48"/>
        <v>2</v>
      </c>
    </row>
    <row r="312" spans="1:20" x14ac:dyDescent="0.2">
      <c r="A312">
        <v>311</v>
      </c>
      <c r="B312">
        <v>500</v>
      </c>
      <c r="C312">
        <v>10</v>
      </c>
      <c r="D312">
        <v>0.1</v>
      </c>
      <c r="E312">
        <v>20</v>
      </c>
      <c r="F312">
        <v>100</v>
      </c>
      <c r="G312">
        <v>90</v>
      </c>
      <c r="H312">
        <v>0.1</v>
      </c>
      <c r="I312">
        <v>20</v>
      </c>
      <c r="J312">
        <f t="shared" si="40"/>
        <v>1</v>
      </c>
      <c r="K312">
        <f t="shared" si="41"/>
        <v>1</v>
      </c>
      <c r="L312">
        <f t="shared" si="42"/>
        <v>1</v>
      </c>
      <c r="M312">
        <f t="shared" si="49"/>
        <v>1</v>
      </c>
      <c r="N312">
        <f t="shared" si="43"/>
        <v>1</v>
      </c>
      <c r="O312">
        <f t="shared" si="44"/>
        <v>0</v>
      </c>
      <c r="P312">
        <f t="shared" si="45"/>
        <v>0</v>
      </c>
      <c r="Q312">
        <f t="shared" si="46"/>
        <v>0</v>
      </c>
      <c r="R312">
        <f t="shared" si="47"/>
        <v>5</v>
      </c>
      <c r="S312" t="s">
        <v>105</v>
      </c>
      <c r="T312">
        <f t="shared" si="48"/>
        <v>5</v>
      </c>
    </row>
    <row r="313" spans="1:20" x14ac:dyDescent="0.2">
      <c r="A313">
        <v>312</v>
      </c>
      <c r="B313">
        <v>500</v>
      </c>
      <c r="C313">
        <v>10</v>
      </c>
      <c r="D313" t="s">
        <v>1512</v>
      </c>
      <c r="E313" t="s">
        <v>1513</v>
      </c>
      <c r="F313">
        <v>100</v>
      </c>
      <c r="G313" s="3">
        <v>0.5</v>
      </c>
      <c r="H313" s="5">
        <v>0.05</v>
      </c>
      <c r="I313">
        <v>5</v>
      </c>
      <c r="J313">
        <f t="shared" si="40"/>
        <v>1</v>
      </c>
      <c r="K313">
        <f t="shared" si="41"/>
        <v>1</v>
      </c>
      <c r="L313">
        <f t="shared" si="42"/>
        <v>0</v>
      </c>
      <c r="M313">
        <f t="shared" si="49"/>
        <v>0</v>
      </c>
      <c r="N313">
        <f t="shared" si="43"/>
        <v>1</v>
      </c>
      <c r="O313">
        <f t="shared" si="44"/>
        <v>1</v>
      </c>
      <c r="P313">
        <f t="shared" si="45"/>
        <v>1</v>
      </c>
      <c r="Q313">
        <f t="shared" si="46"/>
        <v>1</v>
      </c>
      <c r="R313">
        <f t="shared" si="47"/>
        <v>6</v>
      </c>
      <c r="S313" t="s">
        <v>111</v>
      </c>
      <c r="T313">
        <f t="shared" si="48"/>
        <v>4</v>
      </c>
    </row>
    <row r="314" spans="1:20" ht="34" x14ac:dyDescent="0.2">
      <c r="A314">
        <v>313</v>
      </c>
      <c r="B314" s="1" t="s">
        <v>1518</v>
      </c>
      <c r="C314">
        <v>1</v>
      </c>
      <c r="D314">
        <v>0.1</v>
      </c>
      <c r="E314">
        <v>2</v>
      </c>
      <c r="F314">
        <v>1</v>
      </c>
      <c r="G314">
        <v>10</v>
      </c>
      <c r="H314">
        <v>0.1</v>
      </c>
      <c r="I314">
        <v>100</v>
      </c>
      <c r="J314">
        <v>1</v>
      </c>
      <c r="K314">
        <f t="shared" si="41"/>
        <v>0</v>
      </c>
      <c r="L314">
        <f t="shared" si="42"/>
        <v>1</v>
      </c>
      <c r="M314">
        <f t="shared" si="49"/>
        <v>0</v>
      </c>
      <c r="N314">
        <f t="shared" si="43"/>
        <v>0</v>
      </c>
      <c r="O314">
        <f t="shared" si="44"/>
        <v>0</v>
      </c>
      <c r="P314">
        <f t="shared" si="45"/>
        <v>0</v>
      </c>
      <c r="Q314">
        <f t="shared" si="46"/>
        <v>0</v>
      </c>
      <c r="R314">
        <f t="shared" si="47"/>
        <v>2</v>
      </c>
      <c r="S314" t="s">
        <v>125</v>
      </c>
      <c r="T314">
        <f t="shared" si="48"/>
        <v>2</v>
      </c>
    </row>
    <row r="315" spans="1:20" x14ac:dyDescent="0.2">
      <c r="A315">
        <v>314</v>
      </c>
      <c r="B315">
        <v>500</v>
      </c>
      <c r="C315">
        <v>10</v>
      </c>
      <c r="D315">
        <v>0.1</v>
      </c>
      <c r="E315">
        <v>20</v>
      </c>
      <c r="F315">
        <v>100</v>
      </c>
      <c r="G315" s="3">
        <v>0.5</v>
      </c>
      <c r="H315">
        <v>0.1</v>
      </c>
      <c r="I315">
        <v>5</v>
      </c>
      <c r="J315">
        <f t="shared" si="40"/>
        <v>1</v>
      </c>
      <c r="K315">
        <f t="shared" si="41"/>
        <v>1</v>
      </c>
      <c r="L315">
        <f t="shared" si="42"/>
        <v>1</v>
      </c>
      <c r="M315">
        <f t="shared" si="49"/>
        <v>1</v>
      </c>
      <c r="N315">
        <f t="shared" si="43"/>
        <v>1</v>
      </c>
      <c r="O315">
        <f t="shared" si="44"/>
        <v>1</v>
      </c>
      <c r="P315">
        <f t="shared" si="45"/>
        <v>0</v>
      </c>
      <c r="Q315">
        <f t="shared" si="46"/>
        <v>1</v>
      </c>
      <c r="R315">
        <f t="shared" si="47"/>
        <v>7</v>
      </c>
      <c r="S315" t="s">
        <v>111</v>
      </c>
      <c r="T315">
        <f t="shared" si="48"/>
        <v>6</v>
      </c>
    </row>
    <row r="316" spans="1:20" x14ac:dyDescent="0.2">
      <c r="A316">
        <v>315</v>
      </c>
      <c r="B316">
        <v>500</v>
      </c>
      <c r="C316">
        <v>10</v>
      </c>
      <c r="D316">
        <v>0.1</v>
      </c>
      <c r="E316" s="3">
        <v>0.2</v>
      </c>
      <c r="F316">
        <v>100</v>
      </c>
      <c r="G316" s="3">
        <v>0.9</v>
      </c>
      <c r="H316">
        <v>0.05</v>
      </c>
      <c r="I316">
        <v>5</v>
      </c>
      <c r="J316">
        <f t="shared" si="40"/>
        <v>1</v>
      </c>
      <c r="K316">
        <f t="shared" si="41"/>
        <v>1</v>
      </c>
      <c r="L316">
        <f t="shared" si="42"/>
        <v>1</v>
      </c>
      <c r="M316">
        <f t="shared" si="49"/>
        <v>1</v>
      </c>
      <c r="N316">
        <f t="shared" si="43"/>
        <v>1</v>
      </c>
      <c r="O316">
        <f t="shared" si="44"/>
        <v>0</v>
      </c>
      <c r="P316">
        <f t="shared" si="45"/>
        <v>1</v>
      </c>
      <c r="Q316">
        <f t="shared" si="46"/>
        <v>1</v>
      </c>
      <c r="R316">
        <f t="shared" si="47"/>
        <v>7</v>
      </c>
      <c r="S316" t="s">
        <v>111</v>
      </c>
      <c r="T316">
        <f t="shared" si="48"/>
        <v>5</v>
      </c>
    </row>
    <row r="317" spans="1:20" x14ac:dyDescent="0.2">
      <c r="A317">
        <v>316</v>
      </c>
      <c r="B317">
        <v>500</v>
      </c>
      <c r="C317">
        <v>10</v>
      </c>
      <c r="D317">
        <v>0.1</v>
      </c>
      <c r="E317">
        <v>20</v>
      </c>
      <c r="F317">
        <v>100</v>
      </c>
      <c r="G317" s="3">
        <v>0.5</v>
      </c>
      <c r="H317">
        <v>0.05</v>
      </c>
      <c r="I317" t="s">
        <v>266</v>
      </c>
      <c r="J317">
        <f t="shared" si="40"/>
        <v>1</v>
      </c>
      <c r="K317">
        <f t="shared" si="41"/>
        <v>1</v>
      </c>
      <c r="L317">
        <f t="shared" si="42"/>
        <v>1</v>
      </c>
      <c r="M317">
        <f t="shared" si="49"/>
        <v>1</v>
      </c>
      <c r="N317">
        <f t="shared" si="43"/>
        <v>1</v>
      </c>
      <c r="O317">
        <f t="shared" si="44"/>
        <v>1</v>
      </c>
      <c r="P317">
        <f t="shared" si="45"/>
        <v>1</v>
      </c>
      <c r="Q317">
        <f t="shared" si="46"/>
        <v>0</v>
      </c>
      <c r="R317">
        <f t="shared" si="47"/>
        <v>7</v>
      </c>
      <c r="S317" t="s">
        <v>105</v>
      </c>
      <c r="T317">
        <f t="shared" si="48"/>
        <v>6</v>
      </c>
    </row>
    <row r="318" spans="1:20" x14ac:dyDescent="0.2">
      <c r="A318">
        <v>317</v>
      </c>
      <c r="B318">
        <v>500</v>
      </c>
      <c r="C318">
        <v>1</v>
      </c>
      <c r="D318" s="4">
        <v>1E-3</v>
      </c>
      <c r="E318">
        <v>20</v>
      </c>
      <c r="F318">
        <v>100</v>
      </c>
      <c r="G318" t="s">
        <v>1535</v>
      </c>
      <c r="H318">
        <v>0.1</v>
      </c>
      <c r="I318">
        <v>20</v>
      </c>
      <c r="J318">
        <f t="shared" si="40"/>
        <v>1</v>
      </c>
      <c r="K318">
        <f t="shared" si="41"/>
        <v>0</v>
      </c>
      <c r="L318">
        <f t="shared" si="42"/>
        <v>1</v>
      </c>
      <c r="M318">
        <f t="shared" si="49"/>
        <v>1</v>
      </c>
      <c r="N318">
        <f t="shared" si="43"/>
        <v>1</v>
      </c>
      <c r="O318">
        <f t="shared" si="44"/>
        <v>0</v>
      </c>
      <c r="P318">
        <f t="shared" si="45"/>
        <v>0</v>
      </c>
      <c r="Q318">
        <f t="shared" si="46"/>
        <v>0</v>
      </c>
      <c r="R318">
        <f t="shared" si="47"/>
        <v>4</v>
      </c>
      <c r="S318" t="s">
        <v>111</v>
      </c>
      <c r="T318">
        <f t="shared" si="48"/>
        <v>4</v>
      </c>
    </row>
    <row r="319" spans="1:20" x14ac:dyDescent="0.2">
      <c r="A319">
        <v>318</v>
      </c>
      <c r="B319" t="s">
        <v>1540</v>
      </c>
      <c r="C319" t="s">
        <v>1541</v>
      </c>
      <c r="D319" s="3">
        <v>0.1</v>
      </c>
      <c r="E319" s="3">
        <v>0.02</v>
      </c>
      <c r="F319" t="s">
        <v>1541</v>
      </c>
      <c r="G319" s="3">
        <v>0.18</v>
      </c>
      <c r="H319" t="s">
        <v>786</v>
      </c>
      <c r="I319" t="s">
        <v>266</v>
      </c>
      <c r="J319">
        <v>1</v>
      </c>
      <c r="K319">
        <f t="shared" si="41"/>
        <v>0</v>
      </c>
      <c r="L319">
        <f t="shared" si="42"/>
        <v>1</v>
      </c>
      <c r="M319">
        <f t="shared" si="49"/>
        <v>0</v>
      </c>
      <c r="N319">
        <v>1</v>
      </c>
      <c r="O319">
        <f t="shared" si="44"/>
        <v>0</v>
      </c>
      <c r="P319">
        <f t="shared" si="45"/>
        <v>0</v>
      </c>
      <c r="Q319">
        <f t="shared" si="46"/>
        <v>0</v>
      </c>
      <c r="R319">
        <f t="shared" si="47"/>
        <v>3</v>
      </c>
      <c r="S319" t="s">
        <v>111</v>
      </c>
      <c r="T319">
        <f t="shared" si="48"/>
        <v>3</v>
      </c>
    </row>
    <row r="320" spans="1:20" x14ac:dyDescent="0.2">
      <c r="A320">
        <v>319</v>
      </c>
      <c r="B320">
        <v>500</v>
      </c>
      <c r="C320">
        <v>10</v>
      </c>
      <c r="D320" s="4">
        <v>1E-3</v>
      </c>
      <c r="E320">
        <v>20</v>
      </c>
      <c r="F320">
        <v>100</v>
      </c>
      <c r="G320">
        <v>10</v>
      </c>
      <c r="H320" s="5">
        <v>0.05</v>
      </c>
      <c r="I320" t="s">
        <v>1546</v>
      </c>
      <c r="J320">
        <f t="shared" si="40"/>
        <v>1</v>
      </c>
      <c r="K320">
        <f t="shared" si="41"/>
        <v>1</v>
      </c>
      <c r="L320">
        <f t="shared" si="42"/>
        <v>1</v>
      </c>
      <c r="M320">
        <f t="shared" si="49"/>
        <v>1</v>
      </c>
      <c r="N320">
        <f t="shared" si="43"/>
        <v>1</v>
      </c>
      <c r="O320">
        <f t="shared" si="44"/>
        <v>0</v>
      </c>
      <c r="P320">
        <f t="shared" si="45"/>
        <v>1</v>
      </c>
      <c r="Q320">
        <f t="shared" si="46"/>
        <v>0</v>
      </c>
      <c r="R320">
        <f t="shared" si="47"/>
        <v>6</v>
      </c>
      <c r="S320" t="s">
        <v>111</v>
      </c>
      <c r="T320">
        <f t="shared" si="48"/>
        <v>5</v>
      </c>
    </row>
    <row r="321" spans="1:20" x14ac:dyDescent="0.2">
      <c r="A321">
        <v>320</v>
      </c>
      <c r="B321">
        <v>500</v>
      </c>
      <c r="C321">
        <v>1</v>
      </c>
      <c r="D321">
        <v>1</v>
      </c>
      <c r="E321">
        <v>20</v>
      </c>
      <c r="F321">
        <v>10</v>
      </c>
      <c r="G321">
        <v>18</v>
      </c>
      <c r="H321">
        <v>1.05</v>
      </c>
      <c r="I321">
        <v>5</v>
      </c>
      <c r="J321">
        <f t="shared" si="40"/>
        <v>1</v>
      </c>
      <c r="K321">
        <f t="shared" si="41"/>
        <v>0</v>
      </c>
      <c r="L321">
        <f t="shared" si="42"/>
        <v>0</v>
      </c>
      <c r="M321">
        <f t="shared" si="49"/>
        <v>1</v>
      </c>
      <c r="N321">
        <f t="shared" si="43"/>
        <v>0</v>
      </c>
      <c r="O321">
        <f t="shared" si="44"/>
        <v>0</v>
      </c>
      <c r="P321">
        <f t="shared" si="45"/>
        <v>0</v>
      </c>
      <c r="Q321">
        <f t="shared" si="46"/>
        <v>1</v>
      </c>
      <c r="R321">
        <f t="shared" si="47"/>
        <v>3</v>
      </c>
      <c r="S321" t="s">
        <v>105</v>
      </c>
      <c r="T321">
        <f t="shared" si="48"/>
        <v>2</v>
      </c>
    </row>
    <row r="322" spans="1:20" x14ac:dyDescent="0.2">
      <c r="A322">
        <v>321</v>
      </c>
      <c r="B322">
        <v>500</v>
      </c>
      <c r="C322">
        <v>10</v>
      </c>
      <c r="D322">
        <v>1E-3</v>
      </c>
      <c r="E322">
        <v>20</v>
      </c>
      <c r="F322">
        <v>100</v>
      </c>
      <c r="G322" s="3">
        <v>0.09</v>
      </c>
      <c r="H322">
        <v>1.05</v>
      </c>
      <c r="I322">
        <v>5</v>
      </c>
      <c r="J322">
        <f t="shared" si="40"/>
        <v>1</v>
      </c>
      <c r="K322">
        <f t="shared" si="41"/>
        <v>1</v>
      </c>
      <c r="L322">
        <f t="shared" si="42"/>
        <v>1</v>
      </c>
      <c r="M322">
        <f t="shared" si="49"/>
        <v>1</v>
      </c>
      <c r="N322">
        <f t="shared" si="43"/>
        <v>1</v>
      </c>
      <c r="O322">
        <f t="shared" si="44"/>
        <v>0</v>
      </c>
      <c r="P322">
        <f t="shared" si="45"/>
        <v>0</v>
      </c>
      <c r="Q322">
        <f t="shared" si="46"/>
        <v>1</v>
      </c>
      <c r="R322">
        <f t="shared" si="47"/>
        <v>6</v>
      </c>
      <c r="S322" t="s">
        <v>97</v>
      </c>
      <c r="T322">
        <f t="shared" si="48"/>
        <v>5</v>
      </c>
    </row>
    <row r="323" spans="1:20" x14ac:dyDescent="0.2">
      <c r="A323">
        <v>322</v>
      </c>
      <c r="B323">
        <v>500</v>
      </c>
      <c r="C323">
        <v>10</v>
      </c>
      <c r="D323">
        <v>0.1</v>
      </c>
      <c r="E323">
        <v>20</v>
      </c>
      <c r="F323">
        <v>100</v>
      </c>
      <c r="G323" s="3">
        <v>0.5</v>
      </c>
      <c r="H323">
        <v>0.05</v>
      </c>
      <c r="I323">
        <v>5</v>
      </c>
      <c r="J323">
        <f t="shared" ref="J323:J384" si="50">IF(B323=500,1,0)</f>
        <v>1</v>
      </c>
      <c r="K323">
        <f t="shared" ref="K323:K384" si="51">IF(C323=10,1,0)</f>
        <v>1</v>
      </c>
      <c r="L323">
        <f t="shared" ref="L323:L384" si="52">IF(OR(D323=0.1,D323=0.1%),1,0)</f>
        <v>1</v>
      </c>
      <c r="M323">
        <f t="shared" si="49"/>
        <v>1</v>
      </c>
      <c r="N323">
        <f t="shared" ref="N323:N384" si="53">IF(F323=100,1,0)</f>
        <v>1</v>
      </c>
      <c r="O323">
        <f t="shared" ref="O323:O384" si="54">IF(OR(G323=50,G323=50%),1,0)</f>
        <v>1</v>
      </c>
      <c r="P323">
        <f t="shared" ref="P323:P384" si="55">IF(OR(H323=0.05,H323="$0.05",H323="5 cents"),1,0)</f>
        <v>1</v>
      </c>
      <c r="Q323">
        <f t="shared" ref="Q323:Q384" si="56">IF(OR(I323=5,I323="5 minutes"),1,0)</f>
        <v>1</v>
      </c>
      <c r="R323">
        <f t="shared" ref="R323:R384" si="57">SUM(J323:Q323)</f>
        <v>8</v>
      </c>
      <c r="S323" t="s">
        <v>105</v>
      </c>
      <c r="T323">
        <f t="shared" ref="T323:T386" si="58">SUM(J323:O323)</f>
        <v>6</v>
      </c>
    </row>
    <row r="324" spans="1:20" x14ac:dyDescent="0.2">
      <c r="A324">
        <v>323</v>
      </c>
      <c r="B324">
        <v>500</v>
      </c>
      <c r="C324">
        <v>10</v>
      </c>
      <c r="D324" s="4">
        <v>1E-3</v>
      </c>
      <c r="E324" s="3">
        <v>0.2</v>
      </c>
      <c r="F324">
        <v>100</v>
      </c>
      <c r="G324" s="3">
        <v>0.9</v>
      </c>
      <c r="H324" s="5">
        <v>0.05</v>
      </c>
      <c r="I324" t="s">
        <v>1302</v>
      </c>
      <c r="J324">
        <f t="shared" si="50"/>
        <v>1</v>
      </c>
      <c r="K324">
        <f t="shared" si="51"/>
        <v>1</v>
      </c>
      <c r="L324">
        <f t="shared" si="52"/>
        <v>1</v>
      </c>
      <c r="M324">
        <f t="shared" ref="M324:M385" si="59">IF(OR(E324=20,E324=20%),1,0)</f>
        <v>1</v>
      </c>
      <c r="N324">
        <f t="shared" si="53"/>
        <v>1</v>
      </c>
      <c r="O324">
        <f t="shared" si="54"/>
        <v>0</v>
      </c>
      <c r="P324">
        <f t="shared" si="55"/>
        <v>1</v>
      </c>
      <c r="Q324">
        <f t="shared" si="56"/>
        <v>0</v>
      </c>
      <c r="R324">
        <f t="shared" si="57"/>
        <v>6</v>
      </c>
      <c r="S324" t="s">
        <v>105</v>
      </c>
      <c r="T324">
        <f t="shared" si="58"/>
        <v>5</v>
      </c>
    </row>
    <row r="325" spans="1:20" x14ac:dyDescent="0.2">
      <c r="A325">
        <v>324</v>
      </c>
      <c r="B325">
        <v>500</v>
      </c>
      <c r="C325">
        <v>100</v>
      </c>
      <c r="D325" s="3">
        <v>0.01</v>
      </c>
      <c r="E325" s="3">
        <v>0.2</v>
      </c>
      <c r="F325">
        <v>100</v>
      </c>
      <c r="G325" s="3">
        <v>0.1</v>
      </c>
      <c r="H325">
        <v>0.1</v>
      </c>
      <c r="I325">
        <v>100</v>
      </c>
      <c r="J325">
        <f t="shared" si="50"/>
        <v>1</v>
      </c>
      <c r="K325">
        <f t="shared" si="51"/>
        <v>0</v>
      </c>
      <c r="L325">
        <f t="shared" si="52"/>
        <v>0</v>
      </c>
      <c r="M325">
        <f t="shared" si="59"/>
        <v>1</v>
      </c>
      <c r="N325">
        <f t="shared" si="53"/>
        <v>1</v>
      </c>
      <c r="O325">
        <f t="shared" si="54"/>
        <v>0</v>
      </c>
      <c r="P325">
        <f t="shared" si="55"/>
        <v>0</v>
      </c>
      <c r="Q325">
        <f t="shared" si="56"/>
        <v>0</v>
      </c>
      <c r="R325">
        <f t="shared" si="57"/>
        <v>3</v>
      </c>
      <c r="S325" t="s">
        <v>125</v>
      </c>
      <c r="T325">
        <f t="shared" si="58"/>
        <v>3</v>
      </c>
    </row>
    <row r="326" spans="1:20" x14ac:dyDescent="0.2">
      <c r="A326">
        <v>325</v>
      </c>
      <c r="B326">
        <v>500</v>
      </c>
      <c r="C326">
        <v>10</v>
      </c>
      <c r="D326">
        <v>0.1</v>
      </c>
      <c r="E326">
        <v>20</v>
      </c>
      <c r="F326">
        <v>100</v>
      </c>
      <c r="G326" t="s">
        <v>1571</v>
      </c>
      <c r="H326">
        <v>0.05</v>
      </c>
      <c r="I326" t="s">
        <v>1572</v>
      </c>
      <c r="J326">
        <f t="shared" si="50"/>
        <v>1</v>
      </c>
      <c r="K326">
        <f t="shared" si="51"/>
        <v>1</v>
      </c>
      <c r="L326">
        <f t="shared" si="52"/>
        <v>1</v>
      </c>
      <c r="M326">
        <f t="shared" si="59"/>
        <v>1</v>
      </c>
      <c r="N326">
        <f t="shared" si="53"/>
        <v>1</v>
      </c>
      <c r="O326">
        <f t="shared" si="54"/>
        <v>0</v>
      </c>
      <c r="P326">
        <f t="shared" si="55"/>
        <v>1</v>
      </c>
      <c r="Q326">
        <f t="shared" si="56"/>
        <v>1</v>
      </c>
      <c r="R326">
        <f t="shared" si="57"/>
        <v>7</v>
      </c>
      <c r="S326" t="s">
        <v>125</v>
      </c>
      <c r="T326">
        <f t="shared" si="58"/>
        <v>5</v>
      </c>
    </row>
    <row r="327" spans="1:20" x14ac:dyDescent="0.2">
      <c r="A327">
        <v>326</v>
      </c>
      <c r="B327">
        <v>500</v>
      </c>
      <c r="C327">
        <v>10</v>
      </c>
      <c r="D327" s="4">
        <v>1E-3</v>
      </c>
      <c r="E327" s="3">
        <v>0.2</v>
      </c>
      <c r="F327">
        <v>100</v>
      </c>
      <c r="G327" s="3">
        <v>0.09</v>
      </c>
      <c r="H327" s="5">
        <v>0.05</v>
      </c>
      <c r="I327" t="s">
        <v>104</v>
      </c>
      <c r="J327">
        <f t="shared" si="50"/>
        <v>1</v>
      </c>
      <c r="K327">
        <f t="shared" si="51"/>
        <v>1</v>
      </c>
      <c r="L327">
        <f t="shared" si="52"/>
        <v>1</v>
      </c>
      <c r="M327">
        <f t="shared" si="59"/>
        <v>1</v>
      </c>
      <c r="N327">
        <f t="shared" si="53"/>
        <v>1</v>
      </c>
      <c r="O327">
        <f t="shared" si="54"/>
        <v>0</v>
      </c>
      <c r="P327">
        <f t="shared" si="55"/>
        <v>1</v>
      </c>
      <c r="Q327">
        <f t="shared" si="56"/>
        <v>1</v>
      </c>
      <c r="R327">
        <f t="shared" si="57"/>
        <v>7</v>
      </c>
      <c r="S327" t="s">
        <v>125</v>
      </c>
      <c r="T327">
        <f t="shared" si="58"/>
        <v>5</v>
      </c>
    </row>
    <row r="328" spans="1:20" x14ac:dyDescent="0.2">
      <c r="A328">
        <v>327</v>
      </c>
      <c r="B328">
        <v>500</v>
      </c>
      <c r="C328">
        <v>10</v>
      </c>
      <c r="D328">
        <v>0.1</v>
      </c>
      <c r="E328">
        <v>20</v>
      </c>
      <c r="F328">
        <v>100</v>
      </c>
      <c r="G328" t="s">
        <v>237</v>
      </c>
      <c r="H328" s="5">
        <v>0.1</v>
      </c>
      <c r="I328" t="s">
        <v>104</v>
      </c>
      <c r="J328">
        <f t="shared" si="50"/>
        <v>1</v>
      </c>
      <c r="K328">
        <f t="shared" si="51"/>
        <v>1</v>
      </c>
      <c r="L328">
        <f t="shared" si="52"/>
        <v>1</v>
      </c>
      <c r="M328">
        <f t="shared" si="59"/>
        <v>1</v>
      </c>
      <c r="N328">
        <f t="shared" si="53"/>
        <v>1</v>
      </c>
      <c r="O328">
        <f t="shared" si="54"/>
        <v>0</v>
      </c>
      <c r="P328">
        <f t="shared" si="55"/>
        <v>0</v>
      </c>
      <c r="Q328">
        <f t="shared" si="56"/>
        <v>1</v>
      </c>
      <c r="R328">
        <f t="shared" si="57"/>
        <v>6</v>
      </c>
      <c r="S328" t="s">
        <v>97</v>
      </c>
      <c r="T328">
        <f t="shared" si="58"/>
        <v>5</v>
      </c>
    </row>
    <row r="329" spans="1:20" x14ac:dyDescent="0.2">
      <c r="A329">
        <v>328</v>
      </c>
      <c r="B329">
        <v>500</v>
      </c>
      <c r="C329">
        <v>10</v>
      </c>
      <c r="D329" s="4">
        <v>1E-3</v>
      </c>
      <c r="E329">
        <v>20</v>
      </c>
      <c r="F329">
        <v>100</v>
      </c>
      <c r="G329" s="3">
        <v>0.1</v>
      </c>
      <c r="H329">
        <v>0.05</v>
      </c>
      <c r="I329" t="s">
        <v>104</v>
      </c>
      <c r="J329">
        <f t="shared" si="50"/>
        <v>1</v>
      </c>
      <c r="K329">
        <f t="shared" si="51"/>
        <v>1</v>
      </c>
      <c r="L329">
        <f t="shared" si="52"/>
        <v>1</v>
      </c>
      <c r="M329">
        <f t="shared" si="59"/>
        <v>1</v>
      </c>
      <c r="N329">
        <f t="shared" si="53"/>
        <v>1</v>
      </c>
      <c r="O329">
        <f t="shared" si="54"/>
        <v>0</v>
      </c>
      <c r="P329">
        <f t="shared" si="55"/>
        <v>1</v>
      </c>
      <c r="Q329">
        <f t="shared" si="56"/>
        <v>1</v>
      </c>
      <c r="R329">
        <f t="shared" si="57"/>
        <v>7</v>
      </c>
      <c r="S329" t="s">
        <v>97</v>
      </c>
      <c r="T329">
        <f t="shared" si="58"/>
        <v>5</v>
      </c>
    </row>
    <row r="330" spans="1:20" x14ac:dyDescent="0.2">
      <c r="A330">
        <v>329</v>
      </c>
      <c r="B330">
        <v>500</v>
      </c>
      <c r="C330">
        <v>10</v>
      </c>
      <c r="D330" s="4">
        <v>1E-3</v>
      </c>
      <c r="E330">
        <v>20</v>
      </c>
      <c r="F330">
        <v>100</v>
      </c>
      <c r="G330" s="3">
        <v>0.1</v>
      </c>
      <c r="H330">
        <v>0.05</v>
      </c>
      <c r="I330" t="s">
        <v>104</v>
      </c>
      <c r="J330">
        <f t="shared" si="50"/>
        <v>1</v>
      </c>
      <c r="K330">
        <f t="shared" si="51"/>
        <v>1</v>
      </c>
      <c r="L330">
        <f t="shared" si="52"/>
        <v>1</v>
      </c>
      <c r="M330">
        <f t="shared" si="59"/>
        <v>1</v>
      </c>
      <c r="N330">
        <f t="shared" si="53"/>
        <v>1</v>
      </c>
      <c r="O330">
        <f t="shared" si="54"/>
        <v>0</v>
      </c>
      <c r="P330">
        <f t="shared" si="55"/>
        <v>1</v>
      </c>
      <c r="Q330">
        <f t="shared" si="56"/>
        <v>1</v>
      </c>
      <c r="R330">
        <f t="shared" si="57"/>
        <v>7</v>
      </c>
      <c r="S330" t="s">
        <v>97</v>
      </c>
      <c r="T330">
        <f t="shared" si="58"/>
        <v>5</v>
      </c>
    </row>
    <row r="331" spans="1:20" x14ac:dyDescent="0.2">
      <c r="A331">
        <v>330</v>
      </c>
      <c r="B331">
        <v>500</v>
      </c>
      <c r="C331">
        <v>10</v>
      </c>
      <c r="D331" s="4">
        <v>1E-3</v>
      </c>
      <c r="E331">
        <v>20</v>
      </c>
      <c r="F331">
        <v>100</v>
      </c>
      <c r="G331" s="3">
        <v>0.5</v>
      </c>
      <c r="H331">
        <v>0.05</v>
      </c>
      <c r="I331" t="s">
        <v>104</v>
      </c>
      <c r="J331">
        <f t="shared" si="50"/>
        <v>1</v>
      </c>
      <c r="K331">
        <f t="shared" si="51"/>
        <v>1</v>
      </c>
      <c r="L331">
        <f t="shared" si="52"/>
        <v>1</v>
      </c>
      <c r="M331">
        <f t="shared" si="59"/>
        <v>1</v>
      </c>
      <c r="N331">
        <f t="shared" si="53"/>
        <v>1</v>
      </c>
      <c r="O331">
        <f t="shared" si="54"/>
        <v>1</v>
      </c>
      <c r="P331">
        <f t="shared" si="55"/>
        <v>1</v>
      </c>
      <c r="Q331">
        <f t="shared" si="56"/>
        <v>1</v>
      </c>
      <c r="R331">
        <f t="shared" si="57"/>
        <v>8</v>
      </c>
      <c r="S331" t="s">
        <v>111</v>
      </c>
      <c r="T331">
        <f t="shared" si="58"/>
        <v>6</v>
      </c>
    </row>
    <row r="332" spans="1:20" x14ac:dyDescent="0.2">
      <c r="A332">
        <v>331</v>
      </c>
      <c r="B332">
        <v>500</v>
      </c>
      <c r="C332">
        <v>10</v>
      </c>
      <c r="D332">
        <v>0.1</v>
      </c>
      <c r="E332">
        <v>20</v>
      </c>
      <c r="F332">
        <v>100</v>
      </c>
      <c r="G332">
        <v>9</v>
      </c>
      <c r="H332">
        <v>10</v>
      </c>
      <c r="I332">
        <v>5</v>
      </c>
      <c r="J332">
        <f t="shared" si="50"/>
        <v>1</v>
      </c>
      <c r="K332">
        <f t="shared" si="51"/>
        <v>1</v>
      </c>
      <c r="L332">
        <f t="shared" si="52"/>
        <v>1</v>
      </c>
      <c r="M332">
        <f t="shared" si="59"/>
        <v>1</v>
      </c>
      <c r="N332">
        <f t="shared" si="53"/>
        <v>1</v>
      </c>
      <c r="O332">
        <f t="shared" si="54"/>
        <v>0</v>
      </c>
      <c r="P332">
        <f t="shared" si="55"/>
        <v>0</v>
      </c>
      <c r="Q332">
        <f t="shared" si="56"/>
        <v>1</v>
      </c>
      <c r="R332">
        <f t="shared" si="57"/>
        <v>6</v>
      </c>
      <c r="S332" t="s">
        <v>97</v>
      </c>
      <c r="T332">
        <f t="shared" si="58"/>
        <v>5</v>
      </c>
    </row>
    <row r="333" spans="1:20" x14ac:dyDescent="0.2">
      <c r="A333">
        <v>332</v>
      </c>
      <c r="B333">
        <v>500</v>
      </c>
      <c r="C333">
        <v>10</v>
      </c>
      <c r="D333">
        <v>1E-3</v>
      </c>
      <c r="E333">
        <v>20</v>
      </c>
      <c r="F333">
        <v>100</v>
      </c>
      <c r="G333" s="3">
        <v>0.18</v>
      </c>
      <c r="H333" s="5">
        <v>0.1</v>
      </c>
      <c r="I333" t="s">
        <v>266</v>
      </c>
      <c r="J333">
        <f t="shared" si="50"/>
        <v>1</v>
      </c>
      <c r="K333">
        <f t="shared" si="51"/>
        <v>1</v>
      </c>
      <c r="L333">
        <f t="shared" si="52"/>
        <v>1</v>
      </c>
      <c r="M333">
        <f t="shared" si="59"/>
        <v>1</v>
      </c>
      <c r="N333">
        <f t="shared" si="53"/>
        <v>1</v>
      </c>
      <c r="O333">
        <f t="shared" si="54"/>
        <v>0</v>
      </c>
      <c r="P333">
        <f t="shared" si="55"/>
        <v>0</v>
      </c>
      <c r="Q333">
        <f t="shared" si="56"/>
        <v>0</v>
      </c>
      <c r="R333">
        <f t="shared" si="57"/>
        <v>5</v>
      </c>
      <c r="S333" t="s">
        <v>125</v>
      </c>
      <c r="T333">
        <f t="shared" si="58"/>
        <v>5</v>
      </c>
    </row>
    <row r="334" spans="1:20" x14ac:dyDescent="0.2">
      <c r="A334">
        <v>333</v>
      </c>
      <c r="B334">
        <v>500</v>
      </c>
      <c r="C334">
        <v>10</v>
      </c>
      <c r="D334">
        <v>0.1</v>
      </c>
      <c r="E334">
        <v>20</v>
      </c>
      <c r="F334">
        <v>100</v>
      </c>
      <c r="G334">
        <v>9</v>
      </c>
      <c r="H334">
        <v>0.1</v>
      </c>
      <c r="I334">
        <v>5</v>
      </c>
      <c r="J334">
        <f t="shared" si="50"/>
        <v>1</v>
      </c>
      <c r="K334">
        <f t="shared" si="51"/>
        <v>1</v>
      </c>
      <c r="L334">
        <f t="shared" si="52"/>
        <v>1</v>
      </c>
      <c r="M334">
        <f t="shared" si="59"/>
        <v>1</v>
      </c>
      <c r="N334">
        <f t="shared" si="53"/>
        <v>1</v>
      </c>
      <c r="O334">
        <f t="shared" si="54"/>
        <v>0</v>
      </c>
      <c r="P334">
        <f t="shared" si="55"/>
        <v>0</v>
      </c>
      <c r="Q334">
        <f t="shared" si="56"/>
        <v>1</v>
      </c>
      <c r="R334">
        <f t="shared" si="57"/>
        <v>6</v>
      </c>
      <c r="S334" t="s">
        <v>125</v>
      </c>
      <c r="T334">
        <f t="shared" si="58"/>
        <v>5</v>
      </c>
    </row>
    <row r="335" spans="1:20" x14ac:dyDescent="0.2">
      <c r="A335">
        <v>334</v>
      </c>
      <c r="B335">
        <v>700</v>
      </c>
      <c r="C335">
        <v>10</v>
      </c>
      <c r="D335" s="3">
        <v>0.1</v>
      </c>
      <c r="E335" s="3">
        <v>0.02</v>
      </c>
      <c r="F335" s="3">
        <v>0.01</v>
      </c>
      <c r="G335">
        <v>10</v>
      </c>
      <c r="H335">
        <v>10</v>
      </c>
      <c r="I335">
        <v>100</v>
      </c>
      <c r="J335">
        <f t="shared" si="50"/>
        <v>0</v>
      </c>
      <c r="K335">
        <f t="shared" si="51"/>
        <v>1</v>
      </c>
      <c r="L335">
        <f t="shared" si="52"/>
        <v>1</v>
      </c>
      <c r="M335">
        <f t="shared" si="59"/>
        <v>0</v>
      </c>
      <c r="N335">
        <f t="shared" si="53"/>
        <v>0</v>
      </c>
      <c r="O335">
        <f t="shared" si="54"/>
        <v>0</v>
      </c>
      <c r="P335">
        <f t="shared" si="55"/>
        <v>0</v>
      </c>
      <c r="Q335">
        <f t="shared" si="56"/>
        <v>0</v>
      </c>
      <c r="R335">
        <f t="shared" si="57"/>
        <v>2</v>
      </c>
      <c r="S335" t="s">
        <v>97</v>
      </c>
      <c r="T335">
        <f t="shared" si="58"/>
        <v>2</v>
      </c>
    </row>
    <row r="336" spans="1:20" x14ac:dyDescent="0.2">
      <c r="A336">
        <v>335</v>
      </c>
      <c r="B336">
        <v>500</v>
      </c>
      <c r="C336">
        <v>10</v>
      </c>
      <c r="D336" s="4">
        <v>1E-3</v>
      </c>
      <c r="E336">
        <v>20</v>
      </c>
      <c r="F336">
        <v>100</v>
      </c>
      <c r="G336" s="3">
        <v>0.1</v>
      </c>
      <c r="H336">
        <v>0.1</v>
      </c>
      <c r="I336" t="s">
        <v>266</v>
      </c>
      <c r="J336">
        <f t="shared" si="50"/>
        <v>1</v>
      </c>
      <c r="K336">
        <f t="shared" si="51"/>
        <v>1</v>
      </c>
      <c r="L336">
        <f t="shared" si="52"/>
        <v>1</v>
      </c>
      <c r="M336">
        <f t="shared" si="59"/>
        <v>1</v>
      </c>
      <c r="N336">
        <f t="shared" si="53"/>
        <v>1</v>
      </c>
      <c r="O336">
        <f t="shared" si="54"/>
        <v>0</v>
      </c>
      <c r="P336">
        <f t="shared" si="55"/>
        <v>0</v>
      </c>
      <c r="Q336">
        <f t="shared" si="56"/>
        <v>0</v>
      </c>
      <c r="R336">
        <f t="shared" si="57"/>
        <v>5</v>
      </c>
      <c r="S336" t="s">
        <v>105</v>
      </c>
      <c r="T336">
        <f t="shared" si="58"/>
        <v>5</v>
      </c>
    </row>
    <row r="337" spans="1:20" x14ac:dyDescent="0.2">
      <c r="A337">
        <v>336</v>
      </c>
      <c r="B337">
        <v>500</v>
      </c>
      <c r="C337">
        <v>10</v>
      </c>
      <c r="D337">
        <v>0.01</v>
      </c>
      <c r="E337">
        <v>20</v>
      </c>
      <c r="F337">
        <v>100</v>
      </c>
      <c r="G337">
        <v>90</v>
      </c>
      <c r="H337">
        <v>0.1</v>
      </c>
      <c r="I337">
        <v>100</v>
      </c>
      <c r="J337">
        <f t="shared" si="50"/>
        <v>1</v>
      </c>
      <c r="K337">
        <f t="shared" si="51"/>
        <v>1</v>
      </c>
      <c r="L337">
        <f t="shared" si="52"/>
        <v>0</v>
      </c>
      <c r="M337">
        <f t="shared" si="59"/>
        <v>1</v>
      </c>
      <c r="N337">
        <f t="shared" si="53"/>
        <v>1</v>
      </c>
      <c r="O337">
        <f t="shared" si="54"/>
        <v>0</v>
      </c>
      <c r="P337">
        <f t="shared" si="55"/>
        <v>0</v>
      </c>
      <c r="Q337">
        <f t="shared" si="56"/>
        <v>0</v>
      </c>
      <c r="R337">
        <f t="shared" si="57"/>
        <v>4</v>
      </c>
      <c r="S337" t="s">
        <v>105</v>
      </c>
      <c r="T337">
        <f t="shared" si="58"/>
        <v>4</v>
      </c>
    </row>
    <row r="338" spans="1:20" x14ac:dyDescent="0.2">
      <c r="A338">
        <v>337</v>
      </c>
      <c r="B338">
        <v>500</v>
      </c>
      <c r="C338">
        <v>10</v>
      </c>
      <c r="D338">
        <v>0.1</v>
      </c>
      <c r="E338">
        <v>20</v>
      </c>
      <c r="F338">
        <v>100</v>
      </c>
      <c r="G338">
        <v>10</v>
      </c>
      <c r="H338">
        <v>0.1</v>
      </c>
      <c r="I338" t="s">
        <v>1546</v>
      </c>
      <c r="J338">
        <f t="shared" si="50"/>
        <v>1</v>
      </c>
      <c r="K338">
        <f t="shared" si="51"/>
        <v>1</v>
      </c>
      <c r="L338">
        <f t="shared" si="52"/>
        <v>1</v>
      </c>
      <c r="M338">
        <f t="shared" si="59"/>
        <v>1</v>
      </c>
      <c r="N338">
        <f t="shared" si="53"/>
        <v>1</v>
      </c>
      <c r="O338">
        <f t="shared" si="54"/>
        <v>0</v>
      </c>
      <c r="P338">
        <f t="shared" si="55"/>
        <v>0</v>
      </c>
      <c r="Q338">
        <f t="shared" si="56"/>
        <v>0</v>
      </c>
      <c r="R338">
        <f t="shared" si="57"/>
        <v>5</v>
      </c>
      <c r="S338" t="s">
        <v>111</v>
      </c>
      <c r="T338">
        <f t="shared" si="58"/>
        <v>5</v>
      </c>
    </row>
    <row r="339" spans="1:20" x14ac:dyDescent="0.2">
      <c r="A339">
        <v>338</v>
      </c>
      <c r="B339">
        <v>500</v>
      </c>
      <c r="C339">
        <v>10</v>
      </c>
      <c r="D339">
        <v>0.1</v>
      </c>
      <c r="E339">
        <v>20</v>
      </c>
      <c r="F339">
        <v>100</v>
      </c>
      <c r="G339" s="3">
        <v>0.9</v>
      </c>
      <c r="H339">
        <v>0.1</v>
      </c>
      <c r="I339" t="s">
        <v>266</v>
      </c>
      <c r="J339">
        <f t="shared" si="50"/>
        <v>1</v>
      </c>
      <c r="K339">
        <f t="shared" si="51"/>
        <v>1</v>
      </c>
      <c r="L339">
        <f t="shared" si="52"/>
        <v>1</v>
      </c>
      <c r="M339">
        <f t="shared" si="59"/>
        <v>1</v>
      </c>
      <c r="N339">
        <f t="shared" si="53"/>
        <v>1</v>
      </c>
      <c r="O339">
        <f t="shared" si="54"/>
        <v>0</v>
      </c>
      <c r="P339">
        <f t="shared" si="55"/>
        <v>0</v>
      </c>
      <c r="Q339">
        <f t="shared" si="56"/>
        <v>0</v>
      </c>
      <c r="R339">
        <f t="shared" si="57"/>
        <v>5</v>
      </c>
      <c r="S339" t="s">
        <v>105</v>
      </c>
      <c r="T339">
        <f t="shared" si="58"/>
        <v>5</v>
      </c>
    </row>
    <row r="340" spans="1:20" ht="34" x14ac:dyDescent="0.2">
      <c r="A340">
        <v>339</v>
      </c>
      <c r="B340" s="1" t="s">
        <v>1518</v>
      </c>
      <c r="C340">
        <v>10</v>
      </c>
      <c r="D340">
        <v>1</v>
      </c>
      <c r="E340">
        <v>20</v>
      </c>
      <c r="F340">
        <v>100</v>
      </c>
      <c r="G340">
        <v>50</v>
      </c>
      <c r="H340">
        <v>0.05</v>
      </c>
      <c r="I340">
        <v>5</v>
      </c>
      <c r="J340">
        <v>1</v>
      </c>
      <c r="K340">
        <f t="shared" si="51"/>
        <v>1</v>
      </c>
      <c r="L340">
        <f t="shared" si="52"/>
        <v>0</v>
      </c>
      <c r="M340">
        <f t="shared" si="59"/>
        <v>1</v>
      </c>
      <c r="N340">
        <f t="shared" si="53"/>
        <v>1</v>
      </c>
      <c r="O340">
        <f t="shared" si="54"/>
        <v>1</v>
      </c>
      <c r="P340">
        <f t="shared" si="55"/>
        <v>1</v>
      </c>
      <c r="Q340">
        <f t="shared" si="56"/>
        <v>1</v>
      </c>
      <c r="R340">
        <f t="shared" si="57"/>
        <v>7</v>
      </c>
      <c r="S340" t="s">
        <v>97</v>
      </c>
      <c r="T340">
        <f t="shared" si="58"/>
        <v>5</v>
      </c>
    </row>
    <row r="341" spans="1:20" x14ac:dyDescent="0.2">
      <c r="A341">
        <v>342</v>
      </c>
      <c r="B341">
        <v>500</v>
      </c>
      <c r="C341">
        <v>10</v>
      </c>
      <c r="D341" s="3">
        <v>0.01</v>
      </c>
      <c r="E341" s="3">
        <v>0.2</v>
      </c>
      <c r="F341">
        <v>10</v>
      </c>
      <c r="G341" s="3">
        <v>0.1</v>
      </c>
      <c r="H341">
        <v>0.1</v>
      </c>
      <c r="I341">
        <v>100</v>
      </c>
      <c r="J341">
        <f t="shared" si="50"/>
        <v>1</v>
      </c>
      <c r="K341">
        <f t="shared" si="51"/>
        <v>1</v>
      </c>
      <c r="L341">
        <f t="shared" si="52"/>
        <v>0</v>
      </c>
      <c r="M341">
        <f t="shared" si="59"/>
        <v>1</v>
      </c>
      <c r="N341">
        <f t="shared" si="53"/>
        <v>0</v>
      </c>
      <c r="O341">
        <f t="shared" si="54"/>
        <v>0</v>
      </c>
      <c r="P341">
        <f t="shared" si="55"/>
        <v>0</v>
      </c>
      <c r="Q341">
        <f t="shared" si="56"/>
        <v>0</v>
      </c>
      <c r="R341">
        <f t="shared" si="57"/>
        <v>3</v>
      </c>
      <c r="S341" t="s">
        <v>125</v>
      </c>
      <c r="T341">
        <f t="shared" si="58"/>
        <v>3</v>
      </c>
    </row>
    <row r="342" spans="1:20" x14ac:dyDescent="0.2">
      <c r="A342">
        <v>343</v>
      </c>
      <c r="B342">
        <v>250</v>
      </c>
      <c r="C342">
        <v>100</v>
      </c>
      <c r="D342" s="4">
        <v>1E-3</v>
      </c>
      <c r="E342">
        <v>20</v>
      </c>
      <c r="F342">
        <v>100</v>
      </c>
      <c r="G342" s="3">
        <v>0.9</v>
      </c>
      <c r="H342" t="s">
        <v>1644</v>
      </c>
      <c r="I342" t="s">
        <v>104</v>
      </c>
      <c r="J342">
        <f t="shared" si="50"/>
        <v>0</v>
      </c>
      <c r="K342">
        <f t="shared" si="51"/>
        <v>0</v>
      </c>
      <c r="L342">
        <f t="shared" si="52"/>
        <v>1</v>
      </c>
      <c r="M342">
        <f t="shared" si="59"/>
        <v>1</v>
      </c>
      <c r="N342">
        <f t="shared" si="53"/>
        <v>1</v>
      </c>
      <c r="O342">
        <f t="shared" si="54"/>
        <v>0</v>
      </c>
      <c r="P342">
        <f t="shared" si="55"/>
        <v>0</v>
      </c>
      <c r="Q342">
        <f t="shared" si="56"/>
        <v>1</v>
      </c>
      <c r="R342">
        <f t="shared" si="57"/>
        <v>4</v>
      </c>
      <c r="S342" t="s">
        <v>111</v>
      </c>
      <c r="T342">
        <f t="shared" si="58"/>
        <v>3</v>
      </c>
    </row>
    <row r="343" spans="1:20" x14ac:dyDescent="0.2">
      <c r="A343">
        <v>344</v>
      </c>
      <c r="B343">
        <v>500</v>
      </c>
      <c r="C343">
        <v>10</v>
      </c>
      <c r="D343" s="4">
        <v>1E-3</v>
      </c>
      <c r="E343" s="3">
        <v>0.25</v>
      </c>
      <c r="F343">
        <v>100</v>
      </c>
      <c r="G343" s="3">
        <v>0.1</v>
      </c>
      <c r="H343">
        <v>0.1</v>
      </c>
      <c r="I343" t="s">
        <v>104</v>
      </c>
      <c r="J343">
        <f t="shared" si="50"/>
        <v>1</v>
      </c>
      <c r="K343">
        <f t="shared" si="51"/>
        <v>1</v>
      </c>
      <c r="L343">
        <f t="shared" si="52"/>
        <v>1</v>
      </c>
      <c r="M343">
        <f t="shared" si="59"/>
        <v>0</v>
      </c>
      <c r="N343">
        <f t="shared" si="53"/>
        <v>1</v>
      </c>
      <c r="O343">
        <f t="shared" si="54"/>
        <v>0</v>
      </c>
      <c r="P343">
        <f t="shared" si="55"/>
        <v>0</v>
      </c>
      <c r="Q343">
        <f t="shared" si="56"/>
        <v>1</v>
      </c>
      <c r="R343">
        <f t="shared" si="57"/>
        <v>5</v>
      </c>
      <c r="S343" t="s">
        <v>125</v>
      </c>
      <c r="T343">
        <f t="shared" si="58"/>
        <v>4</v>
      </c>
    </row>
    <row r="344" spans="1:20" x14ac:dyDescent="0.2">
      <c r="A344">
        <v>345</v>
      </c>
      <c r="B344">
        <v>500</v>
      </c>
      <c r="C344">
        <v>10</v>
      </c>
      <c r="D344" s="4">
        <v>1E-3</v>
      </c>
      <c r="E344">
        <v>20</v>
      </c>
      <c r="F344">
        <v>100</v>
      </c>
      <c r="G344" s="3">
        <v>0.9</v>
      </c>
      <c r="H344" s="5">
        <v>0.05</v>
      </c>
      <c r="I344" t="s">
        <v>104</v>
      </c>
      <c r="J344">
        <f t="shared" si="50"/>
        <v>1</v>
      </c>
      <c r="K344">
        <f t="shared" si="51"/>
        <v>1</v>
      </c>
      <c r="L344">
        <f t="shared" si="52"/>
        <v>1</v>
      </c>
      <c r="M344">
        <f t="shared" si="59"/>
        <v>1</v>
      </c>
      <c r="N344">
        <f t="shared" si="53"/>
        <v>1</v>
      </c>
      <c r="O344">
        <f t="shared" si="54"/>
        <v>0</v>
      </c>
      <c r="P344">
        <f t="shared" si="55"/>
        <v>1</v>
      </c>
      <c r="Q344">
        <f t="shared" si="56"/>
        <v>1</v>
      </c>
      <c r="R344">
        <f t="shared" si="57"/>
        <v>7</v>
      </c>
      <c r="S344" t="s">
        <v>105</v>
      </c>
      <c r="T344">
        <f t="shared" si="58"/>
        <v>5</v>
      </c>
    </row>
    <row r="345" spans="1:20" x14ac:dyDescent="0.2">
      <c r="A345">
        <v>346</v>
      </c>
      <c r="B345">
        <v>500</v>
      </c>
      <c r="C345">
        <v>10</v>
      </c>
      <c r="D345">
        <v>0.1</v>
      </c>
      <c r="E345">
        <v>20</v>
      </c>
      <c r="F345">
        <v>100</v>
      </c>
      <c r="G345" s="3">
        <v>0.1</v>
      </c>
      <c r="H345">
        <v>0.05</v>
      </c>
      <c r="I345" t="s">
        <v>104</v>
      </c>
      <c r="J345">
        <f t="shared" si="50"/>
        <v>1</v>
      </c>
      <c r="K345">
        <f t="shared" si="51"/>
        <v>1</v>
      </c>
      <c r="L345">
        <f t="shared" si="52"/>
        <v>1</v>
      </c>
      <c r="M345">
        <f t="shared" si="59"/>
        <v>1</v>
      </c>
      <c r="N345">
        <f t="shared" si="53"/>
        <v>1</v>
      </c>
      <c r="O345">
        <f t="shared" si="54"/>
        <v>0</v>
      </c>
      <c r="P345">
        <f t="shared" si="55"/>
        <v>1</v>
      </c>
      <c r="Q345">
        <f t="shared" si="56"/>
        <v>1</v>
      </c>
      <c r="R345">
        <f t="shared" si="57"/>
        <v>7</v>
      </c>
      <c r="S345" t="s">
        <v>111</v>
      </c>
      <c r="T345">
        <f t="shared" si="58"/>
        <v>5</v>
      </c>
    </row>
    <row r="346" spans="1:20" x14ac:dyDescent="0.2">
      <c r="A346">
        <v>347</v>
      </c>
      <c r="B346">
        <v>500</v>
      </c>
      <c r="C346">
        <v>10</v>
      </c>
      <c r="D346">
        <v>0.01</v>
      </c>
      <c r="E346">
        <v>20</v>
      </c>
      <c r="F346">
        <v>100</v>
      </c>
      <c r="G346" s="7">
        <v>45179</v>
      </c>
      <c r="H346">
        <v>0.05</v>
      </c>
      <c r="I346">
        <v>5</v>
      </c>
      <c r="J346">
        <f t="shared" si="50"/>
        <v>1</v>
      </c>
      <c r="K346">
        <f t="shared" si="51"/>
        <v>1</v>
      </c>
      <c r="L346">
        <f t="shared" si="52"/>
        <v>0</v>
      </c>
      <c r="M346">
        <f t="shared" si="59"/>
        <v>1</v>
      </c>
      <c r="N346">
        <f t="shared" si="53"/>
        <v>1</v>
      </c>
      <c r="O346">
        <f t="shared" si="54"/>
        <v>0</v>
      </c>
      <c r="P346">
        <f t="shared" si="55"/>
        <v>1</v>
      </c>
      <c r="Q346">
        <f t="shared" si="56"/>
        <v>1</v>
      </c>
      <c r="R346">
        <f t="shared" si="57"/>
        <v>6</v>
      </c>
      <c r="S346" t="s">
        <v>111</v>
      </c>
      <c r="T346">
        <f t="shared" si="58"/>
        <v>4</v>
      </c>
    </row>
    <row r="347" spans="1:20" x14ac:dyDescent="0.2">
      <c r="A347">
        <v>348</v>
      </c>
      <c r="B347">
        <v>500</v>
      </c>
      <c r="C347">
        <v>10</v>
      </c>
      <c r="D347" s="4">
        <v>1E-3</v>
      </c>
      <c r="E347">
        <v>20</v>
      </c>
      <c r="F347">
        <v>10</v>
      </c>
      <c r="G347" s="3">
        <v>0.5</v>
      </c>
      <c r="H347" s="5">
        <v>0.05</v>
      </c>
      <c r="I347" t="s">
        <v>104</v>
      </c>
      <c r="J347">
        <f t="shared" si="50"/>
        <v>1</v>
      </c>
      <c r="K347">
        <f t="shared" si="51"/>
        <v>1</v>
      </c>
      <c r="L347">
        <f t="shared" si="52"/>
        <v>1</v>
      </c>
      <c r="M347">
        <f t="shared" si="59"/>
        <v>1</v>
      </c>
      <c r="N347">
        <f t="shared" si="53"/>
        <v>0</v>
      </c>
      <c r="O347">
        <f t="shared" si="54"/>
        <v>1</v>
      </c>
      <c r="P347">
        <f t="shared" si="55"/>
        <v>1</v>
      </c>
      <c r="Q347">
        <f t="shared" si="56"/>
        <v>1</v>
      </c>
      <c r="R347">
        <f t="shared" si="57"/>
        <v>7</v>
      </c>
      <c r="S347" t="s">
        <v>125</v>
      </c>
      <c r="T347">
        <f t="shared" si="58"/>
        <v>5</v>
      </c>
    </row>
    <row r="348" spans="1:20" x14ac:dyDescent="0.2">
      <c r="A348">
        <v>349</v>
      </c>
      <c r="B348">
        <v>500</v>
      </c>
      <c r="C348">
        <v>10</v>
      </c>
      <c r="D348">
        <v>1</v>
      </c>
      <c r="E348">
        <v>20</v>
      </c>
      <c r="F348">
        <v>100</v>
      </c>
      <c r="G348">
        <v>10</v>
      </c>
      <c r="H348">
        <v>5</v>
      </c>
      <c r="I348">
        <v>100</v>
      </c>
      <c r="J348">
        <f t="shared" si="50"/>
        <v>1</v>
      </c>
      <c r="K348">
        <f t="shared" si="51"/>
        <v>1</v>
      </c>
      <c r="L348">
        <f t="shared" si="52"/>
        <v>0</v>
      </c>
      <c r="M348">
        <f t="shared" si="59"/>
        <v>1</v>
      </c>
      <c r="N348">
        <f t="shared" si="53"/>
        <v>1</v>
      </c>
      <c r="O348">
        <f t="shared" si="54"/>
        <v>0</v>
      </c>
      <c r="P348">
        <f t="shared" si="55"/>
        <v>0</v>
      </c>
      <c r="Q348">
        <f t="shared" si="56"/>
        <v>0</v>
      </c>
      <c r="R348">
        <f t="shared" si="57"/>
        <v>4</v>
      </c>
      <c r="S348" t="s">
        <v>125</v>
      </c>
      <c r="T348">
        <f t="shared" si="58"/>
        <v>4</v>
      </c>
    </row>
    <row r="349" spans="1:20" x14ac:dyDescent="0.2">
      <c r="A349">
        <v>350</v>
      </c>
      <c r="B349">
        <v>500</v>
      </c>
      <c r="C349">
        <v>10</v>
      </c>
      <c r="D349">
        <v>0.1</v>
      </c>
      <c r="E349">
        <v>20</v>
      </c>
      <c r="F349">
        <v>100</v>
      </c>
      <c r="G349">
        <v>10</v>
      </c>
      <c r="H349" t="s">
        <v>297</v>
      </c>
      <c r="I349" t="s">
        <v>266</v>
      </c>
      <c r="J349">
        <f t="shared" si="50"/>
        <v>1</v>
      </c>
      <c r="K349">
        <f t="shared" si="51"/>
        <v>1</v>
      </c>
      <c r="L349">
        <f t="shared" si="52"/>
        <v>1</v>
      </c>
      <c r="M349">
        <f t="shared" si="59"/>
        <v>1</v>
      </c>
      <c r="N349">
        <f t="shared" si="53"/>
        <v>1</v>
      </c>
      <c r="O349">
        <f t="shared" si="54"/>
        <v>0</v>
      </c>
      <c r="P349">
        <f t="shared" si="55"/>
        <v>0</v>
      </c>
      <c r="Q349">
        <f t="shared" si="56"/>
        <v>0</v>
      </c>
      <c r="R349">
        <f t="shared" si="57"/>
        <v>5</v>
      </c>
      <c r="S349" t="s">
        <v>125</v>
      </c>
      <c r="T349">
        <f t="shared" si="58"/>
        <v>5</v>
      </c>
    </row>
    <row r="350" spans="1:20" x14ac:dyDescent="0.2">
      <c r="A350">
        <v>351</v>
      </c>
      <c r="B350">
        <v>526</v>
      </c>
      <c r="C350">
        <v>10</v>
      </c>
      <c r="D350">
        <v>0.1</v>
      </c>
      <c r="E350">
        <v>20</v>
      </c>
      <c r="F350">
        <v>0.1</v>
      </c>
      <c r="G350">
        <v>85</v>
      </c>
      <c r="H350">
        <v>0.05</v>
      </c>
      <c r="I350">
        <v>5</v>
      </c>
      <c r="J350">
        <f t="shared" si="50"/>
        <v>0</v>
      </c>
      <c r="K350">
        <f t="shared" si="51"/>
        <v>1</v>
      </c>
      <c r="L350">
        <f t="shared" si="52"/>
        <v>1</v>
      </c>
      <c r="M350">
        <f t="shared" si="59"/>
        <v>1</v>
      </c>
      <c r="N350">
        <f t="shared" si="53"/>
        <v>0</v>
      </c>
      <c r="O350">
        <f t="shared" si="54"/>
        <v>0</v>
      </c>
      <c r="P350">
        <f t="shared" si="55"/>
        <v>1</v>
      </c>
      <c r="Q350">
        <f t="shared" si="56"/>
        <v>1</v>
      </c>
      <c r="R350">
        <f t="shared" si="57"/>
        <v>5</v>
      </c>
      <c r="S350" t="s">
        <v>97</v>
      </c>
      <c r="T350">
        <f t="shared" si="58"/>
        <v>3</v>
      </c>
    </row>
    <row r="351" spans="1:20" x14ac:dyDescent="0.2">
      <c r="A351">
        <v>352</v>
      </c>
      <c r="B351" s="3">
        <v>0.5</v>
      </c>
      <c r="C351" t="s">
        <v>1681</v>
      </c>
      <c r="D351" s="4">
        <v>1E-3</v>
      </c>
      <c r="E351" s="3">
        <v>0.2</v>
      </c>
      <c r="F351">
        <v>100</v>
      </c>
      <c r="G351">
        <v>10</v>
      </c>
      <c r="H351">
        <v>0.1</v>
      </c>
      <c r="I351" t="s">
        <v>530</v>
      </c>
      <c r="J351">
        <v>1</v>
      </c>
      <c r="K351">
        <v>1</v>
      </c>
      <c r="L351">
        <f t="shared" si="52"/>
        <v>1</v>
      </c>
      <c r="M351">
        <f t="shared" si="59"/>
        <v>1</v>
      </c>
      <c r="N351">
        <f t="shared" si="53"/>
        <v>1</v>
      </c>
      <c r="O351">
        <f t="shared" si="54"/>
        <v>0</v>
      </c>
      <c r="P351">
        <f t="shared" si="55"/>
        <v>0</v>
      </c>
      <c r="Q351">
        <f t="shared" si="56"/>
        <v>0</v>
      </c>
      <c r="R351">
        <f t="shared" si="57"/>
        <v>5</v>
      </c>
      <c r="S351" t="s">
        <v>105</v>
      </c>
      <c r="T351">
        <f t="shared" si="58"/>
        <v>5</v>
      </c>
    </row>
    <row r="352" spans="1:20" x14ac:dyDescent="0.2">
      <c r="A352">
        <v>353</v>
      </c>
      <c r="B352">
        <v>500</v>
      </c>
      <c r="C352">
        <v>10</v>
      </c>
      <c r="D352">
        <v>0.1</v>
      </c>
      <c r="E352">
        <v>20</v>
      </c>
      <c r="F352">
        <v>100</v>
      </c>
      <c r="G352" s="3">
        <v>0.9</v>
      </c>
      <c r="H352">
        <v>0.05</v>
      </c>
      <c r="I352" t="s">
        <v>104</v>
      </c>
      <c r="J352">
        <f t="shared" si="50"/>
        <v>1</v>
      </c>
      <c r="K352">
        <f t="shared" si="51"/>
        <v>1</v>
      </c>
      <c r="L352">
        <f t="shared" si="52"/>
        <v>1</v>
      </c>
      <c r="M352">
        <f t="shared" si="59"/>
        <v>1</v>
      </c>
      <c r="N352">
        <f t="shared" si="53"/>
        <v>1</v>
      </c>
      <c r="O352">
        <f t="shared" si="54"/>
        <v>0</v>
      </c>
      <c r="P352">
        <f t="shared" si="55"/>
        <v>1</v>
      </c>
      <c r="Q352">
        <f t="shared" si="56"/>
        <v>1</v>
      </c>
      <c r="R352">
        <f t="shared" si="57"/>
        <v>7</v>
      </c>
      <c r="S352" t="s">
        <v>97</v>
      </c>
      <c r="T352">
        <f t="shared" si="58"/>
        <v>5</v>
      </c>
    </row>
    <row r="353" spans="1:20" x14ac:dyDescent="0.2">
      <c r="A353">
        <v>354</v>
      </c>
      <c r="B353">
        <v>40</v>
      </c>
      <c r="C353">
        <v>10</v>
      </c>
      <c r="D353" s="3">
        <v>0.1</v>
      </c>
      <c r="E353" s="3">
        <v>0.2</v>
      </c>
      <c r="F353">
        <v>10</v>
      </c>
      <c r="G353" s="3">
        <v>0.1</v>
      </c>
      <c r="H353">
        <v>0.1</v>
      </c>
      <c r="I353">
        <v>20</v>
      </c>
      <c r="J353">
        <f t="shared" si="50"/>
        <v>0</v>
      </c>
      <c r="K353">
        <f t="shared" si="51"/>
        <v>1</v>
      </c>
      <c r="L353">
        <f t="shared" si="52"/>
        <v>1</v>
      </c>
      <c r="M353">
        <f t="shared" si="59"/>
        <v>1</v>
      </c>
      <c r="N353">
        <f t="shared" si="53"/>
        <v>0</v>
      </c>
      <c r="O353">
        <f t="shared" si="54"/>
        <v>0</v>
      </c>
      <c r="P353">
        <f t="shared" si="55"/>
        <v>0</v>
      </c>
      <c r="Q353">
        <f t="shared" si="56"/>
        <v>0</v>
      </c>
      <c r="R353">
        <f t="shared" si="57"/>
        <v>3</v>
      </c>
      <c r="S353" t="s">
        <v>105</v>
      </c>
      <c r="T353">
        <f t="shared" si="58"/>
        <v>3</v>
      </c>
    </row>
    <row r="354" spans="1:20" x14ac:dyDescent="0.2">
      <c r="A354">
        <v>355</v>
      </c>
      <c r="B354">
        <v>500</v>
      </c>
      <c r="C354">
        <v>10</v>
      </c>
      <c r="D354">
        <v>0.01</v>
      </c>
      <c r="E354">
        <v>20</v>
      </c>
      <c r="F354">
        <v>100</v>
      </c>
      <c r="G354">
        <v>18</v>
      </c>
      <c r="H354">
        <v>0.05</v>
      </c>
      <c r="I354">
        <v>100</v>
      </c>
      <c r="J354">
        <f t="shared" si="50"/>
        <v>1</v>
      </c>
      <c r="K354">
        <f t="shared" si="51"/>
        <v>1</v>
      </c>
      <c r="L354">
        <f t="shared" si="52"/>
        <v>0</v>
      </c>
      <c r="M354">
        <f t="shared" si="59"/>
        <v>1</v>
      </c>
      <c r="N354">
        <f t="shared" si="53"/>
        <v>1</v>
      </c>
      <c r="O354">
        <f t="shared" si="54"/>
        <v>0</v>
      </c>
      <c r="P354">
        <f t="shared" si="55"/>
        <v>1</v>
      </c>
      <c r="Q354">
        <f t="shared" si="56"/>
        <v>0</v>
      </c>
      <c r="R354">
        <f t="shared" si="57"/>
        <v>5</v>
      </c>
      <c r="S354" t="s">
        <v>97</v>
      </c>
      <c r="T354">
        <f t="shared" si="58"/>
        <v>4</v>
      </c>
    </row>
    <row r="355" spans="1:20" x14ac:dyDescent="0.2">
      <c r="A355">
        <v>356</v>
      </c>
      <c r="B355">
        <v>500</v>
      </c>
      <c r="C355">
        <v>1</v>
      </c>
      <c r="D355">
        <v>1</v>
      </c>
      <c r="E355">
        <v>20</v>
      </c>
      <c r="F355">
        <v>100</v>
      </c>
      <c r="G355" s="3">
        <v>0.9</v>
      </c>
      <c r="H355" t="s">
        <v>159</v>
      </c>
      <c r="I355" t="s">
        <v>330</v>
      </c>
      <c r="J355">
        <f t="shared" si="50"/>
        <v>1</v>
      </c>
      <c r="K355">
        <f t="shared" si="51"/>
        <v>0</v>
      </c>
      <c r="L355">
        <f t="shared" si="52"/>
        <v>0</v>
      </c>
      <c r="M355">
        <f t="shared" si="59"/>
        <v>1</v>
      </c>
      <c r="N355">
        <f t="shared" si="53"/>
        <v>1</v>
      </c>
      <c r="O355">
        <f t="shared" si="54"/>
        <v>0</v>
      </c>
      <c r="P355">
        <f t="shared" si="55"/>
        <v>1</v>
      </c>
      <c r="Q355">
        <v>1</v>
      </c>
      <c r="R355">
        <f t="shared" si="57"/>
        <v>5</v>
      </c>
      <c r="S355" t="s">
        <v>97</v>
      </c>
      <c r="T355">
        <f t="shared" si="58"/>
        <v>3</v>
      </c>
    </row>
    <row r="356" spans="1:20" x14ac:dyDescent="0.2">
      <c r="A356">
        <v>357</v>
      </c>
      <c r="B356" t="s">
        <v>1702</v>
      </c>
      <c r="C356">
        <v>10</v>
      </c>
      <c r="D356" s="4">
        <v>1E-3</v>
      </c>
      <c r="E356">
        <v>20</v>
      </c>
      <c r="F356">
        <v>100</v>
      </c>
      <c r="G356" s="3">
        <v>0.9</v>
      </c>
      <c r="H356">
        <v>0.05</v>
      </c>
      <c r="I356" t="s">
        <v>1703</v>
      </c>
      <c r="J356">
        <v>1</v>
      </c>
      <c r="K356">
        <f t="shared" si="51"/>
        <v>1</v>
      </c>
      <c r="L356">
        <f t="shared" si="52"/>
        <v>1</v>
      </c>
      <c r="M356">
        <f t="shared" si="59"/>
        <v>1</v>
      </c>
      <c r="N356">
        <f t="shared" si="53"/>
        <v>1</v>
      </c>
      <c r="O356">
        <f t="shared" si="54"/>
        <v>0</v>
      </c>
      <c r="P356">
        <f t="shared" si="55"/>
        <v>1</v>
      </c>
      <c r="Q356">
        <v>1</v>
      </c>
      <c r="R356">
        <f t="shared" si="57"/>
        <v>7</v>
      </c>
      <c r="S356" t="s">
        <v>97</v>
      </c>
      <c r="T356">
        <f t="shared" si="58"/>
        <v>5</v>
      </c>
    </row>
    <row r="357" spans="1:20" x14ac:dyDescent="0.2">
      <c r="A357">
        <v>358</v>
      </c>
      <c r="B357">
        <v>25</v>
      </c>
      <c r="C357">
        <v>10</v>
      </c>
      <c r="D357" s="3">
        <v>0.1</v>
      </c>
      <c r="E357" s="3">
        <v>0.25</v>
      </c>
      <c r="F357">
        <v>100</v>
      </c>
      <c r="G357">
        <v>10</v>
      </c>
      <c r="H357" s="5">
        <v>0.1</v>
      </c>
      <c r="I357" t="s">
        <v>136</v>
      </c>
      <c r="J357">
        <f t="shared" si="50"/>
        <v>0</v>
      </c>
      <c r="K357">
        <f t="shared" si="51"/>
        <v>1</v>
      </c>
      <c r="L357">
        <f t="shared" si="52"/>
        <v>1</v>
      </c>
      <c r="M357">
        <f t="shared" si="59"/>
        <v>0</v>
      </c>
      <c r="N357">
        <f t="shared" si="53"/>
        <v>1</v>
      </c>
      <c r="O357">
        <f t="shared" si="54"/>
        <v>0</v>
      </c>
      <c r="P357">
        <f t="shared" si="55"/>
        <v>0</v>
      </c>
      <c r="Q357">
        <v>1</v>
      </c>
      <c r="R357">
        <f t="shared" si="57"/>
        <v>4</v>
      </c>
      <c r="S357" t="s">
        <v>125</v>
      </c>
      <c r="T357">
        <f t="shared" si="58"/>
        <v>3</v>
      </c>
    </row>
    <row r="358" spans="1:20" x14ac:dyDescent="0.2">
      <c r="A358">
        <v>359</v>
      </c>
      <c r="B358">
        <v>500</v>
      </c>
      <c r="C358">
        <v>10</v>
      </c>
      <c r="D358">
        <v>0.01</v>
      </c>
      <c r="E358">
        <v>20</v>
      </c>
      <c r="F358">
        <v>100</v>
      </c>
      <c r="G358">
        <v>50</v>
      </c>
      <c r="H358" s="5">
        <v>0.05</v>
      </c>
      <c r="I358" t="s">
        <v>104</v>
      </c>
      <c r="J358">
        <f t="shared" si="50"/>
        <v>1</v>
      </c>
      <c r="K358">
        <f t="shared" si="51"/>
        <v>1</v>
      </c>
      <c r="L358">
        <f t="shared" si="52"/>
        <v>0</v>
      </c>
      <c r="M358">
        <f t="shared" si="59"/>
        <v>1</v>
      </c>
      <c r="N358">
        <f t="shared" si="53"/>
        <v>1</v>
      </c>
      <c r="O358">
        <f t="shared" si="54"/>
        <v>1</v>
      </c>
      <c r="P358">
        <f t="shared" si="55"/>
        <v>1</v>
      </c>
      <c r="Q358">
        <f t="shared" si="56"/>
        <v>1</v>
      </c>
      <c r="R358">
        <f t="shared" si="57"/>
        <v>7</v>
      </c>
      <c r="S358" t="s">
        <v>111</v>
      </c>
      <c r="T358">
        <f t="shared" si="58"/>
        <v>5</v>
      </c>
    </row>
    <row r="359" spans="1:20" x14ac:dyDescent="0.2">
      <c r="A359">
        <v>360</v>
      </c>
      <c r="B359">
        <v>500</v>
      </c>
      <c r="C359">
        <v>10</v>
      </c>
      <c r="D359">
        <v>0.1</v>
      </c>
      <c r="E359" s="3">
        <v>0.2</v>
      </c>
      <c r="F359">
        <v>100</v>
      </c>
      <c r="G359" s="3">
        <v>0.5</v>
      </c>
      <c r="H359" s="4">
        <v>5.0000000000000001E-4</v>
      </c>
      <c r="I359" t="s">
        <v>530</v>
      </c>
      <c r="J359">
        <f t="shared" si="50"/>
        <v>1</v>
      </c>
      <c r="K359">
        <f t="shared" si="51"/>
        <v>1</v>
      </c>
      <c r="L359">
        <f t="shared" si="52"/>
        <v>1</v>
      </c>
      <c r="M359">
        <f t="shared" si="59"/>
        <v>1</v>
      </c>
      <c r="N359">
        <f t="shared" si="53"/>
        <v>1</v>
      </c>
      <c r="O359">
        <f t="shared" si="54"/>
        <v>1</v>
      </c>
      <c r="P359">
        <f t="shared" si="55"/>
        <v>0</v>
      </c>
      <c r="Q359">
        <f t="shared" si="56"/>
        <v>0</v>
      </c>
      <c r="R359">
        <f t="shared" si="57"/>
        <v>6</v>
      </c>
      <c r="S359" t="s">
        <v>125</v>
      </c>
      <c r="T359">
        <f t="shared" si="58"/>
        <v>6</v>
      </c>
    </row>
    <row r="360" spans="1:20" x14ac:dyDescent="0.2">
      <c r="A360">
        <v>361</v>
      </c>
      <c r="B360">
        <v>500</v>
      </c>
      <c r="C360">
        <v>10</v>
      </c>
      <c r="D360">
        <v>0.1</v>
      </c>
      <c r="E360">
        <v>20</v>
      </c>
      <c r="F360">
        <v>10</v>
      </c>
      <c r="G360" s="3">
        <v>0.5</v>
      </c>
      <c r="H360">
        <v>0.05</v>
      </c>
      <c r="I360" t="s">
        <v>136</v>
      </c>
      <c r="J360">
        <f t="shared" si="50"/>
        <v>1</v>
      </c>
      <c r="K360">
        <f t="shared" si="51"/>
        <v>1</v>
      </c>
      <c r="L360">
        <f t="shared" si="52"/>
        <v>1</v>
      </c>
      <c r="M360">
        <f t="shared" si="59"/>
        <v>1</v>
      </c>
      <c r="N360">
        <f t="shared" si="53"/>
        <v>0</v>
      </c>
      <c r="O360">
        <f t="shared" si="54"/>
        <v>1</v>
      </c>
      <c r="P360">
        <f t="shared" si="55"/>
        <v>1</v>
      </c>
      <c r="Q360">
        <v>1</v>
      </c>
      <c r="R360">
        <f t="shared" si="57"/>
        <v>7</v>
      </c>
      <c r="S360" t="s">
        <v>105</v>
      </c>
      <c r="T360">
        <f t="shared" si="58"/>
        <v>5</v>
      </c>
    </row>
    <row r="361" spans="1:20" x14ac:dyDescent="0.2">
      <c r="A361">
        <v>362</v>
      </c>
      <c r="B361">
        <v>500</v>
      </c>
      <c r="C361">
        <v>10</v>
      </c>
      <c r="D361" s="4">
        <v>1E-3</v>
      </c>
      <c r="E361">
        <v>20</v>
      </c>
      <c r="F361">
        <v>100</v>
      </c>
      <c r="G361" s="3">
        <v>0.09</v>
      </c>
      <c r="H361" s="5">
        <v>0.05</v>
      </c>
      <c r="I361" t="s">
        <v>104</v>
      </c>
      <c r="J361">
        <f t="shared" si="50"/>
        <v>1</v>
      </c>
      <c r="K361">
        <f t="shared" si="51"/>
        <v>1</v>
      </c>
      <c r="L361">
        <f t="shared" si="52"/>
        <v>1</v>
      </c>
      <c r="M361">
        <f t="shared" si="59"/>
        <v>1</v>
      </c>
      <c r="N361">
        <f t="shared" si="53"/>
        <v>1</v>
      </c>
      <c r="O361">
        <f t="shared" si="54"/>
        <v>0</v>
      </c>
      <c r="P361">
        <f t="shared" si="55"/>
        <v>1</v>
      </c>
      <c r="Q361">
        <f t="shared" si="56"/>
        <v>1</v>
      </c>
      <c r="R361">
        <f t="shared" si="57"/>
        <v>7</v>
      </c>
      <c r="S361" t="s">
        <v>111</v>
      </c>
      <c r="T361">
        <f t="shared" si="58"/>
        <v>5</v>
      </c>
    </row>
    <row r="362" spans="1:20" x14ac:dyDescent="0.2">
      <c r="A362">
        <v>363</v>
      </c>
      <c r="B362">
        <v>500</v>
      </c>
      <c r="C362">
        <v>10</v>
      </c>
      <c r="D362">
        <v>0.1</v>
      </c>
      <c r="E362">
        <v>20</v>
      </c>
      <c r="F362">
        <v>100</v>
      </c>
      <c r="G362" t="s">
        <v>1728</v>
      </c>
      <c r="H362" t="s">
        <v>159</v>
      </c>
      <c r="I362" t="s">
        <v>104</v>
      </c>
      <c r="J362">
        <f t="shared" si="50"/>
        <v>1</v>
      </c>
      <c r="K362">
        <f t="shared" si="51"/>
        <v>1</v>
      </c>
      <c r="L362">
        <f t="shared" si="52"/>
        <v>1</v>
      </c>
      <c r="M362">
        <f t="shared" si="59"/>
        <v>1</v>
      </c>
      <c r="N362">
        <f t="shared" si="53"/>
        <v>1</v>
      </c>
      <c r="O362">
        <f t="shared" si="54"/>
        <v>0</v>
      </c>
      <c r="P362">
        <f t="shared" si="55"/>
        <v>1</v>
      </c>
      <c r="Q362">
        <f t="shared" si="56"/>
        <v>1</v>
      </c>
      <c r="R362">
        <f t="shared" si="57"/>
        <v>7</v>
      </c>
      <c r="S362" t="s">
        <v>105</v>
      </c>
      <c r="T362">
        <f t="shared" si="58"/>
        <v>5</v>
      </c>
    </row>
    <row r="363" spans="1:20" x14ac:dyDescent="0.2">
      <c r="A363">
        <v>364</v>
      </c>
      <c r="B363">
        <v>512</v>
      </c>
      <c r="C363">
        <v>10</v>
      </c>
      <c r="D363">
        <v>0.1</v>
      </c>
      <c r="E363">
        <v>20</v>
      </c>
      <c r="F363">
        <v>100</v>
      </c>
      <c r="G363" s="3">
        <v>0.5</v>
      </c>
      <c r="H363">
        <v>0.05</v>
      </c>
      <c r="I363">
        <v>5</v>
      </c>
      <c r="J363">
        <f t="shared" si="50"/>
        <v>0</v>
      </c>
      <c r="K363">
        <f t="shared" si="51"/>
        <v>1</v>
      </c>
      <c r="L363">
        <f t="shared" si="52"/>
        <v>1</v>
      </c>
      <c r="M363">
        <f t="shared" si="59"/>
        <v>1</v>
      </c>
      <c r="N363">
        <f t="shared" si="53"/>
        <v>1</v>
      </c>
      <c r="O363">
        <f t="shared" si="54"/>
        <v>1</v>
      </c>
      <c r="P363">
        <f t="shared" si="55"/>
        <v>1</v>
      </c>
      <c r="Q363">
        <f t="shared" si="56"/>
        <v>1</v>
      </c>
      <c r="R363">
        <f t="shared" si="57"/>
        <v>7</v>
      </c>
      <c r="S363" t="s">
        <v>125</v>
      </c>
      <c r="T363">
        <f t="shared" si="58"/>
        <v>5</v>
      </c>
    </row>
    <row r="364" spans="1:20" x14ac:dyDescent="0.2">
      <c r="A364">
        <v>365</v>
      </c>
      <c r="B364">
        <v>50</v>
      </c>
      <c r="C364">
        <v>10</v>
      </c>
      <c r="D364" s="4">
        <v>1E-3</v>
      </c>
      <c r="E364" s="3">
        <v>0.2</v>
      </c>
      <c r="F364">
        <v>100</v>
      </c>
      <c r="G364" s="3">
        <v>0.9</v>
      </c>
      <c r="H364">
        <v>1.05</v>
      </c>
      <c r="I364">
        <v>5</v>
      </c>
      <c r="J364">
        <f t="shared" si="50"/>
        <v>0</v>
      </c>
      <c r="K364">
        <f t="shared" si="51"/>
        <v>1</v>
      </c>
      <c r="L364">
        <f t="shared" si="52"/>
        <v>1</v>
      </c>
      <c r="M364">
        <f t="shared" si="59"/>
        <v>1</v>
      </c>
      <c r="N364">
        <f t="shared" si="53"/>
        <v>1</v>
      </c>
      <c r="O364">
        <f t="shared" si="54"/>
        <v>0</v>
      </c>
      <c r="P364">
        <f t="shared" si="55"/>
        <v>0</v>
      </c>
      <c r="Q364">
        <f t="shared" si="56"/>
        <v>1</v>
      </c>
      <c r="R364">
        <f t="shared" si="57"/>
        <v>5</v>
      </c>
      <c r="S364" t="s">
        <v>111</v>
      </c>
      <c r="T364">
        <f t="shared" si="58"/>
        <v>4</v>
      </c>
    </row>
    <row r="365" spans="1:20" x14ac:dyDescent="0.2">
      <c r="A365">
        <v>366</v>
      </c>
      <c r="B365" t="s">
        <v>1741</v>
      </c>
      <c r="C365" t="s">
        <v>1742</v>
      </c>
      <c r="D365" t="s">
        <v>1743</v>
      </c>
      <c r="E365" s="3">
        <v>0.2</v>
      </c>
      <c r="F365" t="s">
        <v>717</v>
      </c>
      <c r="G365" t="s">
        <v>1744</v>
      </c>
      <c r="H365" s="5">
        <v>0.1</v>
      </c>
      <c r="I365" t="s">
        <v>1745</v>
      </c>
      <c r="J365">
        <v>1</v>
      </c>
      <c r="K365">
        <v>1</v>
      </c>
      <c r="L365">
        <f t="shared" si="52"/>
        <v>0</v>
      </c>
      <c r="M365">
        <f t="shared" si="59"/>
        <v>1</v>
      </c>
      <c r="N365">
        <v>1</v>
      </c>
      <c r="O365">
        <f t="shared" si="54"/>
        <v>0</v>
      </c>
      <c r="P365">
        <f t="shared" si="55"/>
        <v>0</v>
      </c>
      <c r="Q365">
        <f t="shared" si="56"/>
        <v>0</v>
      </c>
      <c r="R365">
        <f t="shared" si="57"/>
        <v>4</v>
      </c>
      <c r="S365" t="s">
        <v>105</v>
      </c>
      <c r="T365">
        <f t="shared" si="58"/>
        <v>4</v>
      </c>
    </row>
    <row r="366" spans="1:20" x14ac:dyDescent="0.2">
      <c r="A366">
        <v>367</v>
      </c>
      <c r="B366">
        <v>500</v>
      </c>
      <c r="C366">
        <v>10</v>
      </c>
      <c r="D366" s="4">
        <v>1E-3</v>
      </c>
      <c r="E366">
        <v>20</v>
      </c>
      <c r="F366">
        <v>100</v>
      </c>
      <c r="G366">
        <v>50</v>
      </c>
      <c r="H366" s="5">
        <v>0.05</v>
      </c>
      <c r="I366" t="s">
        <v>104</v>
      </c>
      <c r="J366">
        <f t="shared" si="50"/>
        <v>1</v>
      </c>
      <c r="K366">
        <f t="shared" si="51"/>
        <v>1</v>
      </c>
      <c r="L366">
        <f t="shared" si="52"/>
        <v>1</v>
      </c>
      <c r="M366">
        <f t="shared" si="59"/>
        <v>1</v>
      </c>
      <c r="N366">
        <f t="shared" si="53"/>
        <v>1</v>
      </c>
      <c r="O366">
        <f t="shared" si="54"/>
        <v>1</v>
      </c>
      <c r="P366">
        <f t="shared" si="55"/>
        <v>1</v>
      </c>
      <c r="Q366">
        <f t="shared" si="56"/>
        <v>1</v>
      </c>
      <c r="R366">
        <f t="shared" si="57"/>
        <v>8</v>
      </c>
      <c r="S366" t="s">
        <v>105</v>
      </c>
      <c r="T366">
        <f t="shared" si="58"/>
        <v>6</v>
      </c>
    </row>
    <row r="367" spans="1:20" x14ac:dyDescent="0.2">
      <c r="A367">
        <v>368</v>
      </c>
      <c r="B367">
        <v>500</v>
      </c>
      <c r="C367">
        <v>10</v>
      </c>
      <c r="D367">
        <v>1E-3</v>
      </c>
      <c r="E367">
        <v>20</v>
      </c>
      <c r="F367">
        <v>100</v>
      </c>
      <c r="G367" s="3">
        <v>0.5</v>
      </c>
      <c r="H367" t="s">
        <v>159</v>
      </c>
      <c r="I367">
        <v>5</v>
      </c>
      <c r="J367">
        <f t="shared" si="50"/>
        <v>1</v>
      </c>
      <c r="K367">
        <f t="shared" si="51"/>
        <v>1</v>
      </c>
      <c r="L367">
        <f t="shared" si="52"/>
        <v>1</v>
      </c>
      <c r="M367">
        <f t="shared" si="59"/>
        <v>1</v>
      </c>
      <c r="N367">
        <f t="shared" si="53"/>
        <v>1</v>
      </c>
      <c r="O367">
        <f t="shared" si="54"/>
        <v>1</v>
      </c>
      <c r="P367">
        <f t="shared" si="55"/>
        <v>1</v>
      </c>
      <c r="Q367">
        <f t="shared" si="56"/>
        <v>1</v>
      </c>
      <c r="R367">
        <f t="shared" si="57"/>
        <v>8</v>
      </c>
      <c r="S367" t="s">
        <v>125</v>
      </c>
      <c r="T367">
        <f t="shared" si="58"/>
        <v>6</v>
      </c>
    </row>
    <row r="368" spans="1:20" x14ac:dyDescent="0.2">
      <c r="A368">
        <v>369</v>
      </c>
      <c r="B368">
        <v>500</v>
      </c>
      <c r="C368">
        <v>10</v>
      </c>
      <c r="D368">
        <v>1E-3</v>
      </c>
      <c r="E368">
        <v>20</v>
      </c>
      <c r="F368">
        <v>100</v>
      </c>
      <c r="G368">
        <v>9</v>
      </c>
      <c r="H368">
        <v>1.05</v>
      </c>
      <c r="I368">
        <v>5</v>
      </c>
      <c r="J368">
        <f t="shared" si="50"/>
        <v>1</v>
      </c>
      <c r="K368">
        <f t="shared" si="51"/>
        <v>1</v>
      </c>
      <c r="L368">
        <f t="shared" si="52"/>
        <v>1</v>
      </c>
      <c r="M368">
        <f t="shared" si="59"/>
        <v>1</v>
      </c>
      <c r="N368">
        <f t="shared" si="53"/>
        <v>1</v>
      </c>
      <c r="O368">
        <f t="shared" si="54"/>
        <v>0</v>
      </c>
      <c r="P368">
        <f t="shared" si="55"/>
        <v>0</v>
      </c>
      <c r="Q368">
        <f t="shared" si="56"/>
        <v>1</v>
      </c>
      <c r="R368">
        <f t="shared" si="57"/>
        <v>6</v>
      </c>
      <c r="S368" t="s">
        <v>111</v>
      </c>
      <c r="T368">
        <f t="shared" si="58"/>
        <v>5</v>
      </c>
    </row>
    <row r="369" spans="1:20" x14ac:dyDescent="0.2">
      <c r="A369">
        <v>370</v>
      </c>
      <c r="B369" t="s">
        <v>1763</v>
      </c>
      <c r="C369" t="s">
        <v>1764</v>
      </c>
      <c r="D369" t="s">
        <v>1765</v>
      </c>
      <c r="E369" t="s">
        <v>1766</v>
      </c>
      <c r="F369" t="s">
        <v>1767</v>
      </c>
      <c r="G369" t="s">
        <v>1768</v>
      </c>
      <c r="H369" s="5">
        <v>0.1</v>
      </c>
      <c r="I369" t="s">
        <v>266</v>
      </c>
      <c r="J369">
        <f t="shared" si="50"/>
        <v>0</v>
      </c>
      <c r="K369">
        <v>1</v>
      </c>
      <c r="L369">
        <v>1</v>
      </c>
      <c r="M369">
        <v>1</v>
      </c>
      <c r="N369">
        <v>1</v>
      </c>
      <c r="O369">
        <f t="shared" si="54"/>
        <v>0</v>
      </c>
      <c r="P369">
        <f t="shared" si="55"/>
        <v>0</v>
      </c>
      <c r="Q369">
        <f t="shared" si="56"/>
        <v>0</v>
      </c>
      <c r="R369">
        <f t="shared" si="57"/>
        <v>4</v>
      </c>
      <c r="S369" t="s">
        <v>105</v>
      </c>
      <c r="T369">
        <f t="shared" si="58"/>
        <v>4</v>
      </c>
    </row>
    <row r="370" spans="1:20" x14ac:dyDescent="0.2">
      <c r="A370">
        <v>371</v>
      </c>
      <c r="B370">
        <v>300</v>
      </c>
      <c r="C370">
        <v>10</v>
      </c>
      <c r="D370" s="4">
        <v>1E-3</v>
      </c>
      <c r="E370">
        <v>20</v>
      </c>
      <c r="F370">
        <v>10</v>
      </c>
      <c r="G370" t="s">
        <v>103</v>
      </c>
      <c r="H370">
        <v>0.1</v>
      </c>
      <c r="I370" t="s">
        <v>104</v>
      </c>
      <c r="J370">
        <f t="shared" si="50"/>
        <v>0</v>
      </c>
      <c r="K370">
        <f t="shared" si="51"/>
        <v>1</v>
      </c>
      <c r="L370">
        <f t="shared" si="52"/>
        <v>1</v>
      </c>
      <c r="M370">
        <f t="shared" si="59"/>
        <v>1</v>
      </c>
      <c r="N370">
        <f t="shared" si="53"/>
        <v>0</v>
      </c>
      <c r="O370">
        <f t="shared" si="54"/>
        <v>0</v>
      </c>
      <c r="P370">
        <f t="shared" si="55"/>
        <v>0</v>
      </c>
      <c r="Q370">
        <f t="shared" si="56"/>
        <v>1</v>
      </c>
      <c r="R370">
        <f t="shared" si="57"/>
        <v>4</v>
      </c>
      <c r="S370" t="s">
        <v>97</v>
      </c>
      <c r="T370">
        <f t="shared" si="58"/>
        <v>3</v>
      </c>
    </row>
    <row r="371" spans="1:20" x14ac:dyDescent="0.2">
      <c r="A371">
        <v>372</v>
      </c>
      <c r="B371" t="s">
        <v>1777</v>
      </c>
      <c r="C371">
        <v>100</v>
      </c>
      <c r="D371" t="s">
        <v>1778</v>
      </c>
      <c r="E371">
        <v>25</v>
      </c>
      <c r="F371">
        <v>100</v>
      </c>
      <c r="G371" t="s">
        <v>1779</v>
      </c>
      <c r="H371" t="s">
        <v>159</v>
      </c>
      <c r="I371" t="s">
        <v>104</v>
      </c>
      <c r="J371">
        <f t="shared" si="50"/>
        <v>0</v>
      </c>
      <c r="K371">
        <f t="shared" si="51"/>
        <v>0</v>
      </c>
      <c r="L371">
        <f t="shared" si="52"/>
        <v>0</v>
      </c>
      <c r="M371">
        <f t="shared" si="59"/>
        <v>0</v>
      </c>
      <c r="N371">
        <f t="shared" si="53"/>
        <v>1</v>
      </c>
      <c r="O371">
        <f t="shared" si="54"/>
        <v>0</v>
      </c>
      <c r="P371">
        <f t="shared" si="55"/>
        <v>1</v>
      </c>
      <c r="Q371">
        <f t="shared" si="56"/>
        <v>1</v>
      </c>
      <c r="R371">
        <f t="shared" si="57"/>
        <v>3</v>
      </c>
      <c r="S371" t="s">
        <v>125</v>
      </c>
      <c r="T371">
        <f t="shared" si="58"/>
        <v>1</v>
      </c>
    </row>
    <row r="372" spans="1:20" x14ac:dyDescent="0.2">
      <c r="A372">
        <v>373</v>
      </c>
      <c r="B372">
        <v>387</v>
      </c>
      <c r="C372">
        <v>0.01</v>
      </c>
      <c r="D372">
        <v>1E-3</v>
      </c>
      <c r="E372">
        <v>0.2</v>
      </c>
      <c r="F372">
        <v>10</v>
      </c>
      <c r="G372">
        <v>0.18</v>
      </c>
      <c r="H372">
        <v>5</v>
      </c>
      <c r="I372">
        <v>5</v>
      </c>
      <c r="J372">
        <f t="shared" si="50"/>
        <v>0</v>
      </c>
      <c r="K372">
        <f t="shared" si="51"/>
        <v>0</v>
      </c>
      <c r="L372">
        <f t="shared" si="52"/>
        <v>1</v>
      </c>
      <c r="M372">
        <f t="shared" si="59"/>
        <v>1</v>
      </c>
      <c r="N372">
        <f t="shared" si="53"/>
        <v>0</v>
      </c>
      <c r="O372">
        <f t="shared" si="54"/>
        <v>0</v>
      </c>
      <c r="P372">
        <f t="shared" si="55"/>
        <v>0</v>
      </c>
      <c r="Q372">
        <f t="shared" si="56"/>
        <v>1</v>
      </c>
      <c r="R372">
        <f t="shared" si="57"/>
        <v>3</v>
      </c>
      <c r="S372" t="s">
        <v>105</v>
      </c>
      <c r="T372">
        <f t="shared" si="58"/>
        <v>2</v>
      </c>
    </row>
    <row r="373" spans="1:20" x14ac:dyDescent="0.2">
      <c r="A373">
        <v>374</v>
      </c>
      <c r="B373">
        <v>500</v>
      </c>
      <c r="C373">
        <v>10</v>
      </c>
      <c r="D373">
        <v>0.1</v>
      </c>
      <c r="E373">
        <v>20</v>
      </c>
      <c r="F373">
        <v>100</v>
      </c>
      <c r="G373" s="3">
        <v>0.9</v>
      </c>
      <c r="H373" s="5">
        <v>0.05</v>
      </c>
      <c r="I373" t="s">
        <v>266</v>
      </c>
      <c r="J373">
        <f t="shared" si="50"/>
        <v>1</v>
      </c>
      <c r="K373">
        <f t="shared" si="51"/>
        <v>1</v>
      </c>
      <c r="L373">
        <f t="shared" si="52"/>
        <v>1</v>
      </c>
      <c r="M373">
        <f t="shared" si="59"/>
        <v>1</v>
      </c>
      <c r="N373">
        <f t="shared" si="53"/>
        <v>1</v>
      </c>
      <c r="O373">
        <f t="shared" si="54"/>
        <v>0</v>
      </c>
      <c r="P373">
        <f t="shared" si="55"/>
        <v>1</v>
      </c>
      <c r="Q373">
        <f t="shared" si="56"/>
        <v>0</v>
      </c>
      <c r="R373">
        <f t="shared" si="57"/>
        <v>6</v>
      </c>
      <c r="S373" t="s">
        <v>125</v>
      </c>
      <c r="T373">
        <f t="shared" si="58"/>
        <v>5</v>
      </c>
    </row>
    <row r="374" spans="1:20" x14ac:dyDescent="0.2">
      <c r="A374">
        <v>375</v>
      </c>
      <c r="B374">
        <v>375</v>
      </c>
      <c r="C374">
        <v>10</v>
      </c>
      <c r="D374">
        <v>1E-3</v>
      </c>
      <c r="E374">
        <v>0.2</v>
      </c>
      <c r="F374">
        <v>10</v>
      </c>
      <c r="G374">
        <v>0.9</v>
      </c>
      <c r="H374">
        <v>10</v>
      </c>
      <c r="I374">
        <v>5</v>
      </c>
      <c r="J374">
        <f t="shared" si="50"/>
        <v>0</v>
      </c>
      <c r="K374">
        <f t="shared" si="51"/>
        <v>1</v>
      </c>
      <c r="L374">
        <f t="shared" si="52"/>
        <v>1</v>
      </c>
      <c r="M374">
        <f t="shared" si="59"/>
        <v>1</v>
      </c>
      <c r="N374">
        <f t="shared" si="53"/>
        <v>0</v>
      </c>
      <c r="O374">
        <f t="shared" si="54"/>
        <v>0</v>
      </c>
      <c r="P374">
        <f t="shared" si="55"/>
        <v>0</v>
      </c>
      <c r="Q374">
        <f t="shared" si="56"/>
        <v>1</v>
      </c>
      <c r="R374">
        <f t="shared" si="57"/>
        <v>4</v>
      </c>
      <c r="S374" t="s">
        <v>111</v>
      </c>
      <c r="T374">
        <f t="shared" si="58"/>
        <v>3</v>
      </c>
    </row>
    <row r="375" spans="1:20" x14ac:dyDescent="0.2">
      <c r="A375">
        <v>376</v>
      </c>
      <c r="B375">
        <v>500</v>
      </c>
      <c r="C375" s="4">
        <v>1.0000000000000001E-5</v>
      </c>
      <c r="D375" s="4">
        <v>1.0000000000000001E-5</v>
      </c>
      <c r="E375" s="3">
        <v>0.2</v>
      </c>
      <c r="F375" s="3">
        <v>0.01</v>
      </c>
      <c r="G375" t="s">
        <v>1796</v>
      </c>
      <c r="H375">
        <v>0.1</v>
      </c>
      <c r="I375" t="s">
        <v>266</v>
      </c>
      <c r="J375">
        <f t="shared" si="50"/>
        <v>1</v>
      </c>
      <c r="K375">
        <f t="shared" si="51"/>
        <v>0</v>
      </c>
      <c r="L375">
        <f t="shared" si="52"/>
        <v>0</v>
      </c>
      <c r="M375">
        <f t="shared" si="59"/>
        <v>1</v>
      </c>
      <c r="N375">
        <f t="shared" si="53"/>
        <v>0</v>
      </c>
      <c r="O375">
        <f t="shared" si="54"/>
        <v>0</v>
      </c>
      <c r="P375">
        <f t="shared" si="55"/>
        <v>0</v>
      </c>
      <c r="Q375">
        <f t="shared" si="56"/>
        <v>0</v>
      </c>
      <c r="R375">
        <f t="shared" si="57"/>
        <v>2</v>
      </c>
      <c r="S375" t="s">
        <v>97</v>
      </c>
      <c r="T375">
        <f t="shared" si="58"/>
        <v>2</v>
      </c>
    </row>
    <row r="376" spans="1:20" x14ac:dyDescent="0.2">
      <c r="A376">
        <v>377</v>
      </c>
      <c r="B376" t="s">
        <v>715</v>
      </c>
      <c r="C376" t="s">
        <v>716</v>
      </c>
      <c r="D376" s="4">
        <v>1E-3</v>
      </c>
      <c r="E376">
        <v>20</v>
      </c>
      <c r="F376">
        <v>100</v>
      </c>
      <c r="G376" s="3">
        <v>0.09</v>
      </c>
      <c r="H376" s="5">
        <v>0.05</v>
      </c>
      <c r="I376" t="s">
        <v>266</v>
      </c>
      <c r="J376">
        <v>1</v>
      </c>
      <c r="K376">
        <v>1</v>
      </c>
      <c r="L376">
        <f t="shared" si="52"/>
        <v>1</v>
      </c>
      <c r="M376">
        <f t="shared" si="59"/>
        <v>1</v>
      </c>
      <c r="N376">
        <f t="shared" si="53"/>
        <v>1</v>
      </c>
      <c r="O376">
        <f t="shared" si="54"/>
        <v>0</v>
      </c>
      <c r="P376">
        <f t="shared" si="55"/>
        <v>1</v>
      </c>
      <c r="Q376">
        <f t="shared" si="56"/>
        <v>0</v>
      </c>
      <c r="R376">
        <f t="shared" si="57"/>
        <v>6</v>
      </c>
      <c r="S376" t="s">
        <v>111</v>
      </c>
      <c r="T376">
        <f t="shared" si="58"/>
        <v>5</v>
      </c>
    </row>
    <row r="377" spans="1:20" x14ac:dyDescent="0.2">
      <c r="A377">
        <v>378</v>
      </c>
      <c r="B377">
        <v>500</v>
      </c>
      <c r="C377">
        <v>10</v>
      </c>
      <c r="D377" s="4">
        <v>1.0000000000000001E-5</v>
      </c>
      <c r="E377" s="4">
        <v>2E-3</v>
      </c>
      <c r="F377">
        <v>100</v>
      </c>
      <c r="G377" s="4">
        <v>1.7999999999999999E-2</v>
      </c>
      <c r="H377">
        <v>0.1</v>
      </c>
      <c r="I377">
        <v>500</v>
      </c>
      <c r="J377">
        <f t="shared" si="50"/>
        <v>1</v>
      </c>
      <c r="K377">
        <f t="shared" si="51"/>
        <v>1</v>
      </c>
      <c r="L377">
        <f t="shared" si="52"/>
        <v>0</v>
      </c>
      <c r="M377">
        <f t="shared" si="59"/>
        <v>0</v>
      </c>
      <c r="N377">
        <f t="shared" si="53"/>
        <v>1</v>
      </c>
      <c r="O377">
        <f t="shared" si="54"/>
        <v>0</v>
      </c>
      <c r="P377">
        <f t="shared" si="55"/>
        <v>0</v>
      </c>
      <c r="Q377">
        <f t="shared" si="56"/>
        <v>0</v>
      </c>
      <c r="R377">
        <f t="shared" si="57"/>
        <v>3</v>
      </c>
      <c r="S377" t="s">
        <v>111</v>
      </c>
      <c r="T377">
        <f t="shared" si="58"/>
        <v>3</v>
      </c>
    </row>
    <row r="378" spans="1:20" x14ac:dyDescent="0.2">
      <c r="A378">
        <v>379</v>
      </c>
      <c r="B378">
        <v>280</v>
      </c>
      <c r="C378">
        <v>100</v>
      </c>
      <c r="D378">
        <v>1</v>
      </c>
      <c r="E378">
        <v>30</v>
      </c>
      <c r="F378">
        <v>100</v>
      </c>
      <c r="G378" s="3">
        <v>0.4</v>
      </c>
      <c r="H378">
        <v>10</v>
      </c>
      <c r="I378">
        <v>5</v>
      </c>
      <c r="J378">
        <f t="shared" si="50"/>
        <v>0</v>
      </c>
      <c r="K378">
        <f t="shared" si="51"/>
        <v>0</v>
      </c>
      <c r="L378">
        <f t="shared" si="52"/>
        <v>0</v>
      </c>
      <c r="M378">
        <f t="shared" si="59"/>
        <v>0</v>
      </c>
      <c r="N378">
        <f t="shared" si="53"/>
        <v>1</v>
      </c>
      <c r="O378">
        <f t="shared" si="54"/>
        <v>0</v>
      </c>
      <c r="P378">
        <f t="shared" si="55"/>
        <v>0</v>
      </c>
      <c r="Q378">
        <f t="shared" si="56"/>
        <v>1</v>
      </c>
      <c r="R378">
        <f t="shared" si="57"/>
        <v>2</v>
      </c>
      <c r="S378" t="s">
        <v>105</v>
      </c>
      <c r="T378">
        <f t="shared" si="58"/>
        <v>1</v>
      </c>
    </row>
    <row r="379" spans="1:20" x14ac:dyDescent="0.2">
      <c r="A379">
        <v>380</v>
      </c>
      <c r="B379">
        <v>500</v>
      </c>
      <c r="C379">
        <v>10</v>
      </c>
      <c r="D379">
        <v>0.01</v>
      </c>
      <c r="E379">
        <v>20</v>
      </c>
      <c r="F379">
        <v>100</v>
      </c>
      <c r="G379" s="3">
        <v>0.1</v>
      </c>
      <c r="H379">
        <v>0.05</v>
      </c>
      <c r="I379" t="s">
        <v>104</v>
      </c>
      <c r="J379">
        <f t="shared" si="50"/>
        <v>1</v>
      </c>
      <c r="K379">
        <f t="shared" si="51"/>
        <v>1</v>
      </c>
      <c r="L379">
        <f t="shared" si="52"/>
        <v>0</v>
      </c>
      <c r="M379">
        <f t="shared" si="59"/>
        <v>1</v>
      </c>
      <c r="N379">
        <f t="shared" si="53"/>
        <v>1</v>
      </c>
      <c r="O379">
        <f t="shared" si="54"/>
        <v>0</v>
      </c>
      <c r="P379">
        <f t="shared" si="55"/>
        <v>1</v>
      </c>
      <c r="Q379">
        <f t="shared" si="56"/>
        <v>1</v>
      </c>
      <c r="R379">
        <f t="shared" si="57"/>
        <v>6</v>
      </c>
      <c r="S379" t="s">
        <v>105</v>
      </c>
      <c r="T379">
        <f t="shared" si="58"/>
        <v>4</v>
      </c>
    </row>
    <row r="380" spans="1:20" x14ac:dyDescent="0.2">
      <c r="A380">
        <v>381</v>
      </c>
      <c r="B380">
        <v>500</v>
      </c>
      <c r="C380">
        <v>10</v>
      </c>
      <c r="D380">
        <v>0.1</v>
      </c>
      <c r="E380">
        <v>20</v>
      </c>
      <c r="F380">
        <v>100</v>
      </c>
      <c r="G380" t="s">
        <v>175</v>
      </c>
      <c r="H380" t="s">
        <v>159</v>
      </c>
      <c r="I380" t="s">
        <v>104</v>
      </c>
      <c r="J380">
        <f t="shared" si="50"/>
        <v>1</v>
      </c>
      <c r="K380">
        <f t="shared" si="51"/>
        <v>1</v>
      </c>
      <c r="L380">
        <f t="shared" si="52"/>
        <v>1</v>
      </c>
      <c r="M380">
        <f t="shared" si="59"/>
        <v>1</v>
      </c>
      <c r="N380">
        <f t="shared" si="53"/>
        <v>1</v>
      </c>
      <c r="O380">
        <f t="shared" si="54"/>
        <v>0</v>
      </c>
      <c r="P380">
        <f t="shared" si="55"/>
        <v>1</v>
      </c>
      <c r="Q380">
        <f t="shared" si="56"/>
        <v>1</v>
      </c>
      <c r="R380">
        <f t="shared" si="57"/>
        <v>7</v>
      </c>
      <c r="S380" t="s">
        <v>125</v>
      </c>
      <c r="T380">
        <f t="shared" si="58"/>
        <v>5</v>
      </c>
    </row>
    <row r="381" spans="1:20" x14ac:dyDescent="0.2">
      <c r="A381">
        <v>382</v>
      </c>
      <c r="B381">
        <v>500</v>
      </c>
      <c r="C381">
        <v>10</v>
      </c>
      <c r="D381" s="4">
        <v>1E-4</v>
      </c>
      <c r="E381">
        <v>20</v>
      </c>
      <c r="F381">
        <v>100</v>
      </c>
      <c r="G381">
        <v>9</v>
      </c>
      <c r="H381">
        <v>0.1</v>
      </c>
      <c r="I381" t="s">
        <v>266</v>
      </c>
      <c r="J381">
        <f t="shared" si="50"/>
        <v>1</v>
      </c>
      <c r="K381">
        <f t="shared" si="51"/>
        <v>1</v>
      </c>
      <c r="L381">
        <f t="shared" si="52"/>
        <v>0</v>
      </c>
      <c r="M381">
        <f t="shared" si="59"/>
        <v>1</v>
      </c>
      <c r="N381">
        <f t="shared" si="53"/>
        <v>1</v>
      </c>
      <c r="O381">
        <f t="shared" si="54"/>
        <v>0</v>
      </c>
      <c r="P381">
        <f t="shared" si="55"/>
        <v>0</v>
      </c>
      <c r="Q381">
        <f t="shared" si="56"/>
        <v>0</v>
      </c>
      <c r="R381">
        <f t="shared" si="57"/>
        <v>4</v>
      </c>
      <c r="S381" t="s">
        <v>105</v>
      </c>
      <c r="T381">
        <f t="shared" si="58"/>
        <v>4</v>
      </c>
    </row>
    <row r="382" spans="1:20" x14ac:dyDescent="0.2">
      <c r="A382">
        <v>383</v>
      </c>
      <c r="B382">
        <v>500</v>
      </c>
      <c r="C382">
        <v>10</v>
      </c>
      <c r="D382">
        <v>0.1</v>
      </c>
      <c r="E382">
        <v>20</v>
      </c>
      <c r="F382">
        <v>100</v>
      </c>
      <c r="G382">
        <v>56</v>
      </c>
      <c r="H382">
        <v>0.05</v>
      </c>
      <c r="I382" t="s">
        <v>104</v>
      </c>
      <c r="J382">
        <f t="shared" si="50"/>
        <v>1</v>
      </c>
      <c r="K382">
        <f t="shared" si="51"/>
        <v>1</v>
      </c>
      <c r="L382">
        <f t="shared" si="52"/>
        <v>1</v>
      </c>
      <c r="M382">
        <f t="shared" si="59"/>
        <v>1</v>
      </c>
      <c r="N382">
        <f t="shared" si="53"/>
        <v>1</v>
      </c>
      <c r="O382">
        <f t="shared" si="54"/>
        <v>0</v>
      </c>
      <c r="P382">
        <f t="shared" si="55"/>
        <v>1</v>
      </c>
      <c r="Q382">
        <f t="shared" si="56"/>
        <v>1</v>
      </c>
      <c r="R382">
        <f t="shared" si="57"/>
        <v>7</v>
      </c>
      <c r="S382" t="s">
        <v>105</v>
      </c>
      <c r="T382">
        <f t="shared" si="58"/>
        <v>5</v>
      </c>
    </row>
    <row r="383" spans="1:20" x14ac:dyDescent="0.2">
      <c r="A383">
        <v>384</v>
      </c>
      <c r="B383">
        <v>500</v>
      </c>
      <c r="C383">
        <v>10</v>
      </c>
      <c r="D383">
        <v>0.1</v>
      </c>
      <c r="E383">
        <v>20</v>
      </c>
      <c r="F383">
        <v>100</v>
      </c>
      <c r="G383">
        <v>10</v>
      </c>
      <c r="H383">
        <v>5</v>
      </c>
      <c r="I383">
        <v>5</v>
      </c>
      <c r="J383">
        <f t="shared" si="50"/>
        <v>1</v>
      </c>
      <c r="K383">
        <f t="shared" si="51"/>
        <v>1</v>
      </c>
      <c r="L383">
        <f t="shared" si="52"/>
        <v>1</v>
      </c>
      <c r="M383">
        <f t="shared" si="59"/>
        <v>1</v>
      </c>
      <c r="N383">
        <f t="shared" si="53"/>
        <v>1</v>
      </c>
      <c r="O383">
        <f t="shared" si="54"/>
        <v>0</v>
      </c>
      <c r="P383">
        <f t="shared" si="55"/>
        <v>0</v>
      </c>
      <c r="Q383">
        <f t="shared" si="56"/>
        <v>1</v>
      </c>
      <c r="R383">
        <f t="shared" si="57"/>
        <v>6</v>
      </c>
      <c r="S383" t="s">
        <v>111</v>
      </c>
      <c r="T383">
        <f t="shared" si="58"/>
        <v>5</v>
      </c>
    </row>
    <row r="384" spans="1:20" x14ac:dyDescent="0.2">
      <c r="A384">
        <v>385</v>
      </c>
      <c r="B384">
        <v>500</v>
      </c>
      <c r="C384">
        <v>1</v>
      </c>
      <c r="D384" s="3">
        <v>0.01</v>
      </c>
      <c r="E384" s="3">
        <v>0.2</v>
      </c>
      <c r="F384">
        <v>100</v>
      </c>
      <c r="G384">
        <v>10</v>
      </c>
      <c r="H384" s="5">
        <v>0.1</v>
      </c>
      <c r="I384" s="8">
        <v>10000</v>
      </c>
      <c r="J384">
        <f t="shared" si="50"/>
        <v>1</v>
      </c>
      <c r="K384">
        <f t="shared" si="51"/>
        <v>0</v>
      </c>
      <c r="L384">
        <f t="shared" si="52"/>
        <v>0</v>
      </c>
      <c r="M384">
        <f t="shared" si="59"/>
        <v>1</v>
      </c>
      <c r="N384">
        <f t="shared" si="53"/>
        <v>1</v>
      </c>
      <c r="O384">
        <f t="shared" si="54"/>
        <v>0</v>
      </c>
      <c r="P384">
        <f t="shared" si="55"/>
        <v>0</v>
      </c>
      <c r="Q384">
        <f t="shared" si="56"/>
        <v>0</v>
      </c>
      <c r="R384">
        <f t="shared" si="57"/>
        <v>3</v>
      </c>
      <c r="S384" t="s">
        <v>97</v>
      </c>
      <c r="T384">
        <f t="shared" si="58"/>
        <v>3</v>
      </c>
    </row>
    <row r="385" spans="1:20" x14ac:dyDescent="0.2">
      <c r="A385">
        <v>386</v>
      </c>
      <c r="B385">
        <v>500</v>
      </c>
      <c r="C385">
        <v>10</v>
      </c>
      <c r="D385">
        <v>1000</v>
      </c>
      <c r="E385">
        <v>20</v>
      </c>
      <c r="F385">
        <v>100</v>
      </c>
      <c r="G385" t="s">
        <v>569</v>
      </c>
      <c r="H385">
        <v>10</v>
      </c>
      <c r="I385" t="s">
        <v>104</v>
      </c>
      <c r="J385">
        <f t="shared" ref="J385:J399" si="60">IF(B385=500,1,0)</f>
        <v>1</v>
      </c>
      <c r="K385">
        <f t="shared" ref="K385:K399" si="61">IF(C385=10,1,0)</f>
        <v>1</v>
      </c>
      <c r="L385">
        <f t="shared" ref="L385:L399" si="62">IF(OR(D385=0.1,D385=0.1%),1,0)</f>
        <v>0</v>
      </c>
      <c r="M385">
        <f t="shared" si="59"/>
        <v>1</v>
      </c>
      <c r="N385">
        <f t="shared" ref="N385:N399" si="63">IF(F385=100,1,0)</f>
        <v>1</v>
      </c>
      <c r="O385">
        <f t="shared" ref="O385:O399" si="64">IF(OR(G385=50,G385=50%),1,0)</f>
        <v>0</v>
      </c>
      <c r="P385">
        <f t="shared" ref="P385:P399" si="65">IF(OR(H385=0.05,H385="$0.05",H385="5 cents"),1,0)</f>
        <v>0</v>
      </c>
      <c r="Q385">
        <f t="shared" ref="Q385:Q399" si="66">IF(OR(I385=5,I385="5 minutes"),1,0)</f>
        <v>1</v>
      </c>
      <c r="R385">
        <f t="shared" ref="R385:R399" si="67">SUM(J385:Q385)</f>
        <v>5</v>
      </c>
      <c r="S385" t="s">
        <v>111</v>
      </c>
      <c r="T385">
        <f t="shared" si="58"/>
        <v>4</v>
      </c>
    </row>
    <row r="386" spans="1:20" x14ac:dyDescent="0.2">
      <c r="A386">
        <v>387</v>
      </c>
      <c r="B386" t="s">
        <v>1842</v>
      </c>
      <c r="C386" t="s">
        <v>1843</v>
      </c>
      <c r="D386">
        <v>1E-3</v>
      </c>
      <c r="E386">
        <v>20</v>
      </c>
      <c r="F386">
        <v>100</v>
      </c>
      <c r="G386" t="s">
        <v>1844</v>
      </c>
      <c r="H386">
        <v>0.05</v>
      </c>
      <c r="I386" t="s">
        <v>104</v>
      </c>
      <c r="J386">
        <v>1</v>
      </c>
      <c r="K386">
        <v>1</v>
      </c>
      <c r="L386">
        <f t="shared" si="62"/>
        <v>1</v>
      </c>
      <c r="M386">
        <f t="shared" ref="M386:M399" si="68">IF(OR(E386=20,E386=20%),1,0)</f>
        <v>1</v>
      </c>
      <c r="N386">
        <f t="shared" si="63"/>
        <v>1</v>
      </c>
      <c r="O386">
        <f t="shared" si="64"/>
        <v>0</v>
      </c>
      <c r="P386">
        <f t="shared" si="65"/>
        <v>1</v>
      </c>
      <c r="Q386">
        <f t="shared" si="66"/>
        <v>1</v>
      </c>
      <c r="R386">
        <f t="shared" si="67"/>
        <v>7</v>
      </c>
      <c r="S386" t="s">
        <v>97</v>
      </c>
      <c r="T386">
        <f t="shared" si="58"/>
        <v>5</v>
      </c>
    </row>
    <row r="387" spans="1:20" x14ac:dyDescent="0.2">
      <c r="A387">
        <v>388</v>
      </c>
      <c r="B387">
        <v>500</v>
      </c>
      <c r="C387">
        <v>10</v>
      </c>
      <c r="D387">
        <v>1E-3</v>
      </c>
      <c r="E387">
        <v>20</v>
      </c>
      <c r="F387">
        <v>100</v>
      </c>
      <c r="G387" s="3">
        <v>0.1</v>
      </c>
      <c r="H387">
        <v>0.05</v>
      </c>
      <c r="I387" t="s">
        <v>104</v>
      </c>
      <c r="J387">
        <f t="shared" si="60"/>
        <v>1</v>
      </c>
      <c r="K387">
        <f t="shared" si="61"/>
        <v>1</v>
      </c>
      <c r="L387">
        <f t="shared" si="62"/>
        <v>1</v>
      </c>
      <c r="M387">
        <f t="shared" si="68"/>
        <v>1</v>
      </c>
      <c r="N387">
        <f t="shared" si="63"/>
        <v>1</v>
      </c>
      <c r="O387">
        <f t="shared" si="64"/>
        <v>0</v>
      </c>
      <c r="P387">
        <f t="shared" si="65"/>
        <v>1</v>
      </c>
      <c r="Q387">
        <f t="shared" si="66"/>
        <v>1</v>
      </c>
      <c r="R387">
        <f t="shared" si="67"/>
        <v>7</v>
      </c>
      <c r="S387" t="s">
        <v>97</v>
      </c>
      <c r="T387">
        <f t="shared" ref="T387:T399" si="69">SUM(J387:O387)</f>
        <v>5</v>
      </c>
    </row>
    <row r="388" spans="1:20" x14ac:dyDescent="0.2">
      <c r="A388">
        <v>389</v>
      </c>
      <c r="B388" t="s">
        <v>1853</v>
      </c>
      <c r="C388" t="s">
        <v>1854</v>
      </c>
      <c r="D388" t="s">
        <v>1855</v>
      </c>
      <c r="E388" t="s">
        <v>1856</v>
      </c>
      <c r="F388" t="s">
        <v>1857</v>
      </c>
      <c r="G388" t="s">
        <v>1858</v>
      </c>
      <c r="H388" t="s">
        <v>760</v>
      </c>
      <c r="I388" t="s">
        <v>1859</v>
      </c>
      <c r="J388">
        <f t="shared" si="60"/>
        <v>0</v>
      </c>
      <c r="K388">
        <v>1</v>
      </c>
      <c r="L388">
        <f t="shared" si="62"/>
        <v>0</v>
      </c>
      <c r="M388">
        <f t="shared" si="68"/>
        <v>0</v>
      </c>
      <c r="N388">
        <v>1</v>
      </c>
      <c r="O388">
        <f t="shared" si="64"/>
        <v>0</v>
      </c>
      <c r="P388">
        <f t="shared" si="65"/>
        <v>0</v>
      </c>
      <c r="Q388">
        <f t="shared" si="66"/>
        <v>0</v>
      </c>
      <c r="R388">
        <f t="shared" si="67"/>
        <v>2</v>
      </c>
      <c r="S388" t="s">
        <v>105</v>
      </c>
      <c r="T388">
        <f t="shared" si="69"/>
        <v>2</v>
      </c>
    </row>
    <row r="389" spans="1:20" x14ac:dyDescent="0.2">
      <c r="A389">
        <v>390</v>
      </c>
      <c r="B389">
        <v>500</v>
      </c>
      <c r="C389">
        <v>10</v>
      </c>
      <c r="D389">
        <v>0.1</v>
      </c>
      <c r="E389">
        <v>20</v>
      </c>
      <c r="F389">
        <v>100</v>
      </c>
      <c r="G389" t="s">
        <v>1864</v>
      </c>
      <c r="H389">
        <v>0.1</v>
      </c>
      <c r="I389">
        <v>5</v>
      </c>
      <c r="J389">
        <f t="shared" si="60"/>
        <v>1</v>
      </c>
      <c r="K389">
        <f t="shared" si="61"/>
        <v>1</v>
      </c>
      <c r="L389">
        <f t="shared" si="62"/>
        <v>1</v>
      </c>
      <c r="M389">
        <f t="shared" si="68"/>
        <v>1</v>
      </c>
      <c r="N389">
        <f t="shared" si="63"/>
        <v>1</v>
      </c>
      <c r="O389">
        <f t="shared" si="64"/>
        <v>0</v>
      </c>
      <c r="P389">
        <f t="shared" si="65"/>
        <v>0</v>
      </c>
      <c r="Q389">
        <f t="shared" si="66"/>
        <v>1</v>
      </c>
      <c r="R389">
        <f t="shared" si="67"/>
        <v>6</v>
      </c>
      <c r="S389" t="s">
        <v>97</v>
      </c>
      <c r="T389">
        <f t="shared" si="69"/>
        <v>5</v>
      </c>
    </row>
    <row r="390" spans="1:20" x14ac:dyDescent="0.2">
      <c r="A390">
        <v>391</v>
      </c>
      <c r="B390" t="s">
        <v>715</v>
      </c>
      <c r="C390" t="s">
        <v>716</v>
      </c>
      <c r="D390" s="4">
        <v>1E-3</v>
      </c>
      <c r="E390" s="3">
        <v>0.2</v>
      </c>
      <c r="F390" t="s">
        <v>717</v>
      </c>
      <c r="G390" s="3">
        <v>0.9</v>
      </c>
      <c r="H390" t="s">
        <v>1869</v>
      </c>
      <c r="I390" t="s">
        <v>266</v>
      </c>
      <c r="J390">
        <v>1</v>
      </c>
      <c r="K390">
        <v>1</v>
      </c>
      <c r="L390">
        <f t="shared" si="62"/>
        <v>1</v>
      </c>
      <c r="M390">
        <f t="shared" si="68"/>
        <v>1</v>
      </c>
      <c r="N390">
        <v>1</v>
      </c>
      <c r="O390">
        <f t="shared" si="64"/>
        <v>0</v>
      </c>
      <c r="P390">
        <v>1</v>
      </c>
      <c r="Q390">
        <f t="shared" si="66"/>
        <v>0</v>
      </c>
      <c r="R390">
        <f t="shared" si="67"/>
        <v>6</v>
      </c>
      <c r="S390" t="s">
        <v>105</v>
      </c>
      <c r="T390">
        <f t="shared" si="69"/>
        <v>5</v>
      </c>
    </row>
    <row r="391" spans="1:20" x14ac:dyDescent="0.2">
      <c r="A391">
        <v>392</v>
      </c>
      <c r="B391">
        <v>500</v>
      </c>
      <c r="C391">
        <v>10</v>
      </c>
      <c r="D391" s="4">
        <v>1E-3</v>
      </c>
      <c r="E391" s="3">
        <v>0.2</v>
      </c>
      <c r="F391">
        <v>100</v>
      </c>
      <c r="G391" s="3">
        <v>0.9</v>
      </c>
      <c r="H391">
        <v>0.05</v>
      </c>
      <c r="I391">
        <v>100</v>
      </c>
      <c r="J391">
        <f t="shared" si="60"/>
        <v>1</v>
      </c>
      <c r="K391">
        <f t="shared" si="61"/>
        <v>1</v>
      </c>
      <c r="L391">
        <f t="shared" si="62"/>
        <v>1</v>
      </c>
      <c r="M391">
        <f t="shared" si="68"/>
        <v>1</v>
      </c>
      <c r="N391">
        <f t="shared" si="63"/>
        <v>1</v>
      </c>
      <c r="O391">
        <f t="shared" si="64"/>
        <v>0</v>
      </c>
      <c r="P391">
        <f t="shared" si="65"/>
        <v>1</v>
      </c>
      <c r="Q391">
        <f t="shared" si="66"/>
        <v>0</v>
      </c>
      <c r="R391">
        <f t="shared" si="67"/>
        <v>6</v>
      </c>
      <c r="S391" t="s">
        <v>125</v>
      </c>
      <c r="T391">
        <f t="shared" si="69"/>
        <v>5</v>
      </c>
    </row>
    <row r="392" spans="1:20" x14ac:dyDescent="0.2">
      <c r="A392">
        <v>393</v>
      </c>
      <c r="B392">
        <v>500</v>
      </c>
      <c r="C392">
        <v>10</v>
      </c>
      <c r="D392">
        <v>0.1</v>
      </c>
      <c r="E392">
        <v>20</v>
      </c>
      <c r="F392">
        <v>100</v>
      </c>
      <c r="G392">
        <v>18</v>
      </c>
      <c r="H392">
        <v>0.05</v>
      </c>
      <c r="I392" t="s">
        <v>104</v>
      </c>
      <c r="J392">
        <f t="shared" si="60"/>
        <v>1</v>
      </c>
      <c r="K392">
        <f t="shared" si="61"/>
        <v>1</v>
      </c>
      <c r="L392">
        <f t="shared" si="62"/>
        <v>1</v>
      </c>
      <c r="M392">
        <f t="shared" si="68"/>
        <v>1</v>
      </c>
      <c r="N392">
        <f t="shared" si="63"/>
        <v>1</v>
      </c>
      <c r="O392">
        <f t="shared" si="64"/>
        <v>0</v>
      </c>
      <c r="P392">
        <f t="shared" si="65"/>
        <v>1</v>
      </c>
      <c r="Q392">
        <f t="shared" si="66"/>
        <v>1</v>
      </c>
      <c r="R392">
        <f t="shared" si="67"/>
        <v>7</v>
      </c>
      <c r="S392" t="s">
        <v>97</v>
      </c>
      <c r="T392">
        <f t="shared" si="69"/>
        <v>5</v>
      </c>
    </row>
    <row r="393" spans="1:20" x14ac:dyDescent="0.2">
      <c r="A393">
        <v>394</v>
      </c>
      <c r="B393" t="s">
        <v>1882</v>
      </c>
      <c r="C393">
        <v>5</v>
      </c>
      <c r="D393">
        <v>10</v>
      </c>
      <c r="E393">
        <v>20</v>
      </c>
      <c r="F393">
        <v>10</v>
      </c>
      <c r="G393" t="s">
        <v>569</v>
      </c>
      <c r="H393" t="s">
        <v>159</v>
      </c>
      <c r="I393" t="s">
        <v>104</v>
      </c>
      <c r="J393">
        <v>1</v>
      </c>
      <c r="K393">
        <f t="shared" si="61"/>
        <v>0</v>
      </c>
      <c r="L393">
        <f t="shared" si="62"/>
        <v>0</v>
      </c>
      <c r="M393">
        <f t="shared" si="68"/>
        <v>1</v>
      </c>
      <c r="N393">
        <f t="shared" si="63"/>
        <v>0</v>
      </c>
      <c r="O393">
        <f t="shared" si="64"/>
        <v>0</v>
      </c>
      <c r="P393">
        <f t="shared" si="65"/>
        <v>1</v>
      </c>
      <c r="Q393">
        <f t="shared" si="66"/>
        <v>1</v>
      </c>
      <c r="R393">
        <f t="shared" si="67"/>
        <v>4</v>
      </c>
      <c r="S393" t="s">
        <v>125</v>
      </c>
      <c r="T393">
        <f t="shared" si="69"/>
        <v>2</v>
      </c>
    </row>
    <row r="394" spans="1:20" x14ac:dyDescent="0.2">
      <c r="A394">
        <v>395</v>
      </c>
      <c r="B394">
        <v>500</v>
      </c>
      <c r="C394">
        <v>10</v>
      </c>
      <c r="D394">
        <v>0.01</v>
      </c>
      <c r="E394">
        <v>20</v>
      </c>
      <c r="F394">
        <v>100</v>
      </c>
      <c r="G394">
        <v>90</v>
      </c>
      <c r="H394">
        <v>0.05</v>
      </c>
      <c r="I394" t="s">
        <v>104</v>
      </c>
      <c r="J394">
        <f t="shared" si="60"/>
        <v>1</v>
      </c>
      <c r="K394">
        <f t="shared" si="61"/>
        <v>1</v>
      </c>
      <c r="L394">
        <f t="shared" si="62"/>
        <v>0</v>
      </c>
      <c r="M394">
        <f t="shared" si="68"/>
        <v>1</v>
      </c>
      <c r="N394">
        <f t="shared" si="63"/>
        <v>1</v>
      </c>
      <c r="O394">
        <f t="shared" si="64"/>
        <v>0</v>
      </c>
      <c r="P394">
        <f t="shared" si="65"/>
        <v>1</v>
      </c>
      <c r="Q394">
        <f t="shared" si="66"/>
        <v>1</v>
      </c>
      <c r="R394">
        <f t="shared" si="67"/>
        <v>6</v>
      </c>
      <c r="S394" t="s">
        <v>105</v>
      </c>
      <c r="T394">
        <f t="shared" si="69"/>
        <v>4</v>
      </c>
    </row>
    <row r="395" spans="1:20" x14ac:dyDescent="0.2">
      <c r="A395">
        <v>396</v>
      </c>
      <c r="B395">
        <v>6</v>
      </c>
      <c r="C395">
        <v>100</v>
      </c>
      <c r="D395">
        <v>100</v>
      </c>
      <c r="E395">
        <v>50</v>
      </c>
      <c r="F395">
        <v>100</v>
      </c>
      <c r="G395">
        <v>10</v>
      </c>
      <c r="H395">
        <v>0.1</v>
      </c>
      <c r="I395">
        <v>50</v>
      </c>
      <c r="J395">
        <f t="shared" si="60"/>
        <v>0</v>
      </c>
      <c r="K395">
        <f t="shared" si="61"/>
        <v>0</v>
      </c>
      <c r="L395">
        <f t="shared" si="62"/>
        <v>0</v>
      </c>
      <c r="M395">
        <f t="shared" si="68"/>
        <v>0</v>
      </c>
      <c r="N395">
        <f t="shared" si="63"/>
        <v>1</v>
      </c>
      <c r="O395">
        <f t="shared" si="64"/>
        <v>0</v>
      </c>
      <c r="P395">
        <f t="shared" si="65"/>
        <v>0</v>
      </c>
      <c r="Q395">
        <f t="shared" si="66"/>
        <v>0</v>
      </c>
      <c r="R395">
        <f t="shared" si="67"/>
        <v>1</v>
      </c>
      <c r="S395" t="s">
        <v>97</v>
      </c>
      <c r="T395">
        <f t="shared" si="69"/>
        <v>1</v>
      </c>
    </row>
    <row r="396" spans="1:20" x14ac:dyDescent="0.2">
      <c r="A396">
        <v>397</v>
      </c>
      <c r="B396">
        <v>500</v>
      </c>
      <c r="C396">
        <v>10</v>
      </c>
      <c r="D396" s="4">
        <v>1E-3</v>
      </c>
      <c r="E396">
        <v>20</v>
      </c>
      <c r="F396">
        <v>100</v>
      </c>
      <c r="G396" s="3">
        <v>0.1</v>
      </c>
      <c r="H396" t="s">
        <v>1895</v>
      </c>
      <c r="I396" t="s">
        <v>104</v>
      </c>
      <c r="J396">
        <f t="shared" si="60"/>
        <v>1</v>
      </c>
      <c r="K396">
        <f t="shared" si="61"/>
        <v>1</v>
      </c>
      <c r="L396">
        <f t="shared" si="62"/>
        <v>1</v>
      </c>
      <c r="M396">
        <f t="shared" si="68"/>
        <v>1</v>
      </c>
      <c r="N396">
        <f t="shared" si="63"/>
        <v>1</v>
      </c>
      <c r="O396">
        <f t="shared" si="64"/>
        <v>0</v>
      </c>
      <c r="P396">
        <v>1</v>
      </c>
      <c r="Q396">
        <f t="shared" si="66"/>
        <v>1</v>
      </c>
      <c r="R396">
        <f t="shared" si="67"/>
        <v>7</v>
      </c>
      <c r="S396" t="s">
        <v>125</v>
      </c>
      <c r="T396">
        <f t="shared" si="69"/>
        <v>5</v>
      </c>
    </row>
    <row r="397" spans="1:20" x14ac:dyDescent="0.2">
      <c r="A397">
        <v>398</v>
      </c>
      <c r="B397" t="s">
        <v>1900</v>
      </c>
      <c r="C397" t="s">
        <v>1901</v>
      </c>
      <c r="D397" t="s">
        <v>1902</v>
      </c>
      <c r="E397" t="s">
        <v>1903</v>
      </c>
      <c r="F397" t="s">
        <v>1904</v>
      </c>
      <c r="G397" t="s">
        <v>1905</v>
      </c>
      <c r="H397" t="s">
        <v>1906</v>
      </c>
      <c r="I397" t="s">
        <v>1907</v>
      </c>
      <c r="J397">
        <v>1</v>
      </c>
      <c r="K397">
        <v>1</v>
      </c>
      <c r="L397">
        <v>1</v>
      </c>
      <c r="M397">
        <v>1</v>
      </c>
      <c r="N397">
        <v>1</v>
      </c>
      <c r="O397">
        <f t="shared" si="64"/>
        <v>0</v>
      </c>
      <c r="P397">
        <f t="shared" si="65"/>
        <v>0</v>
      </c>
      <c r="Q397">
        <v>1</v>
      </c>
      <c r="R397">
        <f t="shared" si="67"/>
        <v>6</v>
      </c>
      <c r="S397" t="s">
        <v>125</v>
      </c>
      <c r="T397">
        <f t="shared" si="69"/>
        <v>5</v>
      </c>
    </row>
    <row r="398" spans="1:20" x14ac:dyDescent="0.2">
      <c r="A398">
        <v>399</v>
      </c>
      <c r="B398">
        <v>500</v>
      </c>
      <c r="C398">
        <v>100</v>
      </c>
      <c r="D398">
        <v>0.1</v>
      </c>
      <c r="E398">
        <v>20</v>
      </c>
      <c r="F398">
        <v>100</v>
      </c>
      <c r="G398">
        <v>90</v>
      </c>
      <c r="H398">
        <v>0.05</v>
      </c>
      <c r="I398">
        <v>5</v>
      </c>
      <c r="J398">
        <f t="shared" si="60"/>
        <v>1</v>
      </c>
      <c r="K398">
        <f t="shared" si="61"/>
        <v>0</v>
      </c>
      <c r="L398">
        <f t="shared" si="62"/>
        <v>1</v>
      </c>
      <c r="M398">
        <f t="shared" si="68"/>
        <v>1</v>
      </c>
      <c r="N398">
        <f t="shared" si="63"/>
        <v>1</v>
      </c>
      <c r="O398">
        <f t="shared" si="64"/>
        <v>0</v>
      </c>
      <c r="P398">
        <f t="shared" si="65"/>
        <v>1</v>
      </c>
      <c r="Q398">
        <f t="shared" si="66"/>
        <v>1</v>
      </c>
      <c r="R398">
        <f t="shared" si="67"/>
        <v>6</v>
      </c>
      <c r="S398" t="s">
        <v>125</v>
      </c>
      <c r="T398">
        <f t="shared" si="69"/>
        <v>4</v>
      </c>
    </row>
    <row r="399" spans="1:20" x14ac:dyDescent="0.2">
      <c r="A399">
        <v>400</v>
      </c>
      <c r="B399">
        <v>500</v>
      </c>
      <c r="C399">
        <v>10</v>
      </c>
      <c r="D399">
        <v>0.1</v>
      </c>
      <c r="E399">
        <v>20</v>
      </c>
      <c r="F399">
        <v>100</v>
      </c>
      <c r="G399" t="s">
        <v>1916</v>
      </c>
      <c r="H399">
        <v>0.05</v>
      </c>
      <c r="I399">
        <v>5</v>
      </c>
      <c r="J399">
        <f t="shared" si="60"/>
        <v>1</v>
      </c>
      <c r="K399">
        <f t="shared" si="61"/>
        <v>1</v>
      </c>
      <c r="L399">
        <f t="shared" si="62"/>
        <v>1</v>
      </c>
      <c r="M399">
        <f t="shared" si="68"/>
        <v>1</v>
      </c>
      <c r="N399">
        <f t="shared" si="63"/>
        <v>1</v>
      </c>
      <c r="O399">
        <f t="shared" si="64"/>
        <v>0</v>
      </c>
      <c r="P399">
        <f t="shared" si="65"/>
        <v>1</v>
      </c>
      <c r="Q399">
        <f t="shared" si="66"/>
        <v>1</v>
      </c>
      <c r="R399">
        <f t="shared" si="67"/>
        <v>7</v>
      </c>
      <c r="S399" t="s">
        <v>105</v>
      </c>
      <c r="T399">
        <f t="shared" si="69"/>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Effect+Size+Math+Curriculum2_Ap</vt:lpstr>
      <vt:lpstr>Sheet6</vt:lpstr>
      <vt:lpstr>Coding</vt:lpstr>
      <vt:lpstr>pivot</vt:lpstr>
      <vt:lpstr>RecommendData</vt:lpstr>
      <vt:lpstr>NumeracyRecommendCorr</vt:lpstr>
      <vt:lpstr>marginaleffects</vt:lpstr>
      <vt:lpstr>PromptRecCorrelation</vt:lpstr>
      <vt:lpstr>NumeracyScores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Michal, Audrey</cp:lastModifiedBy>
  <dcterms:created xsi:type="dcterms:W3CDTF">2023-08-09T15:25:11Z</dcterms:created>
  <dcterms:modified xsi:type="dcterms:W3CDTF">2023-11-02T14:13:20Z</dcterms:modified>
</cp:coreProperties>
</file>